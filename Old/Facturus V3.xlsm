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tabRatio="925" firstSheet="3" activeTab="10"/>
  </bookViews>
  <sheets>
    <sheet name="Facture" sheetId="4" r:id="rId1"/>
    <sheet name="Consultation Facture" sheetId="13" r:id="rId2"/>
    <sheet name="Consultation Detail Facture" sheetId="15" r:id="rId3"/>
    <sheet name="Consultation Avoir" sheetId="16" r:id="rId4"/>
    <sheet name="Consultation Detail Avoir" sheetId="17" r:id="rId5"/>
    <sheet name="Contrôles" sheetId="10" r:id="rId6"/>
    <sheet name="Bordereaux des Prix" sheetId="1" r:id="rId7"/>
    <sheet name="Clients" sheetId="3" r:id="rId8"/>
    <sheet name="Liste_Consultation" sheetId="14" r:id="rId9"/>
    <sheet name="Etat Factures" sheetId="5" r:id="rId10"/>
    <sheet name="Détail Factures" sheetId="9" r:id="rId11"/>
    <sheet name="Etat Avoirs" sheetId="11" r:id="rId12"/>
    <sheet name="Détail Avoirs" sheetId="12" r:id="rId13"/>
    <sheet name="Listes" sheetId="7" r:id="rId14"/>
  </sheets>
  <functionGroups builtInGroupCount="18"/>
  <definedNames>
    <definedName name="_xlnm._FilterDatabase" localSheetId="9" hidden="1">'Etat Factures'!$A$1:$J$1002</definedName>
    <definedName name="AvecTVA">Facture!$O$64</definedName>
    <definedName name="AvoiConsult">'Consultation Avoir'!$B$1</definedName>
    <definedName name="AvoiSais">'Etat Avoirs'!$B$1:$B$1001</definedName>
    <definedName name="AvoiSaisDetail">'Détail Avoirs'!$J$1:$J$5001</definedName>
    <definedName name="AvoiSaisDetail2">'Détail Avoirs'!$A$1:$A$5001</definedName>
    <definedName name="BLOCA">Facture!$B$22:$J$24</definedName>
    <definedName name="BLOCB">Facture!$B$30:$J$32</definedName>
    <definedName name="BLOCC">Facture!$B$38:$J$40</definedName>
    <definedName name="DateFact">Facture!$J$4</definedName>
    <definedName name="DEBUTA">Facture!$22:$22</definedName>
    <definedName name="DEBUTB">Facture!$30:$30</definedName>
    <definedName name="DEBUTC">Facture!$38:$38</definedName>
    <definedName name="DernFichMAJ">Contrôles!$C$1</definedName>
    <definedName name="DerniereLigneA">Facture!$J$24</definedName>
    <definedName name="DerniereLigneB">Facture!$J$32</definedName>
    <definedName name="DerniereLigneC">Facture!$J$40</definedName>
    <definedName name="Devise">Facture!$N$65</definedName>
    <definedName name="FactConsult" localSheetId="4">'Consultation Detail Avoir'!$B$1</definedName>
    <definedName name="FactConsult" localSheetId="2">'Consultation Detail Facture'!$B$1</definedName>
    <definedName name="FactConsult">'Consultation Facture'!$B$1</definedName>
    <definedName name="FactSais">'Etat Factures'!$B$1:$B$1001</definedName>
    <definedName name="FactSaisDetail">'Détail Factures'!$J$1:$J$5001</definedName>
    <definedName name="FactSaisDetail2">'Détail Factures'!$A$1:$A$5001</definedName>
    <definedName name="Facture">Facture!$A$1:$K$69</definedName>
    <definedName name="FINA">Facture!$24:$24</definedName>
    <definedName name="FINB">Facture!$32:$32</definedName>
    <definedName name="FINC">Facture!$40:$40</definedName>
    <definedName name="FORMTYPA">Facture!$23:$23</definedName>
    <definedName name="FORMTYPB">Facture!$31:$31</definedName>
    <definedName name="FORMTYPC">Facture!$39:$39</definedName>
    <definedName name="FORNIS">Facture!$H$12</definedName>
    <definedName name="LEBELLETVA">Facture!$H$57</definedName>
    <definedName name="LIGNETTC">Facture!$J$56:$J$59</definedName>
    <definedName name="NAvoir">'Etat Avoirs'!$A$1:$A$1001</definedName>
    <definedName name="NFacFact">Facture!$C$12</definedName>
    <definedName name="NFactu">'Etat Factures'!$A$1:$A$1001</definedName>
    <definedName name="PremiereLigneA">Facture!$B$22</definedName>
    <definedName name="REFERENCE">Facture!$C$17</definedName>
    <definedName name="REFFORMTYPA1">Facture!$B$23</definedName>
    <definedName name="REFFORMTYPA2">Facture!$D$23</definedName>
    <definedName name="REFFORMTYPA3">Facture!$E$23</definedName>
    <definedName name="REFFORMTYPA4">Facture!$G$23</definedName>
    <definedName name="REFFORMTYPB1">Facture!$C$31</definedName>
    <definedName name="REFFORMTYPB11">Facture!$B$31</definedName>
    <definedName name="REFFORMTYPB2">Facture!$G$31</definedName>
    <definedName name="REFFORMTYPC1">Facture!$B$39</definedName>
    <definedName name="REFFORMTYPC2">Facture!$D$39</definedName>
    <definedName name="REFFORMTYPC3">Facture!$E$39</definedName>
    <definedName name="REFFORMTYPC4">Facture!$G$39</definedName>
    <definedName name="TotalFactureHT">Facture!$J$55</definedName>
    <definedName name="TotalFactureTTC">Facture!$J$59</definedName>
    <definedName name="TVA">Facture!$J$57</definedName>
    <definedName name="TypeDocu">Facture!$B$12</definedName>
    <definedName name="_xlnm.Print_Area" localSheetId="5">Contrôles!$A$1:$G$95</definedName>
    <definedName name="_xlnm.Print_Area" localSheetId="0">Facture!$A$1:$K$69</definedName>
    <definedName name="ZoneA">Facture!$20:$25</definedName>
    <definedName name="ZoneB">Facture!$27:$33</definedName>
    <definedName name="ZoneC">Facture!$35:$41</definedName>
  </definedNames>
  <calcPr calcId="152511"/>
</workbook>
</file>

<file path=xl/calcChain.xml><?xml version="1.0" encoding="utf-8"?>
<calcChain xmlns="http://schemas.openxmlformats.org/spreadsheetml/2006/main">
  <c r="H4" i="17" l="1"/>
  <c r="I3" i="17"/>
  <c r="I2" i="17"/>
  <c r="H31" i="4"/>
  <c r="I23" i="4"/>
  <c r="H23" i="4"/>
  <c r="F23" i="4"/>
  <c r="C23" i="4"/>
  <c r="I4" i="17" l="1"/>
  <c r="H5" i="17" s="1"/>
  <c r="H4" i="15"/>
  <c r="I2" i="15"/>
  <c r="I3" i="15"/>
  <c r="I5" i="17" l="1"/>
  <c r="I4" i="15"/>
  <c r="H5" i="15" s="1"/>
  <c r="I5" i="15" l="1"/>
  <c r="H15" i="4"/>
  <c r="C9" i="10" l="1"/>
  <c r="C14" i="10"/>
  <c r="C13" i="10"/>
  <c r="C10" i="10"/>
  <c r="C6" i="10" l="1"/>
  <c r="C3" i="10"/>
  <c r="H14" i="4"/>
  <c r="H13" i="4"/>
  <c r="N64" i="4" l="1"/>
  <c r="J31" i="4" l="1"/>
  <c r="H39" i="4" l="1"/>
  <c r="J39" i="4" s="1"/>
  <c r="F39" i="4"/>
  <c r="C39" i="4"/>
  <c r="B36" i="4"/>
  <c r="J23" i="4" l="1"/>
  <c r="J55" i="4" s="1"/>
  <c r="B28" i="4"/>
  <c r="J4" i="4"/>
  <c r="H20" i="4"/>
  <c r="C20" i="4"/>
  <c r="B20" i="4"/>
  <c r="J57" i="4" l="1"/>
  <c r="J59" i="4" l="1"/>
  <c r="C63" i="4"/>
</calcChain>
</file>

<file path=xl/sharedStrings.xml><?xml version="1.0" encoding="utf-8"?>
<sst xmlns="http://schemas.openxmlformats.org/spreadsheetml/2006/main" count="3328" uniqueCount="2171">
  <si>
    <t>Unité</t>
  </si>
  <si>
    <t>Quantité</t>
  </si>
  <si>
    <t>Client</t>
  </si>
  <si>
    <t>Code Client</t>
  </si>
  <si>
    <t>Adresse</t>
  </si>
  <si>
    <t>Phone</t>
  </si>
  <si>
    <t>eMail</t>
  </si>
  <si>
    <t>N° Facture</t>
  </si>
  <si>
    <t>Montant</t>
  </si>
  <si>
    <t>Oui</t>
  </si>
  <si>
    <t>Cellules Liées</t>
  </si>
  <si>
    <t>Article</t>
  </si>
  <si>
    <t>Date</t>
  </si>
  <si>
    <t>Taux TVA</t>
  </si>
  <si>
    <t>Article Livré</t>
  </si>
  <si>
    <t>Valeur</t>
  </si>
  <si>
    <t>AGC Automotive Induver Morocco</t>
  </si>
  <si>
    <t>Adresse2</t>
  </si>
  <si>
    <t>Atlantic Free Zone, Km 4,</t>
  </si>
  <si>
    <t>Commune Amer Saflia - kenitra - Morocco</t>
  </si>
  <si>
    <t>ICE</t>
  </si>
  <si>
    <t>001798683000064</t>
  </si>
  <si>
    <t>RC</t>
  </si>
  <si>
    <t>IF</t>
  </si>
  <si>
    <t>CNSS</t>
  </si>
  <si>
    <t>46447</t>
  </si>
  <si>
    <t>TP</t>
  </si>
  <si>
    <t>20966018</t>
  </si>
  <si>
    <t>20720776</t>
  </si>
  <si>
    <t>5264271</t>
  </si>
  <si>
    <t>15 01 01</t>
  </si>
  <si>
    <t>emballages en papier/carton</t>
  </si>
  <si>
    <t>15 01 02</t>
  </si>
  <si>
    <t>emballages en matières plastiques</t>
  </si>
  <si>
    <t>15 01 03</t>
  </si>
  <si>
    <t>emballages en bois</t>
  </si>
  <si>
    <t>15 01 04</t>
  </si>
  <si>
    <t>emballages métalliques</t>
  </si>
  <si>
    <t>15 01 05</t>
  </si>
  <si>
    <t>emballages composites</t>
  </si>
  <si>
    <t>15 01 06</t>
  </si>
  <si>
    <t>emballages en mélange</t>
  </si>
  <si>
    <t>15 01 07</t>
  </si>
  <si>
    <t>emballages en verre</t>
  </si>
  <si>
    <t>15 01 09</t>
  </si>
  <si>
    <t>emballages textiles</t>
  </si>
  <si>
    <t>T</t>
  </si>
  <si>
    <t>Prix Transport DH</t>
  </si>
  <si>
    <t>Prix Traitement DH</t>
  </si>
  <si>
    <t>N° Pesée</t>
  </si>
  <si>
    <t>Type de Déchet</t>
  </si>
  <si>
    <t>Déchets de verre autres</t>
  </si>
  <si>
    <t>10 11 12</t>
  </si>
  <si>
    <t>Mise à Disposition de Moyens Matériels</t>
  </si>
  <si>
    <t>Evacuation des Déchets</t>
  </si>
  <si>
    <t>Benne DIB</t>
  </si>
  <si>
    <t>Benne Acier</t>
  </si>
  <si>
    <t>Presse à balle</t>
  </si>
  <si>
    <t>Plateau amplirole</t>
  </si>
  <si>
    <t>Moyens de conditionnement unitaires</t>
  </si>
  <si>
    <t>Valorisation bois (atlantic Free Zone)</t>
  </si>
  <si>
    <t>Valorisation matières plastiques Tube noir (atlantic Free Zone)</t>
  </si>
  <si>
    <t>Valorisation matières plastiques Film Plastique (atlantic Free Zone)</t>
  </si>
  <si>
    <t>16 03  06</t>
  </si>
  <si>
    <t>Valorisation Chute PVB bicouche (atlantic Free Zone)</t>
  </si>
  <si>
    <t>17 04  05</t>
  </si>
  <si>
    <t>Valorisation Cerclage métallique (atlantic Free Zone)</t>
  </si>
  <si>
    <t>Valorisation</t>
  </si>
  <si>
    <t>Prix Vente En Euro</t>
  </si>
  <si>
    <t>VEOS SA Société au capital de 300.000DH</t>
  </si>
  <si>
    <t>ICE 001966226000095 - IF 24839130 - RC 126671 - TP 25713498</t>
  </si>
  <si>
    <t>Tél: +212 (0)5 37 68 48 85 - communication@veos.ma</t>
  </si>
  <si>
    <t>Échéance</t>
  </si>
  <si>
    <t>Mode de Paiement</t>
  </si>
  <si>
    <t>RIB VEOS DD SA</t>
  </si>
  <si>
    <t>Banque</t>
  </si>
  <si>
    <t>Agence</t>
  </si>
  <si>
    <t>60 jours date de facturation</t>
  </si>
  <si>
    <t>Par Virement selon coordonnées bancaires ci-dessous</t>
  </si>
  <si>
    <t>013 810 01070 001512 001 90 94</t>
  </si>
  <si>
    <t>BMCI</t>
  </si>
  <si>
    <t>Centre d'affaire RABAT</t>
  </si>
  <si>
    <t>Facture N°:</t>
  </si>
  <si>
    <t>VALORISE MAROC</t>
  </si>
  <si>
    <t>Centre d'affaires ebusness</t>
  </si>
  <si>
    <t>001531737000021</t>
  </si>
  <si>
    <t>Ilot 118B, Zone franche d'exploitation Tanger</t>
  </si>
  <si>
    <t>Référence:</t>
  </si>
  <si>
    <t>TVA</t>
  </si>
  <si>
    <t>Total TTC</t>
  </si>
  <si>
    <t>TVA 20%</t>
  </si>
  <si>
    <t>TVA 14%</t>
  </si>
  <si>
    <t>TVA 07%</t>
  </si>
  <si>
    <t>TVA 10%</t>
  </si>
  <si>
    <t>Retenu à la Source</t>
  </si>
  <si>
    <t>MontantHT</t>
  </si>
  <si>
    <t>MontantTTC</t>
  </si>
  <si>
    <t>A</t>
  </si>
  <si>
    <t>Date_</t>
  </si>
  <si>
    <t>15 01 02 F</t>
  </si>
  <si>
    <t>15 01 02 T</t>
  </si>
  <si>
    <t>Prix Unitaire en Euro</t>
  </si>
  <si>
    <t>Prix Unitaire en DH</t>
  </si>
  <si>
    <t>Total Facture</t>
  </si>
  <si>
    <t>Devise</t>
  </si>
  <si>
    <t>Utilisateur</t>
  </si>
  <si>
    <t>DH</t>
  </si>
  <si>
    <t>Euro</t>
  </si>
  <si>
    <t>Facture en</t>
  </si>
  <si>
    <t>60 jours date de réception Facture</t>
  </si>
  <si>
    <t>90 jours date de facturation</t>
  </si>
  <si>
    <t>90 jours date de réception Facture</t>
  </si>
  <si>
    <t>30 jours date de facturation</t>
  </si>
  <si>
    <t>30 jours date de réception Facture</t>
  </si>
  <si>
    <t>Au comptant</t>
  </si>
  <si>
    <t>Non</t>
  </si>
  <si>
    <t>Rabat le</t>
  </si>
  <si>
    <t xml:space="preserve">    Avec TVA</t>
  </si>
  <si>
    <t>Référence</t>
  </si>
  <si>
    <t>N° Facture
FactSaisDetail</t>
  </si>
  <si>
    <t>Code Article
FactSaisDetail2</t>
  </si>
  <si>
    <t>001-2020</t>
  </si>
  <si>
    <t>002-2020</t>
  </si>
  <si>
    <t>003-2020</t>
  </si>
  <si>
    <t>004-2020</t>
  </si>
  <si>
    <t>005-2020</t>
  </si>
  <si>
    <t>006-2020</t>
  </si>
  <si>
    <t>007-2020</t>
  </si>
  <si>
    <t>008-2020</t>
  </si>
  <si>
    <t>009-2020</t>
  </si>
  <si>
    <t>010-2020</t>
  </si>
  <si>
    <t>011-2020</t>
  </si>
  <si>
    <t>012-2020</t>
  </si>
  <si>
    <t>013-2020</t>
  </si>
  <si>
    <t>014-2020</t>
  </si>
  <si>
    <t>015-2020</t>
  </si>
  <si>
    <t>016-2020</t>
  </si>
  <si>
    <t>017-2020</t>
  </si>
  <si>
    <t>018-2020</t>
  </si>
  <si>
    <t>019-2020</t>
  </si>
  <si>
    <t>020-2020</t>
  </si>
  <si>
    <t>021-2020</t>
  </si>
  <si>
    <t>022-2020</t>
  </si>
  <si>
    <t>023-2020</t>
  </si>
  <si>
    <t>024-2020</t>
  </si>
  <si>
    <t>025-2020</t>
  </si>
  <si>
    <t>026-2020</t>
  </si>
  <si>
    <t>027-2020</t>
  </si>
  <si>
    <t>028-2020</t>
  </si>
  <si>
    <t>029-2020</t>
  </si>
  <si>
    <t>030-2020</t>
  </si>
  <si>
    <t>031-2020</t>
  </si>
  <si>
    <t>032-2020</t>
  </si>
  <si>
    <t>033-2020</t>
  </si>
  <si>
    <t>034-2020</t>
  </si>
  <si>
    <t>035-2020</t>
  </si>
  <si>
    <t>036-2020</t>
  </si>
  <si>
    <t>037-2020</t>
  </si>
  <si>
    <t>038-2020</t>
  </si>
  <si>
    <t>039-2020</t>
  </si>
  <si>
    <t>040-2020</t>
  </si>
  <si>
    <t>041-2020</t>
  </si>
  <si>
    <t>042-2020</t>
  </si>
  <si>
    <t>043-2020</t>
  </si>
  <si>
    <t>044-2020</t>
  </si>
  <si>
    <t>045-2020</t>
  </si>
  <si>
    <t>046-2020</t>
  </si>
  <si>
    <t>047-2020</t>
  </si>
  <si>
    <t>048-2020</t>
  </si>
  <si>
    <t>049-2020</t>
  </si>
  <si>
    <t>050-2020</t>
  </si>
  <si>
    <t>051-2020</t>
  </si>
  <si>
    <t>052-2020</t>
  </si>
  <si>
    <t>053-2020</t>
  </si>
  <si>
    <t>054-2020</t>
  </si>
  <si>
    <t>055-2020</t>
  </si>
  <si>
    <t>056-2020</t>
  </si>
  <si>
    <t>057-2020</t>
  </si>
  <si>
    <t>058-2020</t>
  </si>
  <si>
    <t>059-2020</t>
  </si>
  <si>
    <t>060-2020</t>
  </si>
  <si>
    <t>061-2020</t>
  </si>
  <si>
    <t>062-2020</t>
  </si>
  <si>
    <t>063-2020</t>
  </si>
  <si>
    <t>064-2020</t>
  </si>
  <si>
    <t>065-2020</t>
  </si>
  <si>
    <t>066-2020</t>
  </si>
  <si>
    <t>067-2020</t>
  </si>
  <si>
    <t>068-2020</t>
  </si>
  <si>
    <t>069-2020</t>
  </si>
  <si>
    <t>070-2020</t>
  </si>
  <si>
    <t>071-2020</t>
  </si>
  <si>
    <t>072-2020</t>
  </si>
  <si>
    <t>073-2020</t>
  </si>
  <si>
    <t>074-2020</t>
  </si>
  <si>
    <t>075-2020</t>
  </si>
  <si>
    <t>076-2020</t>
  </si>
  <si>
    <t>077-2020</t>
  </si>
  <si>
    <t>078-2020</t>
  </si>
  <si>
    <t>079-2020</t>
  </si>
  <si>
    <t>080-2020</t>
  </si>
  <si>
    <t>081-2020</t>
  </si>
  <si>
    <t>082-2020</t>
  </si>
  <si>
    <t>083-2020</t>
  </si>
  <si>
    <t>084-2020</t>
  </si>
  <si>
    <t>085-2020</t>
  </si>
  <si>
    <t>086-2020</t>
  </si>
  <si>
    <t>087-2020</t>
  </si>
  <si>
    <t>088-2020</t>
  </si>
  <si>
    <t>089-2020</t>
  </si>
  <si>
    <t>090-2020</t>
  </si>
  <si>
    <t>091-2020</t>
  </si>
  <si>
    <t>092-2020</t>
  </si>
  <si>
    <t>093-2020</t>
  </si>
  <si>
    <t>094-2020</t>
  </si>
  <si>
    <t>095-2020</t>
  </si>
  <si>
    <t>096-2020</t>
  </si>
  <si>
    <t>097-2020</t>
  </si>
  <si>
    <t>098-2020</t>
  </si>
  <si>
    <t>099-2020</t>
  </si>
  <si>
    <t>100-2020</t>
  </si>
  <si>
    <t>101-2020</t>
  </si>
  <si>
    <t>102-2020</t>
  </si>
  <si>
    <t>103-2020</t>
  </si>
  <si>
    <t>104-2020</t>
  </si>
  <si>
    <t>105-2020</t>
  </si>
  <si>
    <t>106-2020</t>
  </si>
  <si>
    <t>107-2020</t>
  </si>
  <si>
    <t>108-2020</t>
  </si>
  <si>
    <t>109-2020</t>
  </si>
  <si>
    <t>110-2020</t>
  </si>
  <si>
    <t>111-2020</t>
  </si>
  <si>
    <t>112-2020</t>
  </si>
  <si>
    <t>113-2020</t>
  </si>
  <si>
    <t>114-2020</t>
  </si>
  <si>
    <t>115-2020</t>
  </si>
  <si>
    <t>116-2020</t>
  </si>
  <si>
    <t>117-2020</t>
  </si>
  <si>
    <t>118-2020</t>
  </si>
  <si>
    <t>119-2020</t>
  </si>
  <si>
    <t>120-2020</t>
  </si>
  <si>
    <t>121-2020</t>
  </si>
  <si>
    <t>122-2020</t>
  </si>
  <si>
    <t>123-2020</t>
  </si>
  <si>
    <t>124-2020</t>
  </si>
  <si>
    <t>125-2020</t>
  </si>
  <si>
    <t>126-2020</t>
  </si>
  <si>
    <t>127-2020</t>
  </si>
  <si>
    <t>128-2020</t>
  </si>
  <si>
    <t>129-2020</t>
  </si>
  <si>
    <t>130-2020</t>
  </si>
  <si>
    <t>131-2020</t>
  </si>
  <si>
    <t>132-2020</t>
  </si>
  <si>
    <t>133-2020</t>
  </si>
  <si>
    <t>134-2020</t>
  </si>
  <si>
    <t>135-2020</t>
  </si>
  <si>
    <t>136-2020</t>
  </si>
  <si>
    <t>137-2020</t>
  </si>
  <si>
    <t>138-2020</t>
  </si>
  <si>
    <t>139-2020</t>
  </si>
  <si>
    <t>140-2020</t>
  </si>
  <si>
    <t>141-2020</t>
  </si>
  <si>
    <t>142-2020</t>
  </si>
  <si>
    <t>143-2020</t>
  </si>
  <si>
    <t>144-2020</t>
  </si>
  <si>
    <t>145-2020</t>
  </si>
  <si>
    <t>146-2020</t>
  </si>
  <si>
    <t>147-2020</t>
  </si>
  <si>
    <t>148-2020</t>
  </si>
  <si>
    <t>149-2020</t>
  </si>
  <si>
    <t>150-2020</t>
  </si>
  <si>
    <t>151-2020</t>
  </si>
  <si>
    <t>152-2020</t>
  </si>
  <si>
    <t>153-2020</t>
  </si>
  <si>
    <t>154-2020</t>
  </si>
  <si>
    <t>155-2020</t>
  </si>
  <si>
    <t>156-2020</t>
  </si>
  <si>
    <t>157-2020</t>
  </si>
  <si>
    <t>158-2020</t>
  </si>
  <si>
    <t>159-2020</t>
  </si>
  <si>
    <t>160-2020</t>
  </si>
  <si>
    <t>161-2020</t>
  </si>
  <si>
    <t>162-2020</t>
  </si>
  <si>
    <t>163-2020</t>
  </si>
  <si>
    <t>164-2020</t>
  </si>
  <si>
    <t>165-2020</t>
  </si>
  <si>
    <t>166-2020</t>
  </si>
  <si>
    <t>167-2020</t>
  </si>
  <si>
    <t>168-2020</t>
  </si>
  <si>
    <t>169-2020</t>
  </si>
  <si>
    <t>170-2020</t>
  </si>
  <si>
    <t>171-2020</t>
  </si>
  <si>
    <t>172-2020</t>
  </si>
  <si>
    <t>173-2020</t>
  </si>
  <si>
    <t>174-2020</t>
  </si>
  <si>
    <t>175-2020</t>
  </si>
  <si>
    <t>176-2020</t>
  </si>
  <si>
    <t>177-2020</t>
  </si>
  <si>
    <t>178-2020</t>
  </si>
  <si>
    <t>179-2020</t>
  </si>
  <si>
    <t>180-2020</t>
  </si>
  <si>
    <t>181-2020</t>
  </si>
  <si>
    <t>182-2020</t>
  </si>
  <si>
    <t>183-2020</t>
  </si>
  <si>
    <t>184-2020</t>
  </si>
  <si>
    <t>185-2020</t>
  </si>
  <si>
    <t>186-2020</t>
  </si>
  <si>
    <t>187-2020</t>
  </si>
  <si>
    <t>188-2020</t>
  </si>
  <si>
    <t>189-2020</t>
  </si>
  <si>
    <t>190-2020</t>
  </si>
  <si>
    <t>191-2020</t>
  </si>
  <si>
    <t>192-2020</t>
  </si>
  <si>
    <t>193-2020</t>
  </si>
  <si>
    <t>194-2020</t>
  </si>
  <si>
    <t>195-2020</t>
  </si>
  <si>
    <t>196-2020</t>
  </si>
  <si>
    <t>197-2020</t>
  </si>
  <si>
    <t>198-2020</t>
  </si>
  <si>
    <t>199-2020</t>
  </si>
  <si>
    <t>200-2020</t>
  </si>
  <si>
    <t>201-2020</t>
  </si>
  <si>
    <t>202-2020</t>
  </si>
  <si>
    <t>203-2020</t>
  </si>
  <si>
    <t>204-2020</t>
  </si>
  <si>
    <t>205-2020</t>
  </si>
  <si>
    <t>206-2020</t>
  </si>
  <si>
    <t>207-2020</t>
  </si>
  <si>
    <t>208-2020</t>
  </si>
  <si>
    <t>209-2020</t>
  </si>
  <si>
    <t>210-2020</t>
  </si>
  <si>
    <t>211-2020</t>
  </si>
  <si>
    <t>212-2020</t>
  </si>
  <si>
    <t>213-2020</t>
  </si>
  <si>
    <t>214-2020</t>
  </si>
  <si>
    <t>215-2020</t>
  </si>
  <si>
    <t>216-2020</t>
  </si>
  <si>
    <t>217-2020</t>
  </si>
  <si>
    <t>218-2020</t>
  </si>
  <si>
    <t>219-2020</t>
  </si>
  <si>
    <t>220-2020</t>
  </si>
  <si>
    <t>221-2020</t>
  </si>
  <si>
    <t>222-2020</t>
  </si>
  <si>
    <t>223-2020</t>
  </si>
  <si>
    <t>224-2020</t>
  </si>
  <si>
    <t>225-2020</t>
  </si>
  <si>
    <t>226-2020</t>
  </si>
  <si>
    <t>227-2020</t>
  </si>
  <si>
    <t>228-2020</t>
  </si>
  <si>
    <t>229-2020</t>
  </si>
  <si>
    <t>230-2020</t>
  </si>
  <si>
    <t>231-2020</t>
  </si>
  <si>
    <t>232-2020</t>
  </si>
  <si>
    <t>233-2020</t>
  </si>
  <si>
    <t>234-2020</t>
  </si>
  <si>
    <t>235-2020</t>
  </si>
  <si>
    <t>236-2020</t>
  </si>
  <si>
    <t>237-2020</t>
  </si>
  <si>
    <t>238-2020</t>
  </si>
  <si>
    <t>239-2020</t>
  </si>
  <si>
    <t>240-2020</t>
  </si>
  <si>
    <t>241-2020</t>
  </si>
  <si>
    <t>242-2020</t>
  </si>
  <si>
    <t>243-2020</t>
  </si>
  <si>
    <t>244-2020</t>
  </si>
  <si>
    <t>245-2020</t>
  </si>
  <si>
    <t>246-2020</t>
  </si>
  <si>
    <t>247-2020</t>
  </si>
  <si>
    <t>248-2020</t>
  </si>
  <si>
    <t>249-2020</t>
  </si>
  <si>
    <t>250-2020</t>
  </si>
  <si>
    <t>251-2020</t>
  </si>
  <si>
    <t>252-2020</t>
  </si>
  <si>
    <t>253-2020</t>
  </si>
  <si>
    <t>254-2020</t>
  </si>
  <si>
    <t>255-2020</t>
  </si>
  <si>
    <t>256-2020</t>
  </si>
  <si>
    <t>257-2020</t>
  </si>
  <si>
    <t>258-2020</t>
  </si>
  <si>
    <t>259-2020</t>
  </si>
  <si>
    <t>260-2020</t>
  </si>
  <si>
    <t>261-2020</t>
  </si>
  <si>
    <t>262-2020</t>
  </si>
  <si>
    <t>263-2020</t>
  </si>
  <si>
    <t>264-2020</t>
  </si>
  <si>
    <t>265-2020</t>
  </si>
  <si>
    <t>266-2020</t>
  </si>
  <si>
    <t>267-2020</t>
  </si>
  <si>
    <t>268-2020</t>
  </si>
  <si>
    <t>269-2020</t>
  </si>
  <si>
    <t>270-2020</t>
  </si>
  <si>
    <t>271-2020</t>
  </si>
  <si>
    <t>272-2020</t>
  </si>
  <si>
    <t>273-2020</t>
  </si>
  <si>
    <t>274-2020</t>
  </si>
  <si>
    <t>275-2020</t>
  </si>
  <si>
    <t>276-2020</t>
  </si>
  <si>
    <t>277-2020</t>
  </si>
  <si>
    <t>278-2020</t>
  </si>
  <si>
    <t>279-2020</t>
  </si>
  <si>
    <t>280-2020</t>
  </si>
  <si>
    <t>281-2020</t>
  </si>
  <si>
    <t>282-2020</t>
  </si>
  <si>
    <t>283-2020</t>
  </si>
  <si>
    <t>284-2020</t>
  </si>
  <si>
    <t>285-2020</t>
  </si>
  <si>
    <t>286-2020</t>
  </si>
  <si>
    <t>287-2020</t>
  </si>
  <si>
    <t>288-2020</t>
  </si>
  <si>
    <t>289-2020</t>
  </si>
  <si>
    <t>290-2020</t>
  </si>
  <si>
    <t>291-2020</t>
  </si>
  <si>
    <t>292-2020</t>
  </si>
  <si>
    <t>293-2020</t>
  </si>
  <si>
    <t>294-2020</t>
  </si>
  <si>
    <t>295-2020</t>
  </si>
  <si>
    <t>296-2020</t>
  </si>
  <si>
    <t>297-2020</t>
  </si>
  <si>
    <t>298-2020</t>
  </si>
  <si>
    <t>299-2020</t>
  </si>
  <si>
    <t>300-2020</t>
  </si>
  <si>
    <t>301-2020</t>
  </si>
  <si>
    <t>302-2020</t>
  </si>
  <si>
    <t>303-2020</t>
  </si>
  <si>
    <t>304-2020</t>
  </si>
  <si>
    <t>305-2020</t>
  </si>
  <si>
    <t>306-2020</t>
  </si>
  <si>
    <t>307-2020</t>
  </si>
  <si>
    <t>308-2020</t>
  </si>
  <si>
    <t>309-2020</t>
  </si>
  <si>
    <t>310-2020</t>
  </si>
  <si>
    <t>311-2020</t>
  </si>
  <si>
    <t>312-2020</t>
  </si>
  <si>
    <t>313-2020</t>
  </si>
  <si>
    <t>314-2020</t>
  </si>
  <si>
    <t>315-2020</t>
  </si>
  <si>
    <t>316-2020</t>
  </si>
  <si>
    <t>317-2020</t>
  </si>
  <si>
    <t>318-2020</t>
  </si>
  <si>
    <t>319-2020</t>
  </si>
  <si>
    <t>320-2020</t>
  </si>
  <si>
    <t>321-2020</t>
  </si>
  <si>
    <t>322-2020</t>
  </si>
  <si>
    <t>323-2020</t>
  </si>
  <si>
    <t>324-2020</t>
  </si>
  <si>
    <t>325-2020</t>
  </si>
  <si>
    <t>326-2020</t>
  </si>
  <si>
    <t>327-2020</t>
  </si>
  <si>
    <t>328-2020</t>
  </si>
  <si>
    <t>329-2020</t>
  </si>
  <si>
    <t>330-2020</t>
  </si>
  <si>
    <t>331-2020</t>
  </si>
  <si>
    <t>332-2020</t>
  </si>
  <si>
    <t>333-2020</t>
  </si>
  <si>
    <t>334-2020</t>
  </si>
  <si>
    <t>335-2020</t>
  </si>
  <si>
    <t>336-2020</t>
  </si>
  <si>
    <t>337-2020</t>
  </si>
  <si>
    <t>338-2020</t>
  </si>
  <si>
    <t>339-2020</t>
  </si>
  <si>
    <t>340-2020</t>
  </si>
  <si>
    <t>341-2020</t>
  </si>
  <si>
    <t>342-2020</t>
  </si>
  <si>
    <t>343-2020</t>
  </si>
  <si>
    <t>344-2020</t>
  </si>
  <si>
    <t>345-2020</t>
  </si>
  <si>
    <t>346-2020</t>
  </si>
  <si>
    <t>347-2020</t>
  </si>
  <si>
    <t>348-2020</t>
  </si>
  <si>
    <t>349-2020</t>
  </si>
  <si>
    <t>350-2020</t>
  </si>
  <si>
    <t>351-2020</t>
  </si>
  <si>
    <t>352-2020</t>
  </si>
  <si>
    <t>353-2020</t>
  </si>
  <si>
    <t>354-2020</t>
  </si>
  <si>
    <t>355-2020</t>
  </si>
  <si>
    <t>356-2020</t>
  </si>
  <si>
    <t>357-2020</t>
  </si>
  <si>
    <t>358-2020</t>
  </si>
  <si>
    <t>359-2020</t>
  </si>
  <si>
    <t>360-2020</t>
  </si>
  <si>
    <t>361-2020</t>
  </si>
  <si>
    <t>362-2020</t>
  </si>
  <si>
    <t>363-2020</t>
  </si>
  <si>
    <t>364-2020</t>
  </si>
  <si>
    <t>365-2020</t>
  </si>
  <si>
    <t>366-2020</t>
  </si>
  <si>
    <t>367-2020</t>
  </si>
  <si>
    <t>368-2020</t>
  </si>
  <si>
    <t>369-2020</t>
  </si>
  <si>
    <t>370-2020</t>
  </si>
  <si>
    <t>371-2020</t>
  </si>
  <si>
    <t>372-2020</t>
  </si>
  <si>
    <t>373-2020</t>
  </si>
  <si>
    <t>374-2020</t>
  </si>
  <si>
    <t>375-2020</t>
  </si>
  <si>
    <t>376-2020</t>
  </si>
  <si>
    <t>377-2020</t>
  </si>
  <si>
    <t>378-2020</t>
  </si>
  <si>
    <t>379-2020</t>
  </si>
  <si>
    <t>380-2020</t>
  </si>
  <si>
    <t>381-2020</t>
  </si>
  <si>
    <t>382-2020</t>
  </si>
  <si>
    <t>383-2020</t>
  </si>
  <si>
    <t>384-2020</t>
  </si>
  <si>
    <t>385-2020</t>
  </si>
  <si>
    <t>386-2020</t>
  </si>
  <si>
    <t>387-2020</t>
  </si>
  <si>
    <t>388-2020</t>
  </si>
  <si>
    <t>389-2020</t>
  </si>
  <si>
    <t>390-2020</t>
  </si>
  <si>
    <t>391-2020</t>
  </si>
  <si>
    <t>392-2020</t>
  </si>
  <si>
    <t>393-2020</t>
  </si>
  <si>
    <t>394-2020</t>
  </si>
  <si>
    <t>395-2020</t>
  </si>
  <si>
    <t>396-2020</t>
  </si>
  <si>
    <t>397-2020</t>
  </si>
  <si>
    <t>398-2020</t>
  </si>
  <si>
    <t>399-2020</t>
  </si>
  <si>
    <t>400-2020</t>
  </si>
  <si>
    <t>401-2020</t>
  </si>
  <si>
    <t>402-2020</t>
  </si>
  <si>
    <t>403-2020</t>
  </si>
  <si>
    <t>404-2020</t>
  </si>
  <si>
    <t>405-2020</t>
  </si>
  <si>
    <t>406-2020</t>
  </si>
  <si>
    <t>407-2020</t>
  </si>
  <si>
    <t>408-2020</t>
  </si>
  <si>
    <t>409-2020</t>
  </si>
  <si>
    <t>410-2020</t>
  </si>
  <si>
    <t>411-2020</t>
  </si>
  <si>
    <t>412-2020</t>
  </si>
  <si>
    <t>413-2020</t>
  </si>
  <si>
    <t>414-2020</t>
  </si>
  <si>
    <t>415-2020</t>
  </si>
  <si>
    <t>416-2020</t>
  </si>
  <si>
    <t>417-2020</t>
  </si>
  <si>
    <t>418-2020</t>
  </si>
  <si>
    <t>419-2020</t>
  </si>
  <si>
    <t>420-2020</t>
  </si>
  <si>
    <t>421-2020</t>
  </si>
  <si>
    <t>422-2020</t>
  </si>
  <si>
    <t>423-2020</t>
  </si>
  <si>
    <t>424-2020</t>
  </si>
  <si>
    <t>425-2020</t>
  </si>
  <si>
    <t>426-2020</t>
  </si>
  <si>
    <t>427-2020</t>
  </si>
  <si>
    <t>428-2020</t>
  </si>
  <si>
    <t>429-2020</t>
  </si>
  <si>
    <t>430-2020</t>
  </si>
  <si>
    <t>431-2020</t>
  </si>
  <si>
    <t>432-2020</t>
  </si>
  <si>
    <t>433-2020</t>
  </si>
  <si>
    <t>434-2020</t>
  </si>
  <si>
    <t>435-2020</t>
  </si>
  <si>
    <t>436-2020</t>
  </si>
  <si>
    <t>437-2020</t>
  </si>
  <si>
    <t>438-2020</t>
  </si>
  <si>
    <t>439-2020</t>
  </si>
  <si>
    <t>440-2020</t>
  </si>
  <si>
    <t>441-2020</t>
  </si>
  <si>
    <t>442-2020</t>
  </si>
  <si>
    <t>443-2020</t>
  </si>
  <si>
    <t>444-2020</t>
  </si>
  <si>
    <t>445-2020</t>
  </si>
  <si>
    <t>446-2020</t>
  </si>
  <si>
    <t>447-2020</t>
  </si>
  <si>
    <t>448-2020</t>
  </si>
  <si>
    <t>449-2020</t>
  </si>
  <si>
    <t>450-2020</t>
  </si>
  <si>
    <t>451-2020</t>
  </si>
  <si>
    <t>452-2020</t>
  </si>
  <si>
    <t>453-2020</t>
  </si>
  <si>
    <t>454-2020</t>
  </si>
  <si>
    <t>455-2020</t>
  </si>
  <si>
    <t>456-2020</t>
  </si>
  <si>
    <t>457-2020</t>
  </si>
  <si>
    <t>458-2020</t>
  </si>
  <si>
    <t>459-2020</t>
  </si>
  <si>
    <t>460-2020</t>
  </si>
  <si>
    <t>461-2020</t>
  </si>
  <si>
    <t>462-2020</t>
  </si>
  <si>
    <t>463-2020</t>
  </si>
  <si>
    <t>464-2020</t>
  </si>
  <si>
    <t>465-2020</t>
  </si>
  <si>
    <t>466-2020</t>
  </si>
  <si>
    <t>467-2020</t>
  </si>
  <si>
    <t>468-2020</t>
  </si>
  <si>
    <t>469-2020</t>
  </si>
  <si>
    <t>470-2020</t>
  </si>
  <si>
    <t>471-2020</t>
  </si>
  <si>
    <t>472-2020</t>
  </si>
  <si>
    <t>473-2020</t>
  </si>
  <si>
    <t>474-2020</t>
  </si>
  <si>
    <t>475-2020</t>
  </si>
  <si>
    <t>476-2020</t>
  </si>
  <si>
    <t>477-2020</t>
  </si>
  <si>
    <t>478-2020</t>
  </si>
  <si>
    <t>479-2020</t>
  </si>
  <si>
    <t>480-2020</t>
  </si>
  <si>
    <t>481-2020</t>
  </si>
  <si>
    <t>482-2020</t>
  </si>
  <si>
    <t>483-2020</t>
  </si>
  <si>
    <t>484-2020</t>
  </si>
  <si>
    <t>485-2020</t>
  </si>
  <si>
    <t>486-2020</t>
  </si>
  <si>
    <t>487-2020</t>
  </si>
  <si>
    <t>488-2020</t>
  </si>
  <si>
    <t>489-2020</t>
  </si>
  <si>
    <t>490-2020</t>
  </si>
  <si>
    <t>491-2020</t>
  </si>
  <si>
    <t>492-2020</t>
  </si>
  <si>
    <t>493-2020</t>
  </si>
  <si>
    <t>494-2020</t>
  </si>
  <si>
    <t>495-2020</t>
  </si>
  <si>
    <t>496-2020</t>
  </si>
  <si>
    <t>497-2020</t>
  </si>
  <si>
    <t>498-2020</t>
  </si>
  <si>
    <t>499-2020</t>
  </si>
  <si>
    <t>500-2020</t>
  </si>
  <si>
    <t>501-2020</t>
  </si>
  <si>
    <t>502-2020</t>
  </si>
  <si>
    <t>503-2020</t>
  </si>
  <si>
    <t>504-2020</t>
  </si>
  <si>
    <t>505-2020</t>
  </si>
  <si>
    <t>506-2020</t>
  </si>
  <si>
    <t>507-2020</t>
  </si>
  <si>
    <t>508-2020</t>
  </si>
  <si>
    <t>509-2020</t>
  </si>
  <si>
    <t>510-2020</t>
  </si>
  <si>
    <t>511-2020</t>
  </si>
  <si>
    <t>512-2020</t>
  </si>
  <si>
    <t>513-2020</t>
  </si>
  <si>
    <t>514-2020</t>
  </si>
  <si>
    <t>515-2020</t>
  </si>
  <si>
    <t>516-2020</t>
  </si>
  <si>
    <t>517-2020</t>
  </si>
  <si>
    <t>518-2020</t>
  </si>
  <si>
    <t>519-2020</t>
  </si>
  <si>
    <t>520-2020</t>
  </si>
  <si>
    <t>521-2020</t>
  </si>
  <si>
    <t>522-2020</t>
  </si>
  <si>
    <t>523-2020</t>
  </si>
  <si>
    <t>524-2020</t>
  </si>
  <si>
    <t>525-2020</t>
  </si>
  <si>
    <t>526-2020</t>
  </si>
  <si>
    <t>527-2020</t>
  </si>
  <si>
    <t>528-2020</t>
  </si>
  <si>
    <t>529-2020</t>
  </si>
  <si>
    <t>530-2020</t>
  </si>
  <si>
    <t>531-2020</t>
  </si>
  <si>
    <t>532-2020</t>
  </si>
  <si>
    <t>533-2020</t>
  </si>
  <si>
    <t>534-2020</t>
  </si>
  <si>
    <t>535-2020</t>
  </si>
  <si>
    <t>536-2020</t>
  </si>
  <si>
    <t>537-2020</t>
  </si>
  <si>
    <t>538-2020</t>
  </si>
  <si>
    <t>539-2020</t>
  </si>
  <si>
    <t>540-2020</t>
  </si>
  <si>
    <t>541-2020</t>
  </si>
  <si>
    <t>542-2020</t>
  </si>
  <si>
    <t>543-2020</t>
  </si>
  <si>
    <t>544-2020</t>
  </si>
  <si>
    <t>545-2020</t>
  </si>
  <si>
    <t>546-2020</t>
  </si>
  <si>
    <t>547-2020</t>
  </si>
  <si>
    <t>548-2020</t>
  </si>
  <si>
    <t>549-2020</t>
  </si>
  <si>
    <t>550-2020</t>
  </si>
  <si>
    <t>551-2020</t>
  </si>
  <si>
    <t>552-2020</t>
  </si>
  <si>
    <t>553-2020</t>
  </si>
  <si>
    <t>554-2020</t>
  </si>
  <si>
    <t>555-2020</t>
  </si>
  <si>
    <t>556-2020</t>
  </si>
  <si>
    <t>557-2020</t>
  </si>
  <si>
    <t>558-2020</t>
  </si>
  <si>
    <t>559-2020</t>
  </si>
  <si>
    <t>560-2020</t>
  </si>
  <si>
    <t>561-2020</t>
  </si>
  <si>
    <t>562-2020</t>
  </si>
  <si>
    <t>563-2020</t>
  </si>
  <si>
    <t>564-2020</t>
  </si>
  <si>
    <t>565-2020</t>
  </si>
  <si>
    <t>566-2020</t>
  </si>
  <si>
    <t>567-2020</t>
  </si>
  <si>
    <t>568-2020</t>
  </si>
  <si>
    <t>569-2020</t>
  </si>
  <si>
    <t>570-2020</t>
  </si>
  <si>
    <t>571-2020</t>
  </si>
  <si>
    <t>572-2020</t>
  </si>
  <si>
    <t>573-2020</t>
  </si>
  <si>
    <t>574-2020</t>
  </si>
  <si>
    <t>575-2020</t>
  </si>
  <si>
    <t>576-2020</t>
  </si>
  <si>
    <t>577-2020</t>
  </si>
  <si>
    <t>578-2020</t>
  </si>
  <si>
    <t>579-2020</t>
  </si>
  <si>
    <t>580-2020</t>
  </si>
  <si>
    <t>581-2020</t>
  </si>
  <si>
    <t>582-2020</t>
  </si>
  <si>
    <t>583-2020</t>
  </si>
  <si>
    <t>584-2020</t>
  </si>
  <si>
    <t>585-2020</t>
  </si>
  <si>
    <t>586-2020</t>
  </si>
  <si>
    <t>587-2020</t>
  </si>
  <si>
    <t>588-2020</t>
  </si>
  <si>
    <t>589-2020</t>
  </si>
  <si>
    <t>590-2020</t>
  </si>
  <si>
    <t>591-2020</t>
  </si>
  <si>
    <t>592-2020</t>
  </si>
  <si>
    <t>593-2020</t>
  </si>
  <si>
    <t>594-2020</t>
  </si>
  <si>
    <t>595-2020</t>
  </si>
  <si>
    <t>596-2020</t>
  </si>
  <si>
    <t>597-2020</t>
  </si>
  <si>
    <t>598-2020</t>
  </si>
  <si>
    <t>599-2020</t>
  </si>
  <si>
    <t>600-2020</t>
  </si>
  <si>
    <t>601-2020</t>
  </si>
  <si>
    <t>602-2020</t>
  </si>
  <si>
    <t>603-2020</t>
  </si>
  <si>
    <t>604-2020</t>
  </si>
  <si>
    <t>605-2020</t>
  </si>
  <si>
    <t>606-2020</t>
  </si>
  <si>
    <t>607-2020</t>
  </si>
  <si>
    <t>608-2020</t>
  </si>
  <si>
    <t>609-2020</t>
  </si>
  <si>
    <t>610-2020</t>
  </si>
  <si>
    <t>611-2020</t>
  </si>
  <si>
    <t>612-2020</t>
  </si>
  <si>
    <t>613-2020</t>
  </si>
  <si>
    <t>614-2020</t>
  </si>
  <si>
    <t>615-2020</t>
  </si>
  <si>
    <t>616-2020</t>
  </si>
  <si>
    <t>617-2020</t>
  </si>
  <si>
    <t>618-2020</t>
  </si>
  <si>
    <t>619-2020</t>
  </si>
  <si>
    <t>620-2020</t>
  </si>
  <si>
    <t>621-2020</t>
  </si>
  <si>
    <t>622-2020</t>
  </si>
  <si>
    <t>623-2020</t>
  </si>
  <si>
    <t>624-2020</t>
  </si>
  <si>
    <t>625-2020</t>
  </si>
  <si>
    <t>626-2020</t>
  </si>
  <si>
    <t>627-2020</t>
  </si>
  <si>
    <t>628-2020</t>
  </si>
  <si>
    <t>629-2020</t>
  </si>
  <si>
    <t>630-2020</t>
  </si>
  <si>
    <t>631-2020</t>
  </si>
  <si>
    <t>632-2020</t>
  </si>
  <si>
    <t>633-2020</t>
  </si>
  <si>
    <t>634-2020</t>
  </si>
  <si>
    <t>635-2020</t>
  </si>
  <si>
    <t>636-2020</t>
  </si>
  <si>
    <t>637-2020</t>
  </si>
  <si>
    <t>638-2020</t>
  </si>
  <si>
    <t>639-2020</t>
  </si>
  <si>
    <t>640-2020</t>
  </si>
  <si>
    <t>641-2020</t>
  </si>
  <si>
    <t>642-2020</t>
  </si>
  <si>
    <t>643-2020</t>
  </si>
  <si>
    <t>644-2020</t>
  </si>
  <si>
    <t>645-2020</t>
  </si>
  <si>
    <t>646-2020</t>
  </si>
  <si>
    <t>647-2020</t>
  </si>
  <si>
    <t>648-2020</t>
  </si>
  <si>
    <t>649-2020</t>
  </si>
  <si>
    <t>650-2020</t>
  </si>
  <si>
    <t>651-2020</t>
  </si>
  <si>
    <t>652-2020</t>
  </si>
  <si>
    <t>653-2020</t>
  </si>
  <si>
    <t>654-2020</t>
  </si>
  <si>
    <t>655-2020</t>
  </si>
  <si>
    <t>656-2020</t>
  </si>
  <si>
    <t>657-2020</t>
  </si>
  <si>
    <t>658-2020</t>
  </si>
  <si>
    <t>659-2020</t>
  </si>
  <si>
    <t>660-2020</t>
  </si>
  <si>
    <t>661-2020</t>
  </si>
  <si>
    <t>662-2020</t>
  </si>
  <si>
    <t>663-2020</t>
  </si>
  <si>
    <t>664-2020</t>
  </si>
  <si>
    <t>665-2020</t>
  </si>
  <si>
    <t>666-2020</t>
  </si>
  <si>
    <t>667-2020</t>
  </si>
  <si>
    <t>668-2020</t>
  </si>
  <si>
    <t>669-2020</t>
  </si>
  <si>
    <t>670-2020</t>
  </si>
  <si>
    <t>671-2020</t>
  </si>
  <si>
    <t>672-2020</t>
  </si>
  <si>
    <t>673-2020</t>
  </si>
  <si>
    <t>674-2020</t>
  </si>
  <si>
    <t>675-2020</t>
  </si>
  <si>
    <t>676-2020</t>
  </si>
  <si>
    <t>677-2020</t>
  </si>
  <si>
    <t>678-2020</t>
  </si>
  <si>
    <t>679-2020</t>
  </si>
  <si>
    <t>680-2020</t>
  </si>
  <si>
    <t>681-2020</t>
  </si>
  <si>
    <t>682-2020</t>
  </si>
  <si>
    <t>683-2020</t>
  </si>
  <si>
    <t>684-2020</t>
  </si>
  <si>
    <t>685-2020</t>
  </si>
  <si>
    <t>686-2020</t>
  </si>
  <si>
    <t>687-2020</t>
  </si>
  <si>
    <t>688-2020</t>
  </si>
  <si>
    <t>689-2020</t>
  </si>
  <si>
    <t>690-2020</t>
  </si>
  <si>
    <t>691-2020</t>
  </si>
  <si>
    <t>692-2020</t>
  </si>
  <si>
    <t>693-2020</t>
  </si>
  <si>
    <t>694-2020</t>
  </si>
  <si>
    <t>695-2020</t>
  </si>
  <si>
    <t>696-2020</t>
  </si>
  <si>
    <t>697-2020</t>
  </si>
  <si>
    <t>698-2020</t>
  </si>
  <si>
    <t>699-2020</t>
  </si>
  <si>
    <t>700-2020</t>
  </si>
  <si>
    <t>701-2020</t>
  </si>
  <si>
    <t>702-2020</t>
  </si>
  <si>
    <t>703-2020</t>
  </si>
  <si>
    <t>704-2020</t>
  </si>
  <si>
    <t>705-2020</t>
  </si>
  <si>
    <t>706-2020</t>
  </si>
  <si>
    <t>707-2020</t>
  </si>
  <si>
    <t>708-2020</t>
  </si>
  <si>
    <t>709-2020</t>
  </si>
  <si>
    <t>710-2020</t>
  </si>
  <si>
    <t>711-2020</t>
  </si>
  <si>
    <t>712-2020</t>
  </si>
  <si>
    <t>713-2020</t>
  </si>
  <si>
    <t>714-2020</t>
  </si>
  <si>
    <t>715-2020</t>
  </si>
  <si>
    <t>716-2020</t>
  </si>
  <si>
    <t>717-2020</t>
  </si>
  <si>
    <t>718-2020</t>
  </si>
  <si>
    <t>719-2020</t>
  </si>
  <si>
    <t>720-2020</t>
  </si>
  <si>
    <t>721-2020</t>
  </si>
  <si>
    <t>722-2020</t>
  </si>
  <si>
    <t>723-2020</t>
  </si>
  <si>
    <t>724-2020</t>
  </si>
  <si>
    <t>725-2020</t>
  </si>
  <si>
    <t>726-2020</t>
  </si>
  <si>
    <t>727-2020</t>
  </si>
  <si>
    <t>728-2020</t>
  </si>
  <si>
    <t>729-2020</t>
  </si>
  <si>
    <t>730-2020</t>
  </si>
  <si>
    <t>731-2020</t>
  </si>
  <si>
    <t>732-2020</t>
  </si>
  <si>
    <t>733-2020</t>
  </si>
  <si>
    <t>734-2020</t>
  </si>
  <si>
    <t>735-2020</t>
  </si>
  <si>
    <t>736-2020</t>
  </si>
  <si>
    <t>737-2020</t>
  </si>
  <si>
    <t>738-2020</t>
  </si>
  <si>
    <t>739-2020</t>
  </si>
  <si>
    <t>740-2020</t>
  </si>
  <si>
    <t>741-2020</t>
  </si>
  <si>
    <t>742-2020</t>
  </si>
  <si>
    <t>743-2020</t>
  </si>
  <si>
    <t>744-2020</t>
  </si>
  <si>
    <t>745-2020</t>
  </si>
  <si>
    <t>746-2020</t>
  </si>
  <si>
    <t>747-2020</t>
  </si>
  <si>
    <t>748-2020</t>
  </si>
  <si>
    <t>749-2020</t>
  </si>
  <si>
    <t>750-2020</t>
  </si>
  <si>
    <t>751-2020</t>
  </si>
  <si>
    <t>752-2020</t>
  </si>
  <si>
    <t>753-2020</t>
  </si>
  <si>
    <t>754-2020</t>
  </si>
  <si>
    <t>755-2020</t>
  </si>
  <si>
    <t>756-2020</t>
  </si>
  <si>
    <t>757-2020</t>
  </si>
  <si>
    <t>758-2020</t>
  </si>
  <si>
    <t>759-2020</t>
  </si>
  <si>
    <t>760-2020</t>
  </si>
  <si>
    <t>761-2020</t>
  </si>
  <si>
    <t>762-2020</t>
  </si>
  <si>
    <t>763-2020</t>
  </si>
  <si>
    <t>764-2020</t>
  </si>
  <si>
    <t>765-2020</t>
  </si>
  <si>
    <t>766-2020</t>
  </si>
  <si>
    <t>767-2020</t>
  </si>
  <si>
    <t>768-2020</t>
  </si>
  <si>
    <t>769-2020</t>
  </si>
  <si>
    <t>770-2020</t>
  </si>
  <si>
    <t>771-2020</t>
  </si>
  <si>
    <t>772-2020</t>
  </si>
  <si>
    <t>773-2020</t>
  </si>
  <si>
    <t>774-2020</t>
  </si>
  <si>
    <t>775-2020</t>
  </si>
  <si>
    <t>776-2020</t>
  </si>
  <si>
    <t>777-2020</t>
  </si>
  <si>
    <t>778-2020</t>
  </si>
  <si>
    <t>779-2020</t>
  </si>
  <si>
    <t>780-2020</t>
  </si>
  <si>
    <t>781-2020</t>
  </si>
  <si>
    <t>782-2020</t>
  </si>
  <si>
    <t>783-2020</t>
  </si>
  <si>
    <t>784-2020</t>
  </si>
  <si>
    <t>785-2020</t>
  </si>
  <si>
    <t>786-2020</t>
  </si>
  <si>
    <t>787-2020</t>
  </si>
  <si>
    <t>788-2020</t>
  </si>
  <si>
    <t>789-2020</t>
  </si>
  <si>
    <t>790-2020</t>
  </si>
  <si>
    <t>791-2020</t>
  </si>
  <si>
    <t>792-2020</t>
  </si>
  <si>
    <t>793-2020</t>
  </si>
  <si>
    <t>794-2020</t>
  </si>
  <si>
    <t>795-2020</t>
  </si>
  <si>
    <t>796-2020</t>
  </si>
  <si>
    <t>797-2020</t>
  </si>
  <si>
    <t>798-2020</t>
  </si>
  <si>
    <t>799-2020</t>
  </si>
  <si>
    <t>800-2020</t>
  </si>
  <si>
    <t>801-2020</t>
  </si>
  <si>
    <t>802-2020</t>
  </si>
  <si>
    <t>803-2020</t>
  </si>
  <si>
    <t>804-2020</t>
  </si>
  <si>
    <t>805-2020</t>
  </si>
  <si>
    <t>806-2020</t>
  </si>
  <si>
    <t>807-2020</t>
  </si>
  <si>
    <t>808-2020</t>
  </si>
  <si>
    <t>809-2020</t>
  </si>
  <si>
    <t>810-2020</t>
  </si>
  <si>
    <t>811-2020</t>
  </si>
  <si>
    <t>812-2020</t>
  </si>
  <si>
    <t>813-2020</t>
  </si>
  <si>
    <t>814-2020</t>
  </si>
  <si>
    <t>815-2020</t>
  </si>
  <si>
    <t>816-2020</t>
  </si>
  <si>
    <t>817-2020</t>
  </si>
  <si>
    <t>818-2020</t>
  </si>
  <si>
    <t>819-2020</t>
  </si>
  <si>
    <t>820-2020</t>
  </si>
  <si>
    <t>821-2020</t>
  </si>
  <si>
    <t>822-2020</t>
  </si>
  <si>
    <t>823-2020</t>
  </si>
  <si>
    <t>824-2020</t>
  </si>
  <si>
    <t>825-2020</t>
  </si>
  <si>
    <t>826-2020</t>
  </si>
  <si>
    <t>827-2020</t>
  </si>
  <si>
    <t>828-2020</t>
  </si>
  <si>
    <t>829-2020</t>
  </si>
  <si>
    <t>830-2020</t>
  </si>
  <si>
    <t>831-2020</t>
  </si>
  <si>
    <t>832-2020</t>
  </si>
  <si>
    <t>833-2020</t>
  </si>
  <si>
    <t>834-2020</t>
  </si>
  <si>
    <t>835-2020</t>
  </si>
  <si>
    <t>836-2020</t>
  </si>
  <si>
    <t>837-2020</t>
  </si>
  <si>
    <t>838-2020</t>
  </si>
  <si>
    <t>839-2020</t>
  </si>
  <si>
    <t>840-2020</t>
  </si>
  <si>
    <t>841-2020</t>
  </si>
  <si>
    <t>842-2020</t>
  </si>
  <si>
    <t>843-2020</t>
  </si>
  <si>
    <t>844-2020</t>
  </si>
  <si>
    <t>845-2020</t>
  </si>
  <si>
    <t>846-2020</t>
  </si>
  <si>
    <t>847-2020</t>
  </si>
  <si>
    <t>848-2020</t>
  </si>
  <si>
    <t>849-2020</t>
  </si>
  <si>
    <t>850-2020</t>
  </si>
  <si>
    <t>851-2020</t>
  </si>
  <si>
    <t>852-2020</t>
  </si>
  <si>
    <t>853-2020</t>
  </si>
  <si>
    <t>854-2020</t>
  </si>
  <si>
    <t>855-2020</t>
  </si>
  <si>
    <t>856-2020</t>
  </si>
  <si>
    <t>857-2020</t>
  </si>
  <si>
    <t>858-2020</t>
  </si>
  <si>
    <t>859-2020</t>
  </si>
  <si>
    <t>860-2020</t>
  </si>
  <si>
    <t>861-2020</t>
  </si>
  <si>
    <t>862-2020</t>
  </si>
  <si>
    <t>863-2020</t>
  </si>
  <si>
    <t>864-2020</t>
  </si>
  <si>
    <t>865-2020</t>
  </si>
  <si>
    <t>866-2020</t>
  </si>
  <si>
    <t>867-2020</t>
  </si>
  <si>
    <t>868-2020</t>
  </si>
  <si>
    <t>869-2020</t>
  </si>
  <si>
    <t>870-2020</t>
  </si>
  <si>
    <t>871-2020</t>
  </si>
  <si>
    <t>872-2020</t>
  </si>
  <si>
    <t>873-2020</t>
  </si>
  <si>
    <t>874-2020</t>
  </si>
  <si>
    <t>875-2020</t>
  </si>
  <si>
    <t>876-2020</t>
  </si>
  <si>
    <t>877-2020</t>
  </si>
  <si>
    <t>878-2020</t>
  </si>
  <si>
    <t>879-2020</t>
  </si>
  <si>
    <t>880-2020</t>
  </si>
  <si>
    <t>881-2020</t>
  </si>
  <si>
    <t>882-2020</t>
  </si>
  <si>
    <t>883-2020</t>
  </si>
  <si>
    <t>884-2020</t>
  </si>
  <si>
    <t>885-2020</t>
  </si>
  <si>
    <t>886-2020</t>
  </si>
  <si>
    <t>887-2020</t>
  </si>
  <si>
    <t>888-2020</t>
  </si>
  <si>
    <t>889-2020</t>
  </si>
  <si>
    <t>890-2020</t>
  </si>
  <si>
    <t>891-2020</t>
  </si>
  <si>
    <t>892-2020</t>
  </si>
  <si>
    <t>893-2020</t>
  </si>
  <si>
    <t>894-2020</t>
  </si>
  <si>
    <t>895-2020</t>
  </si>
  <si>
    <t>896-2020</t>
  </si>
  <si>
    <t>897-2020</t>
  </si>
  <si>
    <t>898-2020</t>
  </si>
  <si>
    <t>899-2020</t>
  </si>
  <si>
    <t>900-2020</t>
  </si>
  <si>
    <t>901-2020</t>
  </si>
  <si>
    <t>902-2020</t>
  </si>
  <si>
    <t>903-2020</t>
  </si>
  <si>
    <t>904-2020</t>
  </si>
  <si>
    <t>905-2020</t>
  </si>
  <si>
    <t>906-2020</t>
  </si>
  <si>
    <t>907-2020</t>
  </si>
  <si>
    <t>908-2020</t>
  </si>
  <si>
    <t>909-2020</t>
  </si>
  <si>
    <t>910-2020</t>
  </si>
  <si>
    <t>911-2020</t>
  </si>
  <si>
    <t>912-2020</t>
  </si>
  <si>
    <t>913-2020</t>
  </si>
  <si>
    <t>914-2020</t>
  </si>
  <si>
    <t>915-2020</t>
  </si>
  <si>
    <t>916-2020</t>
  </si>
  <si>
    <t>917-2020</t>
  </si>
  <si>
    <t>918-2020</t>
  </si>
  <si>
    <t>919-2020</t>
  </si>
  <si>
    <t>920-2020</t>
  </si>
  <si>
    <t>921-2020</t>
  </si>
  <si>
    <t>922-2020</t>
  </si>
  <si>
    <t>923-2020</t>
  </si>
  <si>
    <t>924-2020</t>
  </si>
  <si>
    <t>925-2020</t>
  </si>
  <si>
    <t>926-2020</t>
  </si>
  <si>
    <t>927-2020</t>
  </si>
  <si>
    <t>928-2020</t>
  </si>
  <si>
    <t>929-2020</t>
  </si>
  <si>
    <t>930-2020</t>
  </si>
  <si>
    <t>931-2020</t>
  </si>
  <si>
    <t>932-2020</t>
  </si>
  <si>
    <t>933-2020</t>
  </si>
  <si>
    <t>934-2020</t>
  </si>
  <si>
    <t>935-2020</t>
  </si>
  <si>
    <t>936-2020</t>
  </si>
  <si>
    <t>937-2020</t>
  </si>
  <si>
    <t>938-2020</t>
  </si>
  <si>
    <t>939-2020</t>
  </si>
  <si>
    <t>940-2020</t>
  </si>
  <si>
    <t>941-2020</t>
  </si>
  <si>
    <t>942-2020</t>
  </si>
  <si>
    <t>943-2020</t>
  </si>
  <si>
    <t>944-2020</t>
  </si>
  <si>
    <t>945-2020</t>
  </si>
  <si>
    <t>946-2020</t>
  </si>
  <si>
    <t>947-2020</t>
  </si>
  <si>
    <t>948-2020</t>
  </si>
  <si>
    <t>949-2020</t>
  </si>
  <si>
    <t>950-2020</t>
  </si>
  <si>
    <t>951-2020</t>
  </si>
  <si>
    <t>952-2020</t>
  </si>
  <si>
    <t>953-2020</t>
  </si>
  <si>
    <t>954-2020</t>
  </si>
  <si>
    <t>955-2020</t>
  </si>
  <si>
    <t>956-2020</t>
  </si>
  <si>
    <t>957-2020</t>
  </si>
  <si>
    <t>958-2020</t>
  </si>
  <si>
    <t>959-2020</t>
  </si>
  <si>
    <t>960-2020</t>
  </si>
  <si>
    <t>961-2020</t>
  </si>
  <si>
    <t>962-2020</t>
  </si>
  <si>
    <t>963-2020</t>
  </si>
  <si>
    <t>964-2020</t>
  </si>
  <si>
    <t>965-2020</t>
  </si>
  <si>
    <t>966-2020</t>
  </si>
  <si>
    <t>967-2020</t>
  </si>
  <si>
    <t>968-2020</t>
  </si>
  <si>
    <t>969-2020</t>
  </si>
  <si>
    <t>970-2020</t>
  </si>
  <si>
    <t>971-2020</t>
  </si>
  <si>
    <t>972-2020</t>
  </si>
  <si>
    <t>973-2020</t>
  </si>
  <si>
    <t>974-2020</t>
  </si>
  <si>
    <t>975-2020</t>
  </si>
  <si>
    <t>976-2020</t>
  </si>
  <si>
    <t>977-2020</t>
  </si>
  <si>
    <t>978-2020</t>
  </si>
  <si>
    <t>979-2020</t>
  </si>
  <si>
    <t>980-2020</t>
  </si>
  <si>
    <t>981-2020</t>
  </si>
  <si>
    <t>982-2020</t>
  </si>
  <si>
    <t>983-2020</t>
  </si>
  <si>
    <t>984-2020</t>
  </si>
  <si>
    <t>985-2020</t>
  </si>
  <si>
    <t>986-2020</t>
  </si>
  <si>
    <t>987-2020</t>
  </si>
  <si>
    <t>988-2020</t>
  </si>
  <si>
    <t>989-2020</t>
  </si>
  <si>
    <t>990-2020</t>
  </si>
  <si>
    <t>991-2020</t>
  </si>
  <si>
    <t>992-2020</t>
  </si>
  <si>
    <t>993-2020</t>
  </si>
  <si>
    <t>994-2020</t>
  </si>
  <si>
    <t>995-2020</t>
  </si>
  <si>
    <t>996-2020</t>
  </si>
  <si>
    <t>997-2020</t>
  </si>
  <si>
    <t>998-2020</t>
  </si>
  <si>
    <t>999-2020</t>
  </si>
  <si>
    <t>1000-2020</t>
  </si>
  <si>
    <t>Etat Factures</t>
  </si>
  <si>
    <t>Détail Facture</t>
  </si>
  <si>
    <t>Avoir N°:</t>
  </si>
  <si>
    <t>N° Avoir</t>
  </si>
  <si>
    <t>N° Avoir Futur</t>
  </si>
  <si>
    <t>N°Facture Future</t>
  </si>
  <si>
    <t>N° Avoir
FactSaisDetail</t>
  </si>
  <si>
    <t>Equilibre Global / Détail des Avoirs</t>
  </si>
  <si>
    <t>Equilibre Global / Détail des Factures</t>
  </si>
  <si>
    <t>15 01 08</t>
  </si>
  <si>
    <t>Elec</t>
  </si>
  <si>
    <t>A-001-2020</t>
  </si>
  <si>
    <t>A-002-2020</t>
  </si>
  <si>
    <t>A-003-2020</t>
  </si>
  <si>
    <t>A-004-2020</t>
  </si>
  <si>
    <t>A-005-2020</t>
  </si>
  <si>
    <t>A-006-2020</t>
  </si>
  <si>
    <t>A-007-2020</t>
  </si>
  <si>
    <t>A-008-2020</t>
  </si>
  <si>
    <t>A-009-2020</t>
  </si>
  <si>
    <t>A-010-2020</t>
  </si>
  <si>
    <t>A-011-2020</t>
  </si>
  <si>
    <t>A-012-2020</t>
  </si>
  <si>
    <t>A-013-2020</t>
  </si>
  <si>
    <t>A-014-2020</t>
  </si>
  <si>
    <t>A-015-2020</t>
  </si>
  <si>
    <t>A-016-2020</t>
  </si>
  <si>
    <t>A-017-2020</t>
  </si>
  <si>
    <t>A-018-2020</t>
  </si>
  <si>
    <t>A-019-2020</t>
  </si>
  <si>
    <t>A-020-2020</t>
  </si>
  <si>
    <t>A-021-2020</t>
  </si>
  <si>
    <t>A-022-2020</t>
  </si>
  <si>
    <t>A-023-2020</t>
  </si>
  <si>
    <t>A-024-2020</t>
  </si>
  <si>
    <t>A-025-2020</t>
  </si>
  <si>
    <t>A-026-2020</t>
  </si>
  <si>
    <t>A-027-2020</t>
  </si>
  <si>
    <t>A-028-2020</t>
  </si>
  <si>
    <t>A-029-2020</t>
  </si>
  <si>
    <t>A-030-2020</t>
  </si>
  <si>
    <t>A-031-2020</t>
  </si>
  <si>
    <t>A-032-2020</t>
  </si>
  <si>
    <t>A-033-2020</t>
  </si>
  <si>
    <t>A-034-2020</t>
  </si>
  <si>
    <t>A-035-2020</t>
  </si>
  <si>
    <t>A-036-2020</t>
  </si>
  <si>
    <t>A-037-2020</t>
  </si>
  <si>
    <t>A-038-2020</t>
  </si>
  <si>
    <t>A-039-2020</t>
  </si>
  <si>
    <t>A-040-2020</t>
  </si>
  <si>
    <t>A-041-2020</t>
  </si>
  <si>
    <t>A-042-2020</t>
  </si>
  <si>
    <t>A-043-2020</t>
  </si>
  <si>
    <t>A-044-2020</t>
  </si>
  <si>
    <t>A-045-2020</t>
  </si>
  <si>
    <t>A-046-2020</t>
  </si>
  <si>
    <t>A-047-2020</t>
  </si>
  <si>
    <t>A-048-2020</t>
  </si>
  <si>
    <t>A-049-2020</t>
  </si>
  <si>
    <t>A-050-2020</t>
  </si>
  <si>
    <t>A-051-2020</t>
  </si>
  <si>
    <t>A-052-2020</t>
  </si>
  <si>
    <t>A-053-2020</t>
  </si>
  <si>
    <t>A-054-2020</t>
  </si>
  <si>
    <t>A-055-2020</t>
  </si>
  <si>
    <t>A-056-2020</t>
  </si>
  <si>
    <t>A-057-2020</t>
  </si>
  <si>
    <t>A-058-2020</t>
  </si>
  <si>
    <t>A-059-2020</t>
  </si>
  <si>
    <t>A-060-2020</t>
  </si>
  <si>
    <t>A-061-2020</t>
  </si>
  <si>
    <t>A-062-2020</t>
  </si>
  <si>
    <t>A-063-2020</t>
  </si>
  <si>
    <t>A-064-2020</t>
  </si>
  <si>
    <t>A-065-2020</t>
  </si>
  <si>
    <t>A-066-2020</t>
  </si>
  <si>
    <t>A-067-2020</t>
  </si>
  <si>
    <t>A-068-2020</t>
  </si>
  <si>
    <t>A-069-2020</t>
  </si>
  <si>
    <t>A-070-2020</t>
  </si>
  <si>
    <t>A-071-2020</t>
  </si>
  <si>
    <t>A-072-2020</t>
  </si>
  <si>
    <t>A-073-2020</t>
  </si>
  <si>
    <t>A-074-2020</t>
  </si>
  <si>
    <t>A-075-2020</t>
  </si>
  <si>
    <t>A-076-2020</t>
  </si>
  <si>
    <t>A-077-2020</t>
  </si>
  <si>
    <t>A-078-2020</t>
  </si>
  <si>
    <t>A-079-2020</t>
  </si>
  <si>
    <t>A-080-2020</t>
  </si>
  <si>
    <t>A-081-2020</t>
  </si>
  <si>
    <t>A-082-2020</t>
  </si>
  <si>
    <t>A-083-2020</t>
  </si>
  <si>
    <t>A-084-2020</t>
  </si>
  <si>
    <t>A-085-2020</t>
  </si>
  <si>
    <t>A-086-2020</t>
  </si>
  <si>
    <t>A-087-2020</t>
  </si>
  <si>
    <t>A-088-2020</t>
  </si>
  <si>
    <t>A-089-2020</t>
  </si>
  <si>
    <t>A-090-2020</t>
  </si>
  <si>
    <t>A-091-2020</t>
  </si>
  <si>
    <t>A-092-2020</t>
  </si>
  <si>
    <t>A-093-2020</t>
  </si>
  <si>
    <t>A-094-2020</t>
  </si>
  <si>
    <t>A-095-2020</t>
  </si>
  <si>
    <t>A-096-2020</t>
  </si>
  <si>
    <t>A-097-2020</t>
  </si>
  <si>
    <t>A-098-2020</t>
  </si>
  <si>
    <t>A-099-2020</t>
  </si>
  <si>
    <t>A-100-2020</t>
  </si>
  <si>
    <t>A-101-2020</t>
  </si>
  <si>
    <t>A-102-2020</t>
  </si>
  <si>
    <t>A-103-2020</t>
  </si>
  <si>
    <t>A-104-2020</t>
  </si>
  <si>
    <t>A-105-2020</t>
  </si>
  <si>
    <t>A-106-2020</t>
  </si>
  <si>
    <t>A-107-2020</t>
  </si>
  <si>
    <t>A-108-2020</t>
  </si>
  <si>
    <t>A-109-2020</t>
  </si>
  <si>
    <t>A-110-2020</t>
  </si>
  <si>
    <t>A-111-2020</t>
  </si>
  <si>
    <t>A-112-2020</t>
  </si>
  <si>
    <t>A-113-2020</t>
  </si>
  <si>
    <t>A-114-2020</t>
  </si>
  <si>
    <t>A-115-2020</t>
  </si>
  <si>
    <t>A-116-2020</t>
  </si>
  <si>
    <t>A-117-2020</t>
  </si>
  <si>
    <t>A-118-2020</t>
  </si>
  <si>
    <t>A-119-2020</t>
  </si>
  <si>
    <t>A-120-2020</t>
  </si>
  <si>
    <t>A-121-2020</t>
  </si>
  <si>
    <t>A-122-2020</t>
  </si>
  <si>
    <t>A-123-2020</t>
  </si>
  <si>
    <t>A-124-2020</t>
  </si>
  <si>
    <t>A-125-2020</t>
  </si>
  <si>
    <t>A-126-2020</t>
  </si>
  <si>
    <t>A-127-2020</t>
  </si>
  <si>
    <t>A-128-2020</t>
  </si>
  <si>
    <t>A-129-2020</t>
  </si>
  <si>
    <t>A-130-2020</t>
  </si>
  <si>
    <t>A-131-2020</t>
  </si>
  <si>
    <t>A-132-2020</t>
  </si>
  <si>
    <t>A-133-2020</t>
  </si>
  <si>
    <t>A-134-2020</t>
  </si>
  <si>
    <t>A-135-2020</t>
  </si>
  <si>
    <t>A-136-2020</t>
  </si>
  <si>
    <t>A-137-2020</t>
  </si>
  <si>
    <t>A-138-2020</t>
  </si>
  <si>
    <t>A-139-2020</t>
  </si>
  <si>
    <t>A-140-2020</t>
  </si>
  <si>
    <t>A-141-2020</t>
  </si>
  <si>
    <t>A-142-2020</t>
  </si>
  <si>
    <t>A-143-2020</t>
  </si>
  <si>
    <t>A-144-2020</t>
  </si>
  <si>
    <t>A-145-2020</t>
  </si>
  <si>
    <t>A-146-2020</t>
  </si>
  <si>
    <t>A-147-2020</t>
  </si>
  <si>
    <t>A-148-2020</t>
  </si>
  <si>
    <t>A-149-2020</t>
  </si>
  <si>
    <t>A-150-2020</t>
  </si>
  <si>
    <t>A-151-2020</t>
  </si>
  <si>
    <t>A-152-2020</t>
  </si>
  <si>
    <t>A-153-2020</t>
  </si>
  <si>
    <t>A-154-2020</t>
  </si>
  <si>
    <t>A-155-2020</t>
  </si>
  <si>
    <t>A-156-2020</t>
  </si>
  <si>
    <t>A-157-2020</t>
  </si>
  <si>
    <t>A-158-2020</t>
  </si>
  <si>
    <t>A-159-2020</t>
  </si>
  <si>
    <t>A-160-2020</t>
  </si>
  <si>
    <t>A-161-2020</t>
  </si>
  <si>
    <t>A-162-2020</t>
  </si>
  <si>
    <t>A-163-2020</t>
  </si>
  <si>
    <t>A-164-2020</t>
  </si>
  <si>
    <t>A-165-2020</t>
  </si>
  <si>
    <t>A-166-2020</t>
  </si>
  <si>
    <t>A-167-2020</t>
  </si>
  <si>
    <t>A-168-2020</t>
  </si>
  <si>
    <t>A-169-2020</t>
  </si>
  <si>
    <t>A-170-2020</t>
  </si>
  <si>
    <t>A-171-2020</t>
  </si>
  <si>
    <t>A-172-2020</t>
  </si>
  <si>
    <t>A-173-2020</t>
  </si>
  <si>
    <t>A-174-2020</t>
  </si>
  <si>
    <t>A-175-2020</t>
  </si>
  <si>
    <t>A-176-2020</t>
  </si>
  <si>
    <t>A-177-2020</t>
  </si>
  <si>
    <t>A-178-2020</t>
  </si>
  <si>
    <t>A-179-2020</t>
  </si>
  <si>
    <t>A-180-2020</t>
  </si>
  <si>
    <t>A-181-2020</t>
  </si>
  <si>
    <t>A-182-2020</t>
  </si>
  <si>
    <t>A-183-2020</t>
  </si>
  <si>
    <t>A-184-2020</t>
  </si>
  <si>
    <t>A-185-2020</t>
  </si>
  <si>
    <t>A-186-2020</t>
  </si>
  <si>
    <t>A-187-2020</t>
  </si>
  <si>
    <t>A-188-2020</t>
  </si>
  <si>
    <t>A-189-2020</t>
  </si>
  <si>
    <t>A-190-2020</t>
  </si>
  <si>
    <t>A-191-2020</t>
  </si>
  <si>
    <t>A-192-2020</t>
  </si>
  <si>
    <t>A-193-2020</t>
  </si>
  <si>
    <t>A-194-2020</t>
  </si>
  <si>
    <t>A-195-2020</t>
  </si>
  <si>
    <t>A-196-2020</t>
  </si>
  <si>
    <t>A-197-2020</t>
  </si>
  <si>
    <t>A-198-2020</t>
  </si>
  <si>
    <t>A-199-2020</t>
  </si>
  <si>
    <t>A-200-2020</t>
  </si>
  <si>
    <t>A-201-2020</t>
  </si>
  <si>
    <t>A-202-2020</t>
  </si>
  <si>
    <t>A-203-2020</t>
  </si>
  <si>
    <t>A-204-2020</t>
  </si>
  <si>
    <t>A-205-2020</t>
  </si>
  <si>
    <t>A-206-2020</t>
  </si>
  <si>
    <t>A-207-2020</t>
  </si>
  <si>
    <t>A-208-2020</t>
  </si>
  <si>
    <t>A-209-2020</t>
  </si>
  <si>
    <t>A-210-2020</t>
  </si>
  <si>
    <t>A-211-2020</t>
  </si>
  <si>
    <t>A-212-2020</t>
  </si>
  <si>
    <t>A-213-2020</t>
  </si>
  <si>
    <t>A-214-2020</t>
  </si>
  <si>
    <t>A-215-2020</t>
  </si>
  <si>
    <t>A-216-2020</t>
  </si>
  <si>
    <t>A-217-2020</t>
  </si>
  <si>
    <t>A-218-2020</t>
  </si>
  <si>
    <t>A-219-2020</t>
  </si>
  <si>
    <t>A-220-2020</t>
  </si>
  <si>
    <t>A-221-2020</t>
  </si>
  <si>
    <t>A-222-2020</t>
  </si>
  <si>
    <t>A-223-2020</t>
  </si>
  <si>
    <t>A-224-2020</t>
  </si>
  <si>
    <t>A-225-2020</t>
  </si>
  <si>
    <t>A-226-2020</t>
  </si>
  <si>
    <t>A-227-2020</t>
  </si>
  <si>
    <t>A-228-2020</t>
  </si>
  <si>
    <t>A-229-2020</t>
  </si>
  <si>
    <t>A-230-2020</t>
  </si>
  <si>
    <t>A-231-2020</t>
  </si>
  <si>
    <t>A-232-2020</t>
  </si>
  <si>
    <t>A-233-2020</t>
  </si>
  <si>
    <t>A-234-2020</t>
  </si>
  <si>
    <t>A-235-2020</t>
  </si>
  <si>
    <t>A-236-2020</t>
  </si>
  <si>
    <t>A-237-2020</t>
  </si>
  <si>
    <t>A-238-2020</t>
  </si>
  <si>
    <t>A-239-2020</t>
  </si>
  <si>
    <t>A-240-2020</t>
  </si>
  <si>
    <t>A-241-2020</t>
  </si>
  <si>
    <t>A-242-2020</t>
  </si>
  <si>
    <t>A-243-2020</t>
  </si>
  <si>
    <t>A-244-2020</t>
  </si>
  <si>
    <t>A-245-2020</t>
  </si>
  <si>
    <t>A-246-2020</t>
  </si>
  <si>
    <t>A-247-2020</t>
  </si>
  <si>
    <t>A-248-2020</t>
  </si>
  <si>
    <t>A-249-2020</t>
  </si>
  <si>
    <t>A-250-2020</t>
  </si>
  <si>
    <t>A-251-2020</t>
  </si>
  <si>
    <t>A-252-2020</t>
  </si>
  <si>
    <t>A-253-2020</t>
  </si>
  <si>
    <t>A-254-2020</t>
  </si>
  <si>
    <t>A-255-2020</t>
  </si>
  <si>
    <t>A-256-2020</t>
  </si>
  <si>
    <t>A-257-2020</t>
  </si>
  <si>
    <t>A-258-2020</t>
  </si>
  <si>
    <t>A-259-2020</t>
  </si>
  <si>
    <t>A-260-2020</t>
  </si>
  <si>
    <t>A-261-2020</t>
  </si>
  <si>
    <t>A-262-2020</t>
  </si>
  <si>
    <t>A-263-2020</t>
  </si>
  <si>
    <t>A-264-2020</t>
  </si>
  <si>
    <t>A-265-2020</t>
  </si>
  <si>
    <t>A-266-2020</t>
  </si>
  <si>
    <t>A-267-2020</t>
  </si>
  <si>
    <t>A-268-2020</t>
  </si>
  <si>
    <t>A-269-2020</t>
  </si>
  <si>
    <t>A-270-2020</t>
  </si>
  <si>
    <t>A-271-2020</t>
  </si>
  <si>
    <t>A-272-2020</t>
  </si>
  <si>
    <t>A-273-2020</t>
  </si>
  <si>
    <t>A-274-2020</t>
  </si>
  <si>
    <t>A-275-2020</t>
  </si>
  <si>
    <t>A-276-2020</t>
  </si>
  <si>
    <t>A-277-2020</t>
  </si>
  <si>
    <t>A-278-2020</t>
  </si>
  <si>
    <t>A-279-2020</t>
  </si>
  <si>
    <t>A-280-2020</t>
  </si>
  <si>
    <t>A-281-2020</t>
  </si>
  <si>
    <t>A-282-2020</t>
  </si>
  <si>
    <t>A-283-2020</t>
  </si>
  <si>
    <t>A-284-2020</t>
  </si>
  <si>
    <t>A-285-2020</t>
  </si>
  <si>
    <t>A-286-2020</t>
  </si>
  <si>
    <t>A-287-2020</t>
  </si>
  <si>
    <t>A-288-2020</t>
  </si>
  <si>
    <t>A-289-2020</t>
  </si>
  <si>
    <t>A-290-2020</t>
  </si>
  <si>
    <t>A-291-2020</t>
  </si>
  <si>
    <t>A-292-2020</t>
  </si>
  <si>
    <t>A-293-2020</t>
  </si>
  <si>
    <t>A-294-2020</t>
  </si>
  <si>
    <t>A-295-2020</t>
  </si>
  <si>
    <t>A-296-2020</t>
  </si>
  <si>
    <t>A-297-2020</t>
  </si>
  <si>
    <t>A-298-2020</t>
  </si>
  <si>
    <t>A-299-2020</t>
  </si>
  <si>
    <t>A-300-2020</t>
  </si>
  <si>
    <t>A-301-2020</t>
  </si>
  <si>
    <t>A-302-2020</t>
  </si>
  <si>
    <t>A-303-2020</t>
  </si>
  <si>
    <t>A-304-2020</t>
  </si>
  <si>
    <t>A-305-2020</t>
  </si>
  <si>
    <t>A-306-2020</t>
  </si>
  <si>
    <t>A-307-2020</t>
  </si>
  <si>
    <t>A-308-2020</t>
  </si>
  <si>
    <t>A-309-2020</t>
  </si>
  <si>
    <t>A-310-2020</t>
  </si>
  <si>
    <t>A-311-2020</t>
  </si>
  <si>
    <t>A-312-2020</t>
  </si>
  <si>
    <t>A-313-2020</t>
  </si>
  <si>
    <t>A-314-2020</t>
  </si>
  <si>
    <t>A-315-2020</t>
  </si>
  <si>
    <t>A-316-2020</t>
  </si>
  <si>
    <t>A-317-2020</t>
  </si>
  <si>
    <t>A-318-2020</t>
  </si>
  <si>
    <t>A-319-2020</t>
  </si>
  <si>
    <t>A-320-2020</t>
  </si>
  <si>
    <t>A-321-2020</t>
  </si>
  <si>
    <t>A-322-2020</t>
  </si>
  <si>
    <t>A-323-2020</t>
  </si>
  <si>
    <t>A-324-2020</t>
  </si>
  <si>
    <t>A-325-2020</t>
  </si>
  <si>
    <t>A-326-2020</t>
  </si>
  <si>
    <t>A-327-2020</t>
  </si>
  <si>
    <t>A-328-2020</t>
  </si>
  <si>
    <t>A-329-2020</t>
  </si>
  <si>
    <t>A-330-2020</t>
  </si>
  <si>
    <t>A-331-2020</t>
  </si>
  <si>
    <t>A-332-2020</t>
  </si>
  <si>
    <t>A-333-2020</t>
  </si>
  <si>
    <t>A-334-2020</t>
  </si>
  <si>
    <t>A-335-2020</t>
  </si>
  <si>
    <t>A-336-2020</t>
  </si>
  <si>
    <t>A-337-2020</t>
  </si>
  <si>
    <t>A-338-2020</t>
  </si>
  <si>
    <t>A-339-2020</t>
  </si>
  <si>
    <t>A-340-2020</t>
  </si>
  <si>
    <t>A-341-2020</t>
  </si>
  <si>
    <t>A-342-2020</t>
  </si>
  <si>
    <t>A-343-2020</t>
  </si>
  <si>
    <t>A-344-2020</t>
  </si>
  <si>
    <t>A-345-2020</t>
  </si>
  <si>
    <t>A-346-2020</t>
  </si>
  <si>
    <t>A-347-2020</t>
  </si>
  <si>
    <t>A-348-2020</t>
  </si>
  <si>
    <t>A-349-2020</t>
  </si>
  <si>
    <t>A-350-2020</t>
  </si>
  <si>
    <t>A-351-2020</t>
  </si>
  <si>
    <t>A-352-2020</t>
  </si>
  <si>
    <t>A-353-2020</t>
  </si>
  <si>
    <t>A-354-2020</t>
  </si>
  <si>
    <t>A-355-2020</t>
  </si>
  <si>
    <t>A-356-2020</t>
  </si>
  <si>
    <t>A-357-2020</t>
  </si>
  <si>
    <t>A-358-2020</t>
  </si>
  <si>
    <t>A-359-2020</t>
  </si>
  <si>
    <t>A-360-2020</t>
  </si>
  <si>
    <t>A-361-2020</t>
  </si>
  <si>
    <t>A-362-2020</t>
  </si>
  <si>
    <t>A-363-2020</t>
  </si>
  <si>
    <t>A-364-2020</t>
  </si>
  <si>
    <t>A-365-2020</t>
  </si>
  <si>
    <t>A-366-2020</t>
  </si>
  <si>
    <t>A-367-2020</t>
  </si>
  <si>
    <t>A-368-2020</t>
  </si>
  <si>
    <t>A-369-2020</t>
  </si>
  <si>
    <t>A-370-2020</t>
  </si>
  <si>
    <t>A-371-2020</t>
  </si>
  <si>
    <t>A-372-2020</t>
  </si>
  <si>
    <t>A-373-2020</t>
  </si>
  <si>
    <t>A-374-2020</t>
  </si>
  <si>
    <t>A-375-2020</t>
  </si>
  <si>
    <t>A-376-2020</t>
  </si>
  <si>
    <t>A-377-2020</t>
  </si>
  <si>
    <t>A-378-2020</t>
  </si>
  <si>
    <t>A-379-2020</t>
  </si>
  <si>
    <t>A-380-2020</t>
  </si>
  <si>
    <t>A-381-2020</t>
  </si>
  <si>
    <t>A-382-2020</t>
  </si>
  <si>
    <t>A-383-2020</t>
  </si>
  <si>
    <t>A-384-2020</t>
  </si>
  <si>
    <t>A-385-2020</t>
  </si>
  <si>
    <t>A-386-2020</t>
  </si>
  <si>
    <t>A-387-2020</t>
  </si>
  <si>
    <t>A-388-2020</t>
  </si>
  <si>
    <t>A-389-2020</t>
  </si>
  <si>
    <t>A-390-2020</t>
  </si>
  <si>
    <t>A-391-2020</t>
  </si>
  <si>
    <t>A-392-2020</t>
  </si>
  <si>
    <t>A-393-2020</t>
  </si>
  <si>
    <t>A-394-2020</t>
  </si>
  <si>
    <t>A-395-2020</t>
  </si>
  <si>
    <t>A-396-2020</t>
  </si>
  <si>
    <t>A-397-2020</t>
  </si>
  <si>
    <t>A-398-2020</t>
  </si>
  <si>
    <t>A-399-2020</t>
  </si>
  <si>
    <t>A-400-2020</t>
  </si>
  <si>
    <t>A-401-2020</t>
  </si>
  <si>
    <t>A-402-2020</t>
  </si>
  <si>
    <t>A-403-2020</t>
  </si>
  <si>
    <t>A-404-2020</t>
  </si>
  <si>
    <t>A-405-2020</t>
  </si>
  <si>
    <t>A-406-2020</t>
  </si>
  <si>
    <t>A-407-2020</t>
  </si>
  <si>
    <t>A-408-2020</t>
  </si>
  <si>
    <t>A-409-2020</t>
  </si>
  <si>
    <t>A-410-2020</t>
  </si>
  <si>
    <t>A-411-2020</t>
  </si>
  <si>
    <t>A-412-2020</t>
  </si>
  <si>
    <t>A-413-2020</t>
  </si>
  <si>
    <t>A-414-2020</t>
  </si>
  <si>
    <t>A-415-2020</t>
  </si>
  <si>
    <t>A-416-2020</t>
  </si>
  <si>
    <t>A-417-2020</t>
  </si>
  <si>
    <t>A-418-2020</t>
  </si>
  <si>
    <t>A-419-2020</t>
  </si>
  <si>
    <t>A-420-2020</t>
  </si>
  <si>
    <t>A-421-2020</t>
  </si>
  <si>
    <t>A-422-2020</t>
  </si>
  <si>
    <t>A-423-2020</t>
  </si>
  <si>
    <t>A-424-2020</t>
  </si>
  <si>
    <t>A-425-2020</t>
  </si>
  <si>
    <t>A-426-2020</t>
  </si>
  <si>
    <t>A-427-2020</t>
  </si>
  <si>
    <t>A-428-2020</t>
  </si>
  <si>
    <t>A-429-2020</t>
  </si>
  <si>
    <t>A-430-2020</t>
  </si>
  <si>
    <t>A-431-2020</t>
  </si>
  <si>
    <t>A-432-2020</t>
  </si>
  <si>
    <t>A-433-2020</t>
  </si>
  <si>
    <t>A-434-2020</t>
  </si>
  <si>
    <t>A-435-2020</t>
  </si>
  <si>
    <t>A-436-2020</t>
  </si>
  <si>
    <t>A-437-2020</t>
  </si>
  <si>
    <t>A-438-2020</t>
  </si>
  <si>
    <t>A-439-2020</t>
  </si>
  <si>
    <t>A-440-2020</t>
  </si>
  <si>
    <t>A-441-2020</t>
  </si>
  <si>
    <t>A-442-2020</t>
  </si>
  <si>
    <t>A-443-2020</t>
  </si>
  <si>
    <t>A-444-2020</t>
  </si>
  <si>
    <t>A-445-2020</t>
  </si>
  <si>
    <t>A-446-2020</t>
  </si>
  <si>
    <t>A-447-2020</t>
  </si>
  <si>
    <t>A-448-2020</t>
  </si>
  <si>
    <t>A-449-2020</t>
  </si>
  <si>
    <t>A-450-2020</t>
  </si>
  <si>
    <t>A-451-2020</t>
  </si>
  <si>
    <t>A-452-2020</t>
  </si>
  <si>
    <t>A-453-2020</t>
  </si>
  <si>
    <t>A-454-2020</t>
  </si>
  <si>
    <t>A-455-2020</t>
  </si>
  <si>
    <t>A-456-2020</t>
  </si>
  <si>
    <t>A-457-2020</t>
  </si>
  <si>
    <t>A-458-2020</t>
  </si>
  <si>
    <t>A-459-2020</t>
  </si>
  <si>
    <t>A-460-2020</t>
  </si>
  <si>
    <t>A-461-2020</t>
  </si>
  <si>
    <t>A-462-2020</t>
  </si>
  <si>
    <t>A-463-2020</t>
  </si>
  <si>
    <t>A-464-2020</t>
  </si>
  <si>
    <t>A-465-2020</t>
  </si>
  <si>
    <t>A-466-2020</t>
  </si>
  <si>
    <t>A-467-2020</t>
  </si>
  <si>
    <t>A-468-2020</t>
  </si>
  <si>
    <t>A-469-2020</t>
  </si>
  <si>
    <t>A-470-2020</t>
  </si>
  <si>
    <t>A-471-2020</t>
  </si>
  <si>
    <t>A-472-2020</t>
  </si>
  <si>
    <t>A-473-2020</t>
  </si>
  <si>
    <t>A-474-2020</t>
  </si>
  <si>
    <t>A-475-2020</t>
  </si>
  <si>
    <t>A-476-2020</t>
  </si>
  <si>
    <t>A-477-2020</t>
  </si>
  <si>
    <t>A-478-2020</t>
  </si>
  <si>
    <t>A-479-2020</t>
  </si>
  <si>
    <t>A-480-2020</t>
  </si>
  <si>
    <t>A-481-2020</t>
  </si>
  <si>
    <t>A-482-2020</t>
  </si>
  <si>
    <t>A-483-2020</t>
  </si>
  <si>
    <t>A-484-2020</t>
  </si>
  <si>
    <t>A-485-2020</t>
  </si>
  <si>
    <t>A-486-2020</t>
  </si>
  <si>
    <t>A-487-2020</t>
  </si>
  <si>
    <t>A-488-2020</t>
  </si>
  <si>
    <t>A-489-2020</t>
  </si>
  <si>
    <t>A-490-2020</t>
  </si>
  <si>
    <t>A-491-2020</t>
  </si>
  <si>
    <t>A-492-2020</t>
  </si>
  <si>
    <t>A-493-2020</t>
  </si>
  <si>
    <t>A-494-2020</t>
  </si>
  <si>
    <t>A-495-2020</t>
  </si>
  <si>
    <t>A-496-2020</t>
  </si>
  <si>
    <t>A-497-2020</t>
  </si>
  <si>
    <t>A-498-2020</t>
  </si>
  <si>
    <t>A-499-2020</t>
  </si>
  <si>
    <t>A-500-2020</t>
  </si>
  <si>
    <t>A-501-2020</t>
  </si>
  <si>
    <t>A-502-2020</t>
  </si>
  <si>
    <t>A-503-2020</t>
  </si>
  <si>
    <t>A-504-2020</t>
  </si>
  <si>
    <t>A-505-2020</t>
  </si>
  <si>
    <t>A-506-2020</t>
  </si>
  <si>
    <t>A-507-2020</t>
  </si>
  <si>
    <t>A-508-2020</t>
  </si>
  <si>
    <t>A-509-2020</t>
  </si>
  <si>
    <t>A-510-2020</t>
  </si>
  <si>
    <t>A-511-2020</t>
  </si>
  <si>
    <t>A-512-2020</t>
  </si>
  <si>
    <t>A-513-2020</t>
  </si>
  <si>
    <t>A-514-2020</t>
  </si>
  <si>
    <t>A-515-2020</t>
  </si>
  <si>
    <t>A-516-2020</t>
  </si>
  <si>
    <t>A-517-2020</t>
  </si>
  <si>
    <t>A-518-2020</t>
  </si>
  <si>
    <t>A-519-2020</t>
  </si>
  <si>
    <t>A-520-2020</t>
  </si>
  <si>
    <t>A-521-2020</t>
  </si>
  <si>
    <t>A-522-2020</t>
  </si>
  <si>
    <t>A-523-2020</t>
  </si>
  <si>
    <t>A-524-2020</t>
  </si>
  <si>
    <t>A-525-2020</t>
  </si>
  <si>
    <t>A-526-2020</t>
  </si>
  <si>
    <t>A-527-2020</t>
  </si>
  <si>
    <t>A-528-2020</t>
  </si>
  <si>
    <t>A-529-2020</t>
  </si>
  <si>
    <t>A-530-2020</t>
  </si>
  <si>
    <t>A-531-2020</t>
  </si>
  <si>
    <t>A-532-2020</t>
  </si>
  <si>
    <t>A-533-2020</t>
  </si>
  <si>
    <t>A-534-2020</t>
  </si>
  <si>
    <t>A-535-2020</t>
  </si>
  <si>
    <t>A-536-2020</t>
  </si>
  <si>
    <t>A-537-2020</t>
  </si>
  <si>
    <t>A-538-2020</t>
  </si>
  <si>
    <t>A-539-2020</t>
  </si>
  <si>
    <t>A-540-2020</t>
  </si>
  <si>
    <t>A-541-2020</t>
  </si>
  <si>
    <t>A-542-2020</t>
  </si>
  <si>
    <t>A-543-2020</t>
  </si>
  <si>
    <t>A-544-2020</t>
  </si>
  <si>
    <t>A-545-2020</t>
  </si>
  <si>
    <t>A-546-2020</t>
  </si>
  <si>
    <t>A-547-2020</t>
  </si>
  <si>
    <t>A-548-2020</t>
  </si>
  <si>
    <t>A-549-2020</t>
  </si>
  <si>
    <t>A-550-2020</t>
  </si>
  <si>
    <t>A-551-2020</t>
  </si>
  <si>
    <t>A-552-2020</t>
  </si>
  <si>
    <t>A-553-2020</t>
  </si>
  <si>
    <t>A-554-2020</t>
  </si>
  <si>
    <t>A-555-2020</t>
  </si>
  <si>
    <t>A-556-2020</t>
  </si>
  <si>
    <t>A-557-2020</t>
  </si>
  <si>
    <t>A-558-2020</t>
  </si>
  <si>
    <t>A-559-2020</t>
  </si>
  <si>
    <t>A-560-2020</t>
  </si>
  <si>
    <t>A-561-2020</t>
  </si>
  <si>
    <t>A-562-2020</t>
  </si>
  <si>
    <t>A-563-2020</t>
  </si>
  <si>
    <t>A-564-2020</t>
  </si>
  <si>
    <t>A-565-2020</t>
  </si>
  <si>
    <t>A-566-2020</t>
  </si>
  <si>
    <t>A-567-2020</t>
  </si>
  <si>
    <t>A-568-2020</t>
  </si>
  <si>
    <t>A-569-2020</t>
  </si>
  <si>
    <t>A-570-2020</t>
  </si>
  <si>
    <t>A-571-2020</t>
  </si>
  <si>
    <t>A-572-2020</t>
  </si>
  <si>
    <t>A-573-2020</t>
  </si>
  <si>
    <t>A-574-2020</t>
  </si>
  <si>
    <t>A-575-2020</t>
  </si>
  <si>
    <t>A-576-2020</t>
  </si>
  <si>
    <t>A-577-2020</t>
  </si>
  <si>
    <t>A-578-2020</t>
  </si>
  <si>
    <t>A-579-2020</t>
  </si>
  <si>
    <t>A-580-2020</t>
  </si>
  <si>
    <t>A-581-2020</t>
  </si>
  <si>
    <t>A-582-2020</t>
  </si>
  <si>
    <t>A-583-2020</t>
  </si>
  <si>
    <t>A-584-2020</t>
  </si>
  <si>
    <t>A-585-2020</t>
  </si>
  <si>
    <t>A-586-2020</t>
  </si>
  <si>
    <t>A-587-2020</t>
  </si>
  <si>
    <t>A-588-2020</t>
  </si>
  <si>
    <t>A-589-2020</t>
  </si>
  <si>
    <t>A-590-2020</t>
  </si>
  <si>
    <t>A-591-2020</t>
  </si>
  <si>
    <t>A-592-2020</t>
  </si>
  <si>
    <t>A-593-2020</t>
  </si>
  <si>
    <t>A-594-2020</t>
  </si>
  <si>
    <t>A-595-2020</t>
  </si>
  <si>
    <t>A-596-2020</t>
  </si>
  <si>
    <t>A-597-2020</t>
  </si>
  <si>
    <t>A-598-2020</t>
  </si>
  <si>
    <t>A-599-2020</t>
  </si>
  <si>
    <t>A-600-2020</t>
  </si>
  <si>
    <t>A-601-2020</t>
  </si>
  <si>
    <t>A-602-2020</t>
  </si>
  <si>
    <t>A-603-2020</t>
  </si>
  <si>
    <t>A-604-2020</t>
  </si>
  <si>
    <t>A-605-2020</t>
  </si>
  <si>
    <t>A-606-2020</t>
  </si>
  <si>
    <t>A-607-2020</t>
  </si>
  <si>
    <t>A-608-2020</t>
  </si>
  <si>
    <t>A-609-2020</t>
  </si>
  <si>
    <t>A-610-2020</t>
  </si>
  <si>
    <t>A-611-2020</t>
  </si>
  <si>
    <t>A-612-2020</t>
  </si>
  <si>
    <t>A-613-2020</t>
  </si>
  <si>
    <t>A-614-2020</t>
  </si>
  <si>
    <t>A-615-2020</t>
  </si>
  <si>
    <t>A-616-2020</t>
  </si>
  <si>
    <t>A-617-2020</t>
  </si>
  <si>
    <t>A-618-2020</t>
  </si>
  <si>
    <t>A-619-2020</t>
  </si>
  <si>
    <t>A-620-2020</t>
  </si>
  <si>
    <t>A-621-2020</t>
  </si>
  <si>
    <t>A-622-2020</t>
  </si>
  <si>
    <t>A-623-2020</t>
  </si>
  <si>
    <t>A-624-2020</t>
  </si>
  <si>
    <t>A-625-2020</t>
  </si>
  <si>
    <t>A-626-2020</t>
  </si>
  <si>
    <t>A-627-2020</t>
  </si>
  <si>
    <t>A-628-2020</t>
  </si>
  <si>
    <t>A-629-2020</t>
  </si>
  <si>
    <t>A-630-2020</t>
  </si>
  <si>
    <t>A-631-2020</t>
  </si>
  <si>
    <t>A-632-2020</t>
  </si>
  <si>
    <t>A-633-2020</t>
  </si>
  <si>
    <t>A-634-2020</t>
  </si>
  <si>
    <t>A-635-2020</t>
  </si>
  <si>
    <t>A-636-2020</t>
  </si>
  <si>
    <t>A-637-2020</t>
  </si>
  <si>
    <t>A-638-2020</t>
  </si>
  <si>
    <t>A-639-2020</t>
  </si>
  <si>
    <t>A-640-2020</t>
  </si>
  <si>
    <t>A-641-2020</t>
  </si>
  <si>
    <t>A-642-2020</t>
  </si>
  <si>
    <t>A-643-2020</t>
  </si>
  <si>
    <t>A-644-2020</t>
  </si>
  <si>
    <t>A-645-2020</t>
  </si>
  <si>
    <t>A-646-2020</t>
  </si>
  <si>
    <t>A-647-2020</t>
  </si>
  <si>
    <t>A-648-2020</t>
  </si>
  <si>
    <t>A-649-2020</t>
  </si>
  <si>
    <t>A-650-2020</t>
  </si>
  <si>
    <t>A-651-2020</t>
  </si>
  <si>
    <t>A-652-2020</t>
  </si>
  <si>
    <t>A-653-2020</t>
  </si>
  <si>
    <t>A-654-2020</t>
  </si>
  <si>
    <t>A-655-2020</t>
  </si>
  <si>
    <t>A-656-2020</t>
  </si>
  <si>
    <t>A-657-2020</t>
  </si>
  <si>
    <t>A-658-2020</t>
  </si>
  <si>
    <t>A-659-2020</t>
  </si>
  <si>
    <t>A-660-2020</t>
  </si>
  <si>
    <t>A-661-2020</t>
  </si>
  <si>
    <t>A-662-2020</t>
  </si>
  <si>
    <t>A-663-2020</t>
  </si>
  <si>
    <t>A-664-2020</t>
  </si>
  <si>
    <t>A-665-2020</t>
  </si>
  <si>
    <t>A-666-2020</t>
  </si>
  <si>
    <t>A-667-2020</t>
  </si>
  <si>
    <t>A-668-2020</t>
  </si>
  <si>
    <t>A-669-2020</t>
  </si>
  <si>
    <t>A-670-2020</t>
  </si>
  <si>
    <t>A-671-2020</t>
  </si>
  <si>
    <t>A-672-2020</t>
  </si>
  <si>
    <t>A-673-2020</t>
  </si>
  <si>
    <t>A-674-2020</t>
  </si>
  <si>
    <t>A-675-2020</t>
  </si>
  <si>
    <t>A-676-2020</t>
  </si>
  <si>
    <t>A-677-2020</t>
  </si>
  <si>
    <t>A-678-2020</t>
  </si>
  <si>
    <t>A-679-2020</t>
  </si>
  <si>
    <t>A-680-2020</t>
  </si>
  <si>
    <t>A-681-2020</t>
  </si>
  <si>
    <t>A-682-2020</t>
  </si>
  <si>
    <t>A-683-2020</t>
  </si>
  <si>
    <t>A-684-2020</t>
  </si>
  <si>
    <t>A-685-2020</t>
  </si>
  <si>
    <t>A-686-2020</t>
  </si>
  <si>
    <t>A-687-2020</t>
  </si>
  <si>
    <t>A-688-2020</t>
  </si>
  <si>
    <t>A-689-2020</t>
  </si>
  <si>
    <t>A-690-2020</t>
  </si>
  <si>
    <t>A-691-2020</t>
  </si>
  <si>
    <t>A-692-2020</t>
  </si>
  <si>
    <t>A-693-2020</t>
  </si>
  <si>
    <t>A-694-2020</t>
  </si>
  <si>
    <t>A-695-2020</t>
  </si>
  <si>
    <t>A-696-2020</t>
  </si>
  <si>
    <t>A-697-2020</t>
  </si>
  <si>
    <t>A-698-2020</t>
  </si>
  <si>
    <t>A-699-2020</t>
  </si>
  <si>
    <t>A-700-2020</t>
  </si>
  <si>
    <t>A-701-2020</t>
  </si>
  <si>
    <t>A-702-2020</t>
  </si>
  <si>
    <t>A-703-2020</t>
  </si>
  <si>
    <t>A-704-2020</t>
  </si>
  <si>
    <t>A-705-2020</t>
  </si>
  <si>
    <t>A-706-2020</t>
  </si>
  <si>
    <t>A-707-2020</t>
  </si>
  <si>
    <t>A-708-2020</t>
  </si>
  <si>
    <t>A-709-2020</t>
  </si>
  <si>
    <t>A-710-2020</t>
  </si>
  <si>
    <t>A-711-2020</t>
  </si>
  <si>
    <t>A-712-2020</t>
  </si>
  <si>
    <t>A-713-2020</t>
  </si>
  <si>
    <t>A-714-2020</t>
  </si>
  <si>
    <t>A-715-2020</t>
  </si>
  <si>
    <t>A-716-2020</t>
  </si>
  <si>
    <t>A-717-2020</t>
  </si>
  <si>
    <t>A-718-2020</t>
  </si>
  <si>
    <t>A-719-2020</t>
  </si>
  <si>
    <t>A-720-2020</t>
  </si>
  <si>
    <t>A-721-2020</t>
  </si>
  <si>
    <t>A-722-2020</t>
  </si>
  <si>
    <t>A-723-2020</t>
  </si>
  <si>
    <t>A-724-2020</t>
  </si>
  <si>
    <t>A-725-2020</t>
  </si>
  <si>
    <t>A-726-2020</t>
  </si>
  <si>
    <t>A-727-2020</t>
  </si>
  <si>
    <t>A-728-2020</t>
  </si>
  <si>
    <t>A-729-2020</t>
  </si>
  <si>
    <t>A-730-2020</t>
  </si>
  <si>
    <t>A-731-2020</t>
  </si>
  <si>
    <t>A-732-2020</t>
  </si>
  <si>
    <t>A-733-2020</t>
  </si>
  <si>
    <t>A-734-2020</t>
  </si>
  <si>
    <t>A-735-2020</t>
  </si>
  <si>
    <t>A-736-2020</t>
  </si>
  <si>
    <t>A-737-2020</t>
  </si>
  <si>
    <t>A-738-2020</t>
  </si>
  <si>
    <t>A-739-2020</t>
  </si>
  <si>
    <t>A-740-2020</t>
  </si>
  <si>
    <t>A-741-2020</t>
  </si>
  <si>
    <t>A-742-2020</t>
  </si>
  <si>
    <t>A-743-2020</t>
  </si>
  <si>
    <t>A-744-2020</t>
  </si>
  <si>
    <t>A-745-2020</t>
  </si>
  <si>
    <t>A-746-2020</t>
  </si>
  <si>
    <t>A-747-2020</t>
  </si>
  <si>
    <t>A-748-2020</t>
  </si>
  <si>
    <t>A-749-2020</t>
  </si>
  <si>
    <t>A-750-2020</t>
  </si>
  <si>
    <t>A-751-2020</t>
  </si>
  <si>
    <t>A-752-2020</t>
  </si>
  <si>
    <t>A-753-2020</t>
  </si>
  <si>
    <t>A-754-2020</t>
  </si>
  <si>
    <t>A-755-2020</t>
  </si>
  <si>
    <t>A-756-2020</t>
  </si>
  <si>
    <t>A-757-2020</t>
  </si>
  <si>
    <t>A-758-2020</t>
  </si>
  <si>
    <t>A-759-2020</t>
  </si>
  <si>
    <t>A-760-2020</t>
  </si>
  <si>
    <t>A-761-2020</t>
  </si>
  <si>
    <t>A-762-2020</t>
  </si>
  <si>
    <t>A-763-2020</t>
  </si>
  <si>
    <t>A-764-2020</t>
  </si>
  <si>
    <t>A-765-2020</t>
  </si>
  <si>
    <t>A-766-2020</t>
  </si>
  <si>
    <t>A-767-2020</t>
  </si>
  <si>
    <t>A-768-2020</t>
  </si>
  <si>
    <t>A-769-2020</t>
  </si>
  <si>
    <t>A-770-2020</t>
  </si>
  <si>
    <t>A-771-2020</t>
  </si>
  <si>
    <t>A-772-2020</t>
  </si>
  <si>
    <t>A-773-2020</t>
  </si>
  <si>
    <t>A-774-2020</t>
  </si>
  <si>
    <t>A-775-2020</t>
  </si>
  <si>
    <t>A-776-2020</t>
  </si>
  <si>
    <t>A-777-2020</t>
  </si>
  <si>
    <t>A-778-2020</t>
  </si>
  <si>
    <t>A-779-2020</t>
  </si>
  <si>
    <t>A-780-2020</t>
  </si>
  <si>
    <t>A-781-2020</t>
  </si>
  <si>
    <t>A-782-2020</t>
  </si>
  <si>
    <t>A-783-2020</t>
  </si>
  <si>
    <t>A-784-2020</t>
  </si>
  <si>
    <t>A-785-2020</t>
  </si>
  <si>
    <t>A-786-2020</t>
  </si>
  <si>
    <t>A-787-2020</t>
  </si>
  <si>
    <t>A-788-2020</t>
  </si>
  <si>
    <t>A-789-2020</t>
  </si>
  <si>
    <t>A-790-2020</t>
  </si>
  <si>
    <t>A-791-2020</t>
  </si>
  <si>
    <t>A-792-2020</t>
  </si>
  <si>
    <t>A-793-2020</t>
  </si>
  <si>
    <t>A-794-2020</t>
  </si>
  <si>
    <t>A-795-2020</t>
  </si>
  <si>
    <t>A-796-2020</t>
  </si>
  <si>
    <t>A-797-2020</t>
  </si>
  <si>
    <t>A-798-2020</t>
  </si>
  <si>
    <t>A-799-2020</t>
  </si>
  <si>
    <t>A-800-2020</t>
  </si>
  <si>
    <t>A-801-2020</t>
  </si>
  <si>
    <t>A-802-2020</t>
  </si>
  <si>
    <t>A-803-2020</t>
  </si>
  <si>
    <t>A-804-2020</t>
  </si>
  <si>
    <t>A-805-2020</t>
  </si>
  <si>
    <t>A-806-2020</t>
  </si>
  <si>
    <t>A-807-2020</t>
  </si>
  <si>
    <t>A-808-2020</t>
  </si>
  <si>
    <t>A-809-2020</t>
  </si>
  <si>
    <t>A-810-2020</t>
  </si>
  <si>
    <t>A-811-2020</t>
  </si>
  <si>
    <t>A-812-2020</t>
  </si>
  <si>
    <t>A-813-2020</t>
  </si>
  <si>
    <t>A-814-2020</t>
  </si>
  <si>
    <t>A-815-2020</t>
  </si>
  <si>
    <t>A-816-2020</t>
  </si>
  <si>
    <t>A-817-2020</t>
  </si>
  <si>
    <t>A-818-2020</t>
  </si>
  <si>
    <t>A-819-2020</t>
  </si>
  <si>
    <t>A-820-2020</t>
  </si>
  <si>
    <t>A-821-2020</t>
  </si>
  <si>
    <t>A-822-2020</t>
  </si>
  <si>
    <t>A-823-2020</t>
  </si>
  <si>
    <t>A-824-2020</t>
  </si>
  <si>
    <t>A-825-2020</t>
  </si>
  <si>
    <t>A-826-2020</t>
  </si>
  <si>
    <t>A-827-2020</t>
  </si>
  <si>
    <t>A-828-2020</t>
  </si>
  <si>
    <t>A-829-2020</t>
  </si>
  <si>
    <t>A-830-2020</t>
  </si>
  <si>
    <t>A-831-2020</t>
  </si>
  <si>
    <t>A-832-2020</t>
  </si>
  <si>
    <t>A-833-2020</t>
  </si>
  <si>
    <t>A-834-2020</t>
  </si>
  <si>
    <t>A-835-2020</t>
  </si>
  <si>
    <t>A-836-2020</t>
  </si>
  <si>
    <t>A-837-2020</t>
  </si>
  <si>
    <t>A-838-2020</t>
  </si>
  <si>
    <t>A-839-2020</t>
  </si>
  <si>
    <t>A-840-2020</t>
  </si>
  <si>
    <t>A-841-2020</t>
  </si>
  <si>
    <t>A-842-2020</t>
  </si>
  <si>
    <t>A-843-2020</t>
  </si>
  <si>
    <t>A-844-2020</t>
  </si>
  <si>
    <t>A-845-2020</t>
  </si>
  <si>
    <t>A-846-2020</t>
  </si>
  <si>
    <t>A-847-2020</t>
  </si>
  <si>
    <t>A-848-2020</t>
  </si>
  <si>
    <t>A-849-2020</t>
  </si>
  <si>
    <t>A-850-2020</t>
  </si>
  <si>
    <t>A-851-2020</t>
  </si>
  <si>
    <t>A-852-2020</t>
  </si>
  <si>
    <t>A-853-2020</t>
  </si>
  <si>
    <t>A-854-2020</t>
  </si>
  <si>
    <t>A-855-2020</t>
  </si>
  <si>
    <t>A-856-2020</t>
  </si>
  <si>
    <t>A-857-2020</t>
  </si>
  <si>
    <t>A-858-2020</t>
  </si>
  <si>
    <t>A-859-2020</t>
  </si>
  <si>
    <t>A-860-2020</t>
  </si>
  <si>
    <t>A-861-2020</t>
  </si>
  <si>
    <t>A-862-2020</t>
  </si>
  <si>
    <t>A-863-2020</t>
  </si>
  <si>
    <t>A-864-2020</t>
  </si>
  <si>
    <t>A-865-2020</t>
  </si>
  <si>
    <t>A-866-2020</t>
  </si>
  <si>
    <t>A-867-2020</t>
  </si>
  <si>
    <t>A-868-2020</t>
  </si>
  <si>
    <t>A-869-2020</t>
  </si>
  <si>
    <t>A-870-2020</t>
  </si>
  <si>
    <t>A-871-2020</t>
  </si>
  <si>
    <t>A-872-2020</t>
  </si>
  <si>
    <t>A-873-2020</t>
  </si>
  <si>
    <t>A-874-2020</t>
  </si>
  <si>
    <t>A-875-2020</t>
  </si>
  <si>
    <t>A-876-2020</t>
  </si>
  <si>
    <t>A-877-2020</t>
  </si>
  <si>
    <t>A-878-2020</t>
  </si>
  <si>
    <t>A-879-2020</t>
  </si>
  <si>
    <t>A-880-2020</t>
  </si>
  <si>
    <t>A-881-2020</t>
  </si>
  <si>
    <t>A-882-2020</t>
  </si>
  <si>
    <t>A-883-2020</t>
  </si>
  <si>
    <t>A-884-2020</t>
  </si>
  <si>
    <t>A-885-2020</t>
  </si>
  <si>
    <t>A-886-2020</t>
  </si>
  <si>
    <t>A-887-2020</t>
  </si>
  <si>
    <t>A-888-2020</t>
  </si>
  <si>
    <t>A-889-2020</t>
  </si>
  <si>
    <t>A-890-2020</t>
  </si>
  <si>
    <t>A-891-2020</t>
  </si>
  <si>
    <t>A-892-2020</t>
  </si>
  <si>
    <t>A-893-2020</t>
  </si>
  <si>
    <t>A-894-2020</t>
  </si>
  <si>
    <t>A-895-2020</t>
  </si>
  <si>
    <t>A-896-2020</t>
  </si>
  <si>
    <t>A-897-2020</t>
  </si>
  <si>
    <t>A-898-2020</t>
  </si>
  <si>
    <t>A-899-2020</t>
  </si>
  <si>
    <t>A-900-2020</t>
  </si>
  <si>
    <t>A-901-2020</t>
  </si>
  <si>
    <t>A-902-2020</t>
  </si>
  <si>
    <t>A-903-2020</t>
  </si>
  <si>
    <t>A-904-2020</t>
  </si>
  <si>
    <t>A-905-2020</t>
  </si>
  <si>
    <t>A-906-2020</t>
  </si>
  <si>
    <t>A-907-2020</t>
  </si>
  <si>
    <t>A-908-2020</t>
  </si>
  <si>
    <t>A-909-2020</t>
  </si>
  <si>
    <t>A-910-2020</t>
  </si>
  <si>
    <t>A-911-2020</t>
  </si>
  <si>
    <t>A-912-2020</t>
  </si>
  <si>
    <t>A-913-2020</t>
  </si>
  <si>
    <t>A-914-2020</t>
  </si>
  <si>
    <t>A-915-2020</t>
  </si>
  <si>
    <t>A-916-2020</t>
  </si>
  <si>
    <t>A-917-2020</t>
  </si>
  <si>
    <t>A-918-2020</t>
  </si>
  <si>
    <t>A-919-2020</t>
  </si>
  <si>
    <t>A-920-2020</t>
  </si>
  <si>
    <t>A-921-2020</t>
  </si>
  <si>
    <t>A-922-2020</t>
  </si>
  <si>
    <t>A-923-2020</t>
  </si>
  <si>
    <t>A-924-2020</t>
  </si>
  <si>
    <t>A-925-2020</t>
  </si>
  <si>
    <t>A-926-2020</t>
  </si>
  <si>
    <t>A-927-2020</t>
  </si>
  <si>
    <t>A-928-2020</t>
  </si>
  <si>
    <t>A-929-2020</t>
  </si>
  <si>
    <t>A-930-2020</t>
  </si>
  <si>
    <t>A-931-2020</t>
  </si>
  <si>
    <t>A-932-2020</t>
  </si>
  <si>
    <t>A-933-2020</t>
  </si>
  <si>
    <t>A-934-2020</t>
  </si>
  <si>
    <t>A-935-2020</t>
  </si>
  <si>
    <t>A-936-2020</t>
  </si>
  <si>
    <t>A-937-2020</t>
  </si>
  <si>
    <t>A-938-2020</t>
  </si>
  <si>
    <t>A-939-2020</t>
  </si>
  <si>
    <t>A-940-2020</t>
  </si>
  <si>
    <t>A-941-2020</t>
  </si>
  <si>
    <t>A-942-2020</t>
  </si>
  <si>
    <t>A-943-2020</t>
  </si>
  <si>
    <t>A-944-2020</t>
  </si>
  <si>
    <t>A-945-2020</t>
  </si>
  <si>
    <t>A-946-2020</t>
  </si>
  <si>
    <t>A-947-2020</t>
  </si>
  <si>
    <t>A-948-2020</t>
  </si>
  <si>
    <t>A-949-2020</t>
  </si>
  <si>
    <t>A-950-2020</t>
  </si>
  <si>
    <t>A-951-2020</t>
  </si>
  <si>
    <t>A-952-2020</t>
  </si>
  <si>
    <t>A-953-2020</t>
  </si>
  <si>
    <t>A-954-2020</t>
  </si>
  <si>
    <t>A-955-2020</t>
  </si>
  <si>
    <t>A-956-2020</t>
  </si>
  <si>
    <t>A-957-2020</t>
  </si>
  <si>
    <t>A-958-2020</t>
  </si>
  <si>
    <t>A-959-2020</t>
  </si>
  <si>
    <t>A-960-2020</t>
  </si>
  <si>
    <t>A-961-2020</t>
  </si>
  <si>
    <t>A-962-2020</t>
  </si>
  <si>
    <t>A-963-2020</t>
  </si>
  <si>
    <t>A-964-2020</t>
  </si>
  <si>
    <t>A-965-2020</t>
  </si>
  <si>
    <t>A-966-2020</t>
  </si>
  <si>
    <t>A-967-2020</t>
  </si>
  <si>
    <t>A-968-2020</t>
  </si>
  <si>
    <t>A-969-2020</t>
  </si>
  <si>
    <t>A-970-2020</t>
  </si>
  <si>
    <t>A-971-2020</t>
  </si>
  <si>
    <t>A-972-2020</t>
  </si>
  <si>
    <t>A-973-2020</t>
  </si>
  <si>
    <t>A-974-2020</t>
  </si>
  <si>
    <t>A-975-2020</t>
  </si>
  <si>
    <t>A-976-2020</t>
  </si>
  <si>
    <t>A-977-2020</t>
  </si>
  <si>
    <t>A-978-2020</t>
  </si>
  <si>
    <t>A-979-2020</t>
  </si>
  <si>
    <t>A-980-2020</t>
  </si>
  <si>
    <t>A-981-2020</t>
  </si>
  <si>
    <t>A-982-2020</t>
  </si>
  <si>
    <t>A-983-2020</t>
  </si>
  <si>
    <t>A-984-2020</t>
  </si>
  <si>
    <t>A-985-2020</t>
  </si>
  <si>
    <t>A-986-2020</t>
  </si>
  <si>
    <t>A-987-2020</t>
  </si>
  <si>
    <t>A-988-2020</t>
  </si>
  <si>
    <t>A-989-2020</t>
  </si>
  <si>
    <t>A-990-2020</t>
  </si>
  <si>
    <t>A-991-2020</t>
  </si>
  <si>
    <t>A-992-2020</t>
  </si>
  <si>
    <t>A-993-2020</t>
  </si>
  <si>
    <t>A-994-2020</t>
  </si>
  <si>
    <t>A-995-2020</t>
  </si>
  <si>
    <t>A-996-2020</t>
  </si>
  <si>
    <t>A-997-2020</t>
  </si>
  <si>
    <t>A-998-2020</t>
  </si>
  <si>
    <t>A-999-2020</t>
  </si>
  <si>
    <t>A-1000-2020</t>
  </si>
  <si>
    <t>Etat Avoirs</t>
  </si>
  <si>
    <t>Carton en balle</t>
  </si>
  <si>
    <t>Plastique (PET - PEBD - PEHD)</t>
  </si>
  <si>
    <t>Détail Avoirs</t>
  </si>
  <si>
    <t>Commade1</t>
  </si>
  <si>
    <t/>
  </si>
  <si>
    <t>smail</t>
  </si>
  <si>
    <t>Commande2</t>
  </si>
  <si>
    <t>ertyui</t>
  </si>
  <si>
    <t>SC</t>
  </si>
  <si>
    <t xml:space="preserve"> </t>
  </si>
  <si>
    <t>A001-2020</t>
  </si>
  <si>
    <t>Commande1</t>
  </si>
  <si>
    <t>A002-2020</t>
  </si>
  <si>
    <t>Valorisation emballages en papier/carton (atlantic Free Zone)</t>
  </si>
  <si>
    <t>Facturus V1.xlsm</t>
  </si>
  <si>
    <t>Dernier Fichier Mise à jour</t>
  </si>
  <si>
    <t>Source Clients</t>
  </si>
  <si>
    <t>Source Date</t>
  </si>
  <si>
    <t>Sélectionner une Date</t>
  </si>
  <si>
    <t>Source N° de Facture</t>
  </si>
  <si>
    <t>Sélectionner un N° de Facture</t>
  </si>
  <si>
    <t>Sélectionner un Client</t>
  </si>
  <si>
    <t>Critères</t>
  </si>
  <si>
    <t>Code Article</t>
  </si>
  <si>
    <t>Date Pesée</t>
  </si>
  <si>
    <t>Total Facture HT</t>
  </si>
  <si>
    <t>ERT</t>
  </si>
  <si>
    <t>COMMANDE N</t>
  </si>
  <si>
    <t>1 mois</t>
  </si>
  <si>
    <t>Source N° d'Avoir</t>
  </si>
  <si>
    <t>Source Clients Avoir</t>
  </si>
  <si>
    <t>Source Date Avoir</t>
  </si>
  <si>
    <t>Sélectionner un Client Avoir</t>
  </si>
  <si>
    <t>Sélectionner une Date Avoir</t>
  </si>
  <si>
    <t>Total Avoir HT</t>
  </si>
  <si>
    <t>Sélectionner un N° d'Avoir</t>
  </si>
  <si>
    <t>CmD</t>
  </si>
  <si>
    <t>Cmmd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</si>
</sst>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imes New Roman"/>
      <family val="1"/>
    </font>
    <font>
      <b/>
      <sz val="8"/>
      <color indexed="10"/>
      <name val="Bookman Old Style"/>
      <family val="1"/>
    </font>
    <font>
      <b/>
      <sz val="8"/>
      <color theme="0" tint="-0.499984740745262"/>
      <name val="Bookman Old Style"/>
      <family val="1"/>
    </font>
    <font>
      <b/>
      <sz val="11"/>
      <color theme="1"/>
      <name val="Calibri"/>
      <family val="2"/>
      <scheme val="minor"/>
    </font>
    <font>
      <sz val="6"/>
      <color rgb="FF0000FF"/>
      <name val="Courier New"/>
      <family val="3"/>
    </font>
    <font>
      <b/>
      <sz val="8"/>
      <name val="Bookman Old Style"/>
      <family val="1"/>
    </font>
    <font>
      <b/>
      <sz val="8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3" tint="-0.249977111117893"/>
      <name val="Bookman Old Style"/>
      <family val="1"/>
    </font>
    <font>
      <b/>
      <sz val="18"/>
      <color theme="3" tint="-0.24997711111789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 tint="-0.34998626667073579"/>
      <name val="Calibri"/>
      <family val="2"/>
      <scheme val="minor"/>
    </font>
    <font>
      <b/>
      <sz val="14"/>
      <color rgb="FF00008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1"/>
      <color theme="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4D736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wrapText="1"/>
    </xf>
    <xf numFmtId="49" fontId="4" fillId="0" borderId="3" xfId="0" applyNumberFormat="1" applyFont="1" applyFill="1" applyBorder="1" applyAlignment="1">
      <alignment horizontal="center" vertical="center"/>
    </xf>
    <xf numFmtId="0" fontId="0" fillId="0" borderId="2" xfId="0" applyBorder="1"/>
    <xf numFmtId="0" fontId="0" fillId="0" borderId="4" xfId="0" applyBorder="1"/>
    <xf numFmtId="164" fontId="2" fillId="0" borderId="0" xfId="1" applyFont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5" fillId="0" borderId="3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0" fillId="0" borderId="7" xfId="0" applyBorder="1"/>
    <xf numFmtId="0" fontId="0" fillId="0" borderId="10" xfId="0" applyBorder="1"/>
    <xf numFmtId="0" fontId="0" fillId="0" borderId="2" xfId="0" quotePrefix="1" applyBorder="1" applyAlignment="1">
      <alignment horizontal="center"/>
    </xf>
    <xf numFmtId="0" fontId="6" fillId="0" borderId="0" xfId="0" applyFont="1"/>
    <xf numFmtId="0" fontId="0" fillId="0" borderId="4" xfId="0" quotePrefix="1" applyBorder="1" applyAlignment="1">
      <alignment horizontal="center"/>
    </xf>
    <xf numFmtId="0" fontId="0" fillId="0" borderId="8" xfId="0" applyBorder="1"/>
    <xf numFmtId="0" fontId="12" fillId="0" borderId="2" xfId="0" applyFont="1" applyBorder="1"/>
    <xf numFmtId="0" fontId="12" fillId="0" borderId="4" xfId="0" applyFont="1" applyBorder="1"/>
    <xf numFmtId="14" fontId="12" fillId="0" borderId="2" xfId="0" applyNumberFormat="1" applyFont="1" applyBorder="1" applyAlignment="1">
      <alignment horizontal="center"/>
    </xf>
    <xf numFmtId="164" fontId="12" fillId="0" borderId="2" xfId="1" applyFont="1" applyBorder="1"/>
    <xf numFmtId="14" fontId="0" fillId="0" borderId="4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9" fontId="13" fillId="0" borderId="3" xfId="0" applyNumberFormat="1" applyFont="1" applyFill="1" applyBorder="1" applyAlignment="1">
      <alignment horizontal="center" vertical="center"/>
    </xf>
    <xf numFmtId="164" fontId="0" fillId="0" borderId="4" xfId="1" applyFont="1" applyBorder="1"/>
    <xf numFmtId="14" fontId="12" fillId="0" borderId="2" xfId="0" applyNumberFormat="1" applyFont="1" applyFill="1" applyBorder="1" applyAlignment="1">
      <alignment horizontal="center"/>
    </xf>
    <xf numFmtId="0" fontId="12" fillId="0" borderId="0" xfId="0" applyFont="1"/>
    <xf numFmtId="49" fontId="4" fillId="2" borderId="3" xfId="0" applyNumberFormat="1" applyFont="1" applyFill="1" applyBorder="1" applyAlignment="1">
      <alignment horizontal="center" vertical="center" wrapText="1"/>
    </xf>
    <xf numFmtId="14" fontId="4" fillId="0" borderId="3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4" borderId="0" xfId="0" applyFill="1"/>
    <xf numFmtId="0" fontId="26" fillId="3" borderId="16" xfId="0" applyFont="1" applyFill="1" applyBorder="1" applyAlignment="1">
      <alignment horizontal="center" vertical="center"/>
    </xf>
    <xf numFmtId="0" fontId="26" fillId="3" borderId="16" xfId="0" applyFont="1" applyFill="1" applyBorder="1" applyAlignment="1">
      <alignment vertical="center"/>
    </xf>
    <xf numFmtId="0" fontId="26" fillId="4" borderId="0" xfId="0" applyFont="1" applyFill="1" applyAlignment="1">
      <alignment vertical="center"/>
    </xf>
    <xf numFmtId="0" fontId="10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0" fillId="0" borderId="0" xfId="0" applyProtection="1">
      <protection hidden="1"/>
    </xf>
    <xf numFmtId="0" fontId="6" fillId="0" borderId="0" xfId="0" applyFont="1" applyAlignment="1" applyProtection="1">
      <alignment horizontal="right" vertical="center"/>
      <protection hidden="1"/>
    </xf>
    <xf numFmtId="14" fontId="6" fillId="0" borderId="0" xfId="0" applyNumberFormat="1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10" fillId="0" borderId="0" xfId="0" applyFont="1" applyAlignment="1" applyProtection="1">
      <alignment horizontal="right" vertical="center"/>
      <protection hidden="1"/>
    </xf>
    <xf numFmtId="0" fontId="20" fillId="0" borderId="0" xfId="0" applyFont="1" applyAlignment="1" applyProtection="1">
      <alignment horizontal="right" vertical="center"/>
      <protection hidden="1"/>
    </xf>
    <xf numFmtId="0" fontId="21" fillId="0" borderId="0" xfId="0" applyFont="1" applyFill="1" applyProtection="1">
      <protection hidden="1"/>
    </xf>
    <xf numFmtId="0" fontId="0" fillId="0" borderId="0" xfId="0" applyFill="1" applyProtection="1">
      <protection hidden="1"/>
    </xf>
    <xf numFmtId="49" fontId="8" fillId="0" borderId="3" xfId="0" applyNumberFormat="1" applyFont="1" applyFill="1" applyBorder="1" applyAlignment="1" applyProtection="1">
      <alignment horizontal="center" vertical="center"/>
      <protection hidden="1"/>
    </xf>
    <xf numFmtId="49" fontId="8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Fill="1" applyProtection="1">
      <protection hidden="1"/>
    </xf>
    <xf numFmtId="49" fontId="4" fillId="0" borderId="2" xfId="0" applyNumberFormat="1" applyFont="1" applyFill="1" applyBorder="1" applyAlignment="1" applyProtection="1">
      <alignment horizontal="center" vertical="center"/>
      <protection hidden="1"/>
    </xf>
    <xf numFmtId="49" fontId="4" fillId="0" borderId="8" xfId="0" applyNumberFormat="1" applyFont="1" applyFill="1" applyBorder="1" applyAlignment="1" applyProtection="1">
      <alignment horizontal="center" vertical="center"/>
      <protection hidden="1"/>
    </xf>
    <xf numFmtId="49" fontId="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24" fillId="0" borderId="4" xfId="0" applyFont="1" applyFill="1" applyBorder="1" applyAlignment="1" applyProtection="1">
      <alignment horizontal="center" vertical="center"/>
      <protection hidden="1"/>
    </xf>
    <xf numFmtId="0" fontId="23" fillId="0" borderId="9" xfId="0" applyFont="1" applyFill="1" applyBorder="1" applyAlignment="1" applyProtection="1">
      <alignment vertical="center" wrapText="1"/>
      <protection hidden="1"/>
    </xf>
    <xf numFmtId="14" fontId="23" fillId="0" borderId="9" xfId="0" applyNumberFormat="1" applyFont="1" applyFill="1" applyBorder="1" applyAlignment="1" applyProtection="1">
      <alignment vertical="center" wrapText="1"/>
      <protection hidden="1"/>
    </xf>
    <xf numFmtId="0" fontId="23" fillId="0" borderId="4" xfId="0" applyFont="1" applyFill="1" applyBorder="1" applyAlignment="1" applyProtection="1">
      <alignment horizontal="center" vertical="center"/>
      <protection hidden="1"/>
    </xf>
    <xf numFmtId="164" fontId="23" fillId="0" borderId="4" xfId="1" applyFont="1" applyFill="1" applyBorder="1" applyAlignment="1" applyProtection="1">
      <alignment vertical="center"/>
      <protection hidden="1"/>
    </xf>
    <xf numFmtId="0" fontId="0" fillId="0" borderId="7" xfId="0" applyFill="1" applyBorder="1" applyProtection="1">
      <protection hidden="1"/>
    </xf>
    <xf numFmtId="164" fontId="0" fillId="0" borderId="6" xfId="0" applyNumberForma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0" fontId="0" fillId="0" borderId="13" xfId="0" applyFill="1" applyBorder="1" applyProtection="1">
      <protection hidden="1"/>
    </xf>
    <xf numFmtId="49" fontId="8" fillId="0" borderId="15" xfId="0" applyNumberFormat="1" applyFont="1" applyFill="1" applyBorder="1" applyAlignment="1" applyProtection="1">
      <alignment horizontal="center" vertical="center"/>
      <protection hidden="1"/>
    </xf>
    <xf numFmtId="0" fontId="0" fillId="0" borderId="15" xfId="0" applyFill="1" applyBorder="1" applyProtection="1">
      <protection hidden="1"/>
    </xf>
    <xf numFmtId="0" fontId="22" fillId="0" borderId="13" xfId="0" applyFont="1" applyFill="1" applyBorder="1" applyAlignment="1" applyProtection="1">
      <alignment horizontal="centerContinuous" vertical="center"/>
      <protection hidden="1"/>
    </xf>
    <xf numFmtId="0" fontId="22" fillId="0" borderId="14" xfId="0" applyFont="1" applyFill="1" applyBorder="1" applyAlignment="1" applyProtection="1">
      <alignment horizontal="centerContinuous" vertical="center"/>
      <protection hidden="1"/>
    </xf>
    <xf numFmtId="49" fontId="4" fillId="0" borderId="6" xfId="0" applyNumberFormat="1" applyFont="1" applyFill="1" applyBorder="1" applyAlignment="1" applyProtection="1">
      <alignment horizontal="center" vertical="center"/>
      <protection hidden="1"/>
    </xf>
    <xf numFmtId="0" fontId="24" fillId="0" borderId="9" xfId="0" applyFont="1" applyFill="1" applyBorder="1" applyProtection="1">
      <protection hidden="1"/>
    </xf>
    <xf numFmtId="0" fontId="24" fillId="0" borderId="0" xfId="0" applyFont="1" applyFill="1" applyBorder="1" applyAlignment="1" applyProtection="1">
      <alignment horizontal="left" vertical="center"/>
      <protection hidden="1"/>
    </xf>
    <xf numFmtId="0" fontId="23" fillId="0" borderId="0" xfId="0" applyFont="1" applyFill="1" applyBorder="1" applyAlignment="1" applyProtection="1">
      <alignment vertical="center" wrapText="1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164" fontId="24" fillId="0" borderId="0" xfId="1" applyFont="1" applyFill="1" applyBorder="1" applyAlignment="1" applyProtection="1">
      <alignment vertical="center"/>
      <protection hidden="1"/>
    </xf>
    <xf numFmtId="164" fontId="24" fillId="0" borderId="12" xfId="1" applyFont="1" applyFill="1" applyBorder="1" applyAlignment="1" applyProtection="1">
      <alignment vertical="center"/>
      <protection hidden="1"/>
    </xf>
    <xf numFmtId="0" fontId="0" fillId="0" borderId="10" xfId="0" applyFill="1" applyBorder="1" applyProtection="1">
      <protection hidden="1"/>
    </xf>
    <xf numFmtId="0" fontId="0" fillId="0" borderId="11" xfId="0" applyFill="1" applyBorder="1" applyProtection="1">
      <protection hidden="1"/>
    </xf>
    <xf numFmtId="0" fontId="24" fillId="0" borderId="4" xfId="0" applyFont="1" applyFill="1" applyBorder="1" applyProtection="1">
      <protection hidden="1"/>
    </xf>
    <xf numFmtId="0" fontId="22" fillId="0" borderId="0" xfId="0" applyFont="1" applyFill="1" applyBorder="1" applyAlignment="1" applyProtection="1">
      <alignment vertical="center" wrapText="1"/>
      <protection hidden="1"/>
    </xf>
    <xf numFmtId="0" fontId="23" fillId="0" borderId="9" xfId="0" applyFont="1" applyFill="1" applyBorder="1" applyAlignment="1" applyProtection="1">
      <alignment horizontal="center" vertical="center" wrapText="1"/>
      <protection hidden="1"/>
    </xf>
    <xf numFmtId="14" fontId="23" fillId="0" borderId="9" xfId="0" applyNumberFormat="1" applyFont="1" applyFill="1" applyBorder="1" applyAlignment="1" applyProtection="1">
      <alignment horizontal="center" vertical="center" wrapText="1"/>
      <protection hidden="1"/>
    </xf>
    <xf numFmtId="2" fontId="24" fillId="0" borderId="0" xfId="1" applyNumberFormat="1" applyFont="1" applyFill="1" applyBorder="1" applyAlignment="1" applyProtection="1">
      <alignment horizontal="centerContinuous" vertical="center"/>
      <protection hidden="1"/>
    </xf>
    <xf numFmtId="2" fontId="24" fillId="0" borderId="0" xfId="0" applyNumberFormat="1" applyFont="1" applyFill="1" applyAlignment="1" applyProtection="1">
      <alignment horizontal="centerContinuous"/>
      <protection hidden="1"/>
    </xf>
    <xf numFmtId="164" fontId="0" fillId="0" borderId="11" xfId="0" applyNumberFormat="1" applyFill="1" applyBorder="1" applyProtection="1">
      <protection hidden="1"/>
    </xf>
    <xf numFmtId="0" fontId="20" fillId="0" borderId="0" xfId="0" applyFont="1" applyFill="1" applyProtection="1">
      <protection hidden="1"/>
    </xf>
    <xf numFmtId="0" fontId="11" fillId="0" borderId="0" xfId="0" applyFont="1" applyFill="1" applyAlignment="1" applyProtection="1">
      <alignment vertical="center"/>
      <protection hidden="1"/>
    </xf>
    <xf numFmtId="0" fontId="23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12" fillId="0" borderId="0" xfId="0" applyFont="1" applyBorder="1" applyProtection="1">
      <protection hidden="1"/>
    </xf>
    <xf numFmtId="0" fontId="27" fillId="0" borderId="0" xfId="0" applyFont="1" applyProtection="1">
      <protection hidden="1"/>
    </xf>
    <xf numFmtId="0" fontId="21" fillId="0" borderId="0" xfId="0" applyFont="1" applyProtection="1">
      <protection hidden="1"/>
    </xf>
    <xf numFmtId="0" fontId="14" fillId="0" borderId="0" xfId="0" applyFont="1" applyBorder="1" applyAlignment="1" applyProtection="1">
      <alignment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4" fontId="16" fillId="0" borderId="2" xfId="0" applyNumberFormat="1" applyFont="1" applyFill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0" fontId="28" fillId="0" borderId="0" xfId="0" applyFont="1" applyFill="1" applyAlignment="1" applyProtection="1">
      <alignment horizontal="left" vertical="center"/>
      <protection locked="0"/>
    </xf>
    <xf numFmtId="164" fontId="20" fillId="0" borderId="7" xfId="1" applyFont="1" applyFill="1" applyBorder="1" applyAlignment="1" applyProtection="1">
      <alignment vertical="center"/>
      <protection hidden="1"/>
    </xf>
    <xf numFmtId="164" fontId="20" fillId="0" borderId="3" xfId="0" applyNumberFormat="1" applyFont="1" applyFill="1" applyBorder="1" applyAlignment="1" applyProtection="1">
      <alignment vertical="center"/>
      <protection hidden="1"/>
    </xf>
    <xf numFmtId="0" fontId="21" fillId="0" borderId="0" xfId="0" applyFont="1" applyFill="1" applyAlignment="1" applyProtection="1">
      <alignment vertical="center"/>
      <protection hidden="1"/>
    </xf>
    <xf numFmtId="164" fontId="20" fillId="0" borderId="3" xfId="1" applyFont="1" applyFill="1" applyBorder="1" applyAlignment="1" applyProtection="1">
      <alignment vertical="center"/>
      <protection hidden="1"/>
    </xf>
    <xf numFmtId="0" fontId="23" fillId="0" borderId="0" xfId="0" applyFont="1" applyFill="1" applyBorder="1" applyAlignment="1" applyProtection="1">
      <alignment horizontal="center" vertical="center"/>
      <protection hidden="1"/>
    </xf>
    <xf numFmtId="49" fontId="4" fillId="0" borderId="17" xfId="0" applyNumberFormat="1" applyFont="1" applyFill="1" applyBorder="1" applyAlignment="1" applyProtection="1">
      <alignment horizontal="center" vertical="center"/>
      <protection hidden="1"/>
    </xf>
    <xf numFmtId="164" fontId="24" fillId="0" borderId="9" xfId="1" applyFont="1" applyFill="1" applyBorder="1" applyAlignment="1" applyProtection="1">
      <alignment vertical="center"/>
      <protection hidden="1"/>
    </xf>
    <xf numFmtId="0" fontId="0" fillId="0" borderId="18" xfId="0" applyFill="1" applyBorder="1" applyProtection="1">
      <protection hidden="1"/>
    </xf>
    <xf numFmtId="164" fontId="0" fillId="4" borderId="0" xfId="1" applyFont="1" applyFill="1"/>
    <xf numFmtId="164" fontId="26" fillId="3" borderId="16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29" fillId="5" borderId="19" xfId="0" applyFont="1" applyFill="1" applyBorder="1" applyAlignment="1">
      <alignment horizontal="left" vertical="center" indent="1"/>
    </xf>
    <xf numFmtId="0" fontId="30" fillId="6" borderId="20" xfId="0" applyFont="1" applyFill="1" applyBorder="1" applyAlignment="1">
      <alignment horizontal="left" vertical="center" indent="1"/>
    </xf>
    <xf numFmtId="0" fontId="0" fillId="0" borderId="21" xfId="0" applyFill="1" applyBorder="1" applyAlignment="1">
      <alignment horizontal="left" indent="1"/>
    </xf>
    <xf numFmtId="0" fontId="30" fillId="0" borderId="21" xfId="0" applyFont="1" applyFill="1" applyBorder="1" applyAlignment="1">
      <alignment horizontal="left" vertical="center" indent="1"/>
    </xf>
    <xf numFmtId="14" fontId="0" fillId="0" borderId="21" xfId="0" applyNumberFormat="1" applyFill="1" applyBorder="1" applyAlignment="1">
      <alignment horizontal="left" indent="1"/>
    </xf>
    <xf numFmtId="0" fontId="0" fillId="0" borderId="13" xfId="0" quotePrefix="1" applyBorder="1"/>
    <xf numFmtId="164" fontId="0" fillId="0" borderId="0" xfId="1" applyFont="1"/>
    <xf numFmtId="0" fontId="0" fillId="0" borderId="0" xfId="0" applyAlignment="1">
      <alignment horizontal="center"/>
    </xf>
    <xf numFmtId="0" fontId="0" fillId="0" borderId="3" xfId="0" quotePrefix="1" applyBorder="1"/>
    <xf numFmtId="49" fontId="8" fillId="0" borderId="16" xfId="0" applyNumberFormat="1" applyFont="1" applyFill="1" applyBorder="1" applyAlignment="1" applyProtection="1">
      <alignment horizontal="center" vertical="center" wrapText="1"/>
      <protection hidden="1"/>
    </xf>
    <xf numFmtId="14" fontId="4" fillId="0" borderId="16" xfId="0" applyNumberFormat="1" applyFont="1" applyFill="1" applyBorder="1" applyAlignment="1">
      <alignment horizontal="center" vertical="center" wrapText="1"/>
    </xf>
    <xf numFmtId="49" fontId="4" fillId="0" borderId="16" xfId="0" applyNumberFormat="1" applyFont="1" applyFill="1" applyBorder="1" applyAlignment="1">
      <alignment horizontal="center" vertical="center" wrapText="1"/>
    </xf>
    <xf numFmtId="49" fontId="4" fillId="0" borderId="16" xfId="0" applyNumberFormat="1" applyFont="1" applyFill="1" applyBorder="1" applyAlignment="1">
      <alignment horizontal="center" vertical="center"/>
    </xf>
    <xf numFmtId="0" fontId="20" fillId="0" borderId="3" xfId="0" applyFont="1" applyBorder="1" applyAlignment="1" applyProtection="1">
      <alignment horizontal="right" vertical="center"/>
      <protection hidden="1"/>
    </xf>
    <xf numFmtId="0" fontId="23" fillId="0" borderId="0" xfId="0" applyFont="1" applyFill="1" applyBorder="1" applyProtection="1">
      <protection hidden="1"/>
    </xf>
    <xf numFmtId="164" fontId="6" fillId="0" borderId="0" xfId="0" applyNumberFormat="1" applyFont="1" applyBorder="1"/>
    <xf numFmtId="0" fontId="6" fillId="0" borderId="0" xfId="0" applyFont="1" applyBorder="1" applyAlignment="1">
      <alignment wrapText="1"/>
    </xf>
    <xf numFmtId="0" fontId="6" fillId="0" borderId="0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64" fontId="0" fillId="0" borderId="0" xfId="1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14" xfId="0" applyBorder="1"/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horizontal="center" vertical="center"/>
    </xf>
    <xf numFmtId="164" fontId="9" fillId="7" borderId="1" xfId="1" applyFont="1" applyFill="1" applyBorder="1" applyAlignment="1">
      <alignment horizontal="center" vertical="center"/>
    </xf>
    <xf numFmtId="9" fontId="2" fillId="7" borderId="1" xfId="2" applyFont="1" applyFill="1" applyBorder="1" applyAlignment="1">
      <alignment horizontal="center" vertical="center"/>
    </xf>
    <xf numFmtId="164" fontId="2" fillId="7" borderId="1" xfId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vertical="center" wrapText="1"/>
    </xf>
    <xf numFmtId="0" fontId="9" fillId="7" borderId="5" xfId="0" applyFont="1" applyFill="1" applyBorder="1" applyAlignment="1">
      <alignment horizontal="center" vertical="center"/>
    </xf>
    <xf numFmtId="164" fontId="9" fillId="7" borderId="5" xfId="1" applyFont="1" applyFill="1" applyBorder="1" applyAlignment="1">
      <alignment horizontal="center" vertical="center"/>
    </xf>
    <xf numFmtId="9" fontId="2" fillId="7" borderId="5" xfId="2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22" fillId="0" borderId="13" xfId="0" applyFont="1" applyFill="1" applyBorder="1" applyAlignment="1" applyProtection="1">
      <alignment horizontal="centerContinuous" vertical="center" wrapText="1"/>
      <protection hidden="1"/>
    </xf>
    <xf numFmtId="0" fontId="3" fillId="7" borderId="1" xfId="0" applyFont="1" applyFill="1" applyBorder="1" applyAlignment="1">
      <alignment horizontal="left" vertical="center"/>
    </xf>
    <xf numFmtId="0" fontId="0" fillId="0" borderId="21" xfId="0" applyBorder="1"/>
    <xf numFmtId="14" fontId="0" fillId="0" borderId="0" xfId="0" applyNumberFormat="1" applyFill="1" applyBorder="1" applyAlignment="1">
      <alignment horizontal="left" indent="1"/>
    </xf>
    <xf numFmtId="0" fontId="21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20" fillId="0" borderId="0" xfId="0" applyFont="1" applyFill="1" applyAlignment="1" applyProtection="1">
      <alignment horizontal="left" vertical="center"/>
      <protection hidden="1"/>
    </xf>
  </cellXfs>
  <cellStyles count="3">
    <cellStyle name="Milliers" xfId="1" builtinId="3"/>
    <cellStyle name="Normal" xfId="0" builtinId="0"/>
    <cellStyle name="Pourcentage" xfId="2" builtinId="5"/>
  </cellStyles>
  <dxfs count="1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4D7363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O$64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101603</xdr:colOff>
      <xdr:row>0</xdr:row>
      <xdr:rowOff>74096</xdr:rowOff>
    </xdr:from>
    <xdr:to>
      <xdr:col>2</xdr:col>
      <xdr:colOff>910635</xdr:colOff>
      <xdr:row>2</xdr:row>
      <xdr:rowOff>412758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3" y="74096"/>
          <a:ext cx="1774735" cy="7514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</xdr:row>
          <xdr:rowOff>95250</xdr:rowOff>
        </xdr:from>
        <xdr:to>
          <xdr:col>14</xdr:col>
          <xdr:colOff>749300</xdr:colOff>
          <xdr:row>2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Nouvelle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67</xdr:row>
          <xdr:rowOff>50800</xdr:rowOff>
        </xdr:from>
        <xdr:to>
          <xdr:col>14</xdr:col>
          <xdr:colOff>749300</xdr:colOff>
          <xdr:row>68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Valider la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19</xdr:row>
          <xdr:rowOff>158750</xdr:rowOff>
        </xdr:from>
        <xdr:to>
          <xdr:col>12</xdr:col>
          <xdr:colOff>361950</xdr:colOff>
          <xdr:row>19</xdr:row>
          <xdr:rowOff>425450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19</xdr:row>
          <xdr:rowOff>158750</xdr:rowOff>
        </xdr:from>
        <xdr:to>
          <xdr:col>12</xdr:col>
          <xdr:colOff>679450</xdr:colOff>
          <xdr:row>19</xdr:row>
          <xdr:rowOff>425450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717550</xdr:colOff>
          <xdr:row>19</xdr:row>
          <xdr:rowOff>158750</xdr:rowOff>
        </xdr:from>
        <xdr:to>
          <xdr:col>14</xdr:col>
          <xdr:colOff>749300</xdr:colOff>
          <xdr:row>19</xdr:row>
          <xdr:rowOff>419100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711200</xdr:colOff>
          <xdr:row>26</xdr:row>
          <xdr:rowOff>44450</xdr:rowOff>
        </xdr:from>
        <xdr:to>
          <xdr:col>14</xdr:col>
          <xdr:colOff>736600</xdr:colOff>
          <xdr:row>27</xdr:row>
          <xdr:rowOff>50800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26</xdr:row>
          <xdr:rowOff>44450</xdr:rowOff>
        </xdr:from>
        <xdr:to>
          <xdr:col>12</xdr:col>
          <xdr:colOff>361950</xdr:colOff>
          <xdr:row>27</xdr:row>
          <xdr:rowOff>50800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26</xdr:row>
          <xdr:rowOff>44450</xdr:rowOff>
        </xdr:from>
        <xdr:to>
          <xdr:col>12</xdr:col>
          <xdr:colOff>666750</xdr:colOff>
          <xdr:row>27</xdr:row>
          <xdr:rowOff>50800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63</xdr:row>
          <xdr:rowOff>44450</xdr:rowOff>
        </xdr:from>
        <xdr:to>
          <xdr:col>12</xdr:col>
          <xdr:colOff>209550</xdr:colOff>
          <xdr:row>63</xdr:row>
          <xdr:rowOff>184150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34</xdr:row>
          <xdr:rowOff>114300</xdr:rowOff>
        </xdr:from>
        <xdr:to>
          <xdr:col>14</xdr:col>
          <xdr:colOff>749300</xdr:colOff>
          <xdr:row>34</xdr:row>
          <xdr:rowOff>381000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34</xdr:row>
          <xdr:rowOff>114300</xdr:rowOff>
        </xdr:from>
        <xdr:to>
          <xdr:col>12</xdr:col>
          <xdr:colOff>361950</xdr:colOff>
          <xdr:row>34</xdr:row>
          <xdr:rowOff>381000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34</xdr:row>
          <xdr:rowOff>114300</xdr:rowOff>
        </xdr:from>
        <xdr:to>
          <xdr:col>12</xdr:col>
          <xdr:colOff>679450</xdr:colOff>
          <xdr:row>34</xdr:row>
          <xdr:rowOff>381000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5</xdr:row>
          <xdr:rowOff>69850</xdr:rowOff>
        </xdr:from>
        <xdr:to>
          <xdr:col>14</xdr:col>
          <xdr:colOff>755650</xdr:colOff>
          <xdr:row>6</xdr:row>
          <xdr:rowOff>107950</xdr:rowOff>
        </xdr:to>
        <xdr:sp macro="" textlink="">
          <xdr:nvSpPr>
            <xdr:cNvPr id="1098" name="CheckBox1" descr="Evacuation des Déchets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6</xdr:row>
          <xdr:rowOff>158750</xdr:rowOff>
        </xdr:from>
        <xdr:to>
          <xdr:col>14</xdr:col>
          <xdr:colOff>755650</xdr:colOff>
          <xdr:row>8</xdr:row>
          <xdr:rowOff>44450</xdr:rowOff>
        </xdr:to>
        <xdr:sp macro="" textlink="">
          <xdr:nvSpPr>
            <xdr:cNvPr id="1101" name="CheckBox2" descr="Evacuation des Déchets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8</xdr:row>
          <xdr:rowOff>69850</xdr:rowOff>
        </xdr:from>
        <xdr:to>
          <xdr:col>14</xdr:col>
          <xdr:colOff>755650</xdr:colOff>
          <xdr:row>9</xdr:row>
          <xdr:rowOff>139700</xdr:rowOff>
        </xdr:to>
        <xdr:sp macro="" textlink="">
          <xdr:nvSpPr>
            <xdr:cNvPr id="1102" name="CheckBox3" descr="Evacuation des Déchets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65</xdr:row>
          <xdr:rowOff>234950</xdr:rowOff>
        </xdr:from>
        <xdr:to>
          <xdr:col>14</xdr:col>
          <xdr:colOff>742950</xdr:colOff>
          <xdr:row>66</xdr:row>
          <xdr:rowOff>234950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Aperçu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2</xdr:row>
          <xdr:rowOff>419100</xdr:rowOff>
        </xdr:from>
        <xdr:to>
          <xdr:col>14</xdr:col>
          <xdr:colOff>755650</xdr:colOff>
          <xdr:row>4</xdr:row>
          <xdr:rowOff>12700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Nouveau Avoir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952500</xdr:colOff>
          <xdr:row>3</xdr:row>
          <xdr:rowOff>6350</xdr:rowOff>
        </xdr:to>
        <xdr:sp macro="" textlink="">
          <xdr:nvSpPr>
            <xdr:cNvPr id="17409" name="liste_NFactur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1</xdr:row>
          <xdr:rowOff>177800</xdr:rowOff>
        </xdr:from>
        <xdr:to>
          <xdr:col>2</xdr:col>
          <xdr:colOff>2159000</xdr:colOff>
          <xdr:row>3</xdr:row>
          <xdr:rowOff>12700</xdr:rowOff>
        </xdr:to>
        <xdr:sp macro="" textlink="">
          <xdr:nvSpPr>
            <xdr:cNvPr id="17410" name="liste_Client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27649" name="liste_NFactureDetail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952500</xdr:colOff>
          <xdr:row>3</xdr:row>
          <xdr:rowOff>6350</xdr:rowOff>
        </xdr:to>
        <xdr:sp macro="" textlink="">
          <xdr:nvSpPr>
            <xdr:cNvPr id="37889" name="liste_NAvoir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1</xdr:row>
          <xdr:rowOff>177800</xdr:rowOff>
        </xdr:from>
        <xdr:to>
          <xdr:col>2</xdr:col>
          <xdr:colOff>2159000</xdr:colOff>
          <xdr:row>3</xdr:row>
          <xdr:rowOff>12700</xdr:rowOff>
        </xdr:to>
        <xdr:sp macro="" textlink="">
          <xdr:nvSpPr>
            <xdr:cNvPr id="37890" name="liste_ClientAvoir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38913" name="liste_NAvoirDetail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19050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2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8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acture">
    <tabColor rgb="FF00B050"/>
    <pageSetUpPr fitToPage="1"/>
  </sheetPr>
  <dimension ref="A1:O68"/>
  <sheetViews>
    <sheetView showGridLines="0" view="pageBreakPreview" topLeftCell="A42" zoomScale="89" zoomScaleNormal="89" zoomScaleSheetLayoutView="89" workbookViewId="0">
      <selection activeCell="B4" sqref="B4:D4"/>
    </sheetView>
  </sheetViews>
  <sheetFormatPr baseColWidth="10" defaultRowHeight="14.5" x14ac:dyDescent="0.35"/>
  <cols>
    <col min="1" max="1" width="1.08984375" style="36" customWidth="1"/>
    <col min="2" max="2" width="13.90625" style="36" customWidth="1"/>
    <col min="3" max="3" width="45.1796875" style="36" customWidth="1"/>
    <col min="4" max="4" width="12" style="36" customWidth="1"/>
    <col min="5" max="5" width="9.7265625" style="36" customWidth="1"/>
    <col min="6" max="6" width="6.08984375" style="36" customWidth="1"/>
    <col min="7" max="7" width="8.26953125" style="36" customWidth="1"/>
    <col min="8" max="8" width="10.453125" style="36" customWidth="1"/>
    <col min="9" max="9" width="10.36328125" style="36" customWidth="1"/>
    <col min="10" max="10" width="20.81640625" style="36" customWidth="1"/>
    <col min="11" max="11" width="0.81640625" style="36" customWidth="1"/>
    <col min="12" max="12" width="2.08984375" style="36" customWidth="1"/>
    <col min="13" max="13" width="16.54296875" style="36" customWidth="1"/>
    <col min="14" max="16384" width="10.90625" style="36"/>
  </cols>
  <sheetData>
    <row r="1" spans="2:10" ht="18.5" x14ac:dyDescent="0.45">
      <c r="B1" s="34"/>
      <c r="C1" s="35"/>
      <c r="D1" s="35"/>
      <c r="E1" s="35"/>
      <c r="F1" s="35"/>
      <c r="G1" s="35"/>
      <c r="H1" s="35"/>
    </row>
    <row r="3" spans="2:10" ht="37" customHeight="1" x14ac:dyDescent="0.35"/>
    <row r="4" spans="2:10" ht="15.5" x14ac:dyDescent="0.35">
      <c r="B4" s="148" t="s">
        <v>69</v>
      </c>
      <c r="C4" s="148"/>
      <c r="D4" s="148"/>
      <c r="I4" s="37" t="s">
        <v>116</v>
      </c>
      <c r="J4" s="38">
        <f ca="1">TODAY()</f>
        <v>43861</v>
      </c>
    </row>
    <row r="5" spans="2:10" ht="15.5" x14ac:dyDescent="0.35">
      <c r="B5" s="147" t="s">
        <v>70</v>
      </c>
      <c r="C5" s="147"/>
      <c r="D5" s="147"/>
    </row>
    <row r="6" spans="2:10" ht="15.5" x14ac:dyDescent="0.35">
      <c r="B6" s="147" t="s">
        <v>71</v>
      </c>
      <c r="C6" s="147"/>
      <c r="D6" s="147"/>
    </row>
    <row r="7" spans="2:10" x14ac:dyDescent="0.35">
      <c r="B7" s="149"/>
      <c r="C7" s="149"/>
      <c r="D7" s="149"/>
    </row>
    <row r="8" spans="2:10" x14ac:dyDescent="0.35">
      <c r="B8" s="39"/>
      <c r="C8" s="39"/>
      <c r="D8" s="39"/>
    </row>
    <row r="9" spans="2:10" x14ac:dyDescent="0.35">
      <c r="B9" s="39"/>
      <c r="C9" s="39"/>
      <c r="D9" s="39"/>
    </row>
    <row r="10" spans="2:10" x14ac:dyDescent="0.35">
      <c r="B10" s="39"/>
      <c r="C10" s="39"/>
      <c r="D10" s="39"/>
    </row>
    <row r="11" spans="2:10" x14ac:dyDescent="0.35">
      <c r="B11" s="39"/>
      <c r="C11" s="39"/>
      <c r="D11" s="39"/>
    </row>
    <row r="12" spans="2:10" ht="21" x14ac:dyDescent="0.35">
      <c r="B12" s="40" t="s">
        <v>1123</v>
      </c>
      <c r="C12" s="94"/>
      <c r="H12" s="150"/>
      <c r="I12" s="150"/>
      <c r="J12" s="150"/>
    </row>
    <row r="13" spans="2:10" ht="15.5" x14ac:dyDescent="0.35">
      <c r="H13" s="147" t="str">
        <f>IFERROR(VLOOKUP($H$12,Clients!$B$2:$I$4,2,FALSE),"")</f>
        <v/>
      </c>
      <c r="I13" s="147"/>
      <c r="J13" s="147"/>
    </row>
    <row r="14" spans="2:10" ht="15.5" x14ac:dyDescent="0.35">
      <c r="H14" s="147" t="str">
        <f>IFERROR(VLOOKUP($H$12,Clients!$B$2:$I$4,3,FALSE),"")</f>
        <v/>
      </c>
      <c r="I14" s="147"/>
      <c r="J14" s="147"/>
    </row>
    <row r="15" spans="2:10" ht="15.5" x14ac:dyDescent="0.35">
      <c r="H15" s="147" t="str">
        <f>"ICE                 "&amp;IFERROR(VLOOKUP($H$12,Clients!$B$2:$I$4,4,FALSE),"")</f>
        <v xml:space="preserve">ICE                 </v>
      </c>
      <c r="I15" s="147"/>
      <c r="J15" s="147"/>
    </row>
    <row r="17" spans="1:11" ht="15.5" x14ac:dyDescent="0.35">
      <c r="B17" s="41" t="s">
        <v>87</v>
      </c>
      <c r="C17" s="42"/>
    </row>
    <row r="18" spans="1:11" ht="5.5" customHeight="1" x14ac:dyDescent="0.3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</row>
    <row r="19" spans="1:11" ht="6.5" customHeight="1" x14ac:dyDescent="0.3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spans="1:11" ht="33.5" hidden="1" customHeight="1" thickBot="1" x14ac:dyDescent="0.4">
      <c r="A20" s="43"/>
      <c r="B20" s="44" t="str">
        <f>+'Bordereaux des Prix'!A3</f>
        <v>Article</v>
      </c>
      <c r="C20" s="44" t="str">
        <f>+'Bordereaux des Prix'!B3</f>
        <v>Type de Déchet</v>
      </c>
      <c r="D20" s="44" t="s">
        <v>49</v>
      </c>
      <c r="E20" s="44" t="s">
        <v>12</v>
      </c>
      <c r="F20" s="44" t="s">
        <v>0</v>
      </c>
      <c r="G20" s="44" t="s">
        <v>1</v>
      </c>
      <c r="H20" s="61" t="str">
        <f>+'Bordereaux des Prix'!D3</f>
        <v>Prix Transport DH</v>
      </c>
      <c r="I20" s="62"/>
      <c r="J20" s="45" t="s">
        <v>15</v>
      </c>
      <c r="K20" s="43"/>
    </row>
    <row r="21" spans="1:11" ht="20" hidden="1" customHeight="1" thickBot="1" x14ac:dyDescent="0.5">
      <c r="A21" s="43"/>
      <c r="B21" s="46" t="s">
        <v>54</v>
      </c>
      <c r="C21" s="43"/>
      <c r="D21" s="43"/>
      <c r="E21" s="43"/>
      <c r="F21" s="43"/>
      <c r="G21" s="43"/>
      <c r="H21" s="43"/>
      <c r="I21" s="43"/>
      <c r="J21" s="43"/>
      <c r="K21" s="43"/>
    </row>
    <row r="22" spans="1:11" ht="8.5" hidden="1" customHeight="1" x14ac:dyDescent="0.35">
      <c r="A22" s="43"/>
      <c r="B22" s="47"/>
      <c r="C22" s="48"/>
      <c r="D22" s="48"/>
      <c r="E22" s="48"/>
      <c r="F22" s="47"/>
      <c r="G22" s="47"/>
      <c r="H22" s="48"/>
      <c r="I22" s="100"/>
      <c r="J22" s="49"/>
      <c r="K22" s="43"/>
    </row>
    <row r="23" spans="1:11" hidden="1" x14ac:dyDescent="0.35">
      <c r="A23" s="43"/>
      <c r="B23" s="50"/>
      <c r="C23" s="51" t="str">
        <f>IFERROR(VLOOKUP(B23,'Bordereaux des Prix'!$A$4:$F$14,2,FALSE),"")</f>
        <v/>
      </c>
      <c r="D23" s="51"/>
      <c r="E23" s="52"/>
      <c r="F23" s="50" t="str">
        <f>IFERROR(VLOOKUP(B23,'Bordereaux des Prix'!$A$4:$F$14,3,FALSE),"")</f>
        <v/>
      </c>
      <c r="G23" s="53"/>
      <c r="H23" s="101" t="str">
        <f>IFERROR(VLOOKUP(B23,'Bordereaux des Prix'!$A$4:$F$14,4,FALSE),"")</f>
        <v/>
      </c>
      <c r="I23" s="69" t="str">
        <f>IFERROR(VLOOKUP(B23,'Bordereaux des Prix'!$A$4:$F$14,5,FALSE)*0,"")</f>
        <v/>
      </c>
      <c r="J23" s="54" t="str">
        <f t="shared" ref="J23" si="0">IFERROR(G23*I23+G23*H23,"")</f>
        <v/>
      </c>
      <c r="K23" s="43"/>
    </row>
    <row r="24" spans="1:11" ht="8" hidden="1" customHeight="1" thickBot="1" x14ac:dyDescent="0.4">
      <c r="A24" s="43"/>
      <c r="B24" s="55"/>
      <c r="C24" s="55"/>
      <c r="D24" s="55"/>
      <c r="E24" s="55"/>
      <c r="F24" s="55"/>
      <c r="G24" s="55"/>
      <c r="H24" s="70"/>
      <c r="I24" s="102"/>
      <c r="J24" s="55"/>
      <c r="K24" s="43"/>
    </row>
    <row r="25" spans="1:11" ht="8.5" hidden="1" customHeight="1" x14ac:dyDescent="0.35">
      <c r="A25" s="43"/>
      <c r="B25" s="43"/>
      <c r="C25" s="43"/>
      <c r="D25" s="43"/>
      <c r="E25" s="43"/>
      <c r="F25" s="43"/>
      <c r="G25" s="43"/>
      <c r="H25" s="43"/>
      <c r="I25" s="43"/>
      <c r="J25" s="56"/>
      <c r="K25" s="43"/>
    </row>
    <row r="26" spans="1:11" ht="17.5" customHeight="1" x14ac:dyDescent="0.35">
      <c r="A26" s="43"/>
      <c r="B26" s="43"/>
      <c r="C26" s="43"/>
      <c r="D26" s="43"/>
      <c r="E26" s="43"/>
      <c r="F26" s="43"/>
      <c r="G26" s="43"/>
      <c r="H26" s="43"/>
      <c r="I26" s="43"/>
      <c r="J26" s="57"/>
      <c r="K26" s="43"/>
    </row>
    <row r="27" spans="1:11" ht="21.5" hidden="1" customHeight="1" thickBot="1" x14ac:dyDescent="0.4">
      <c r="A27" s="43"/>
      <c r="B27" s="58"/>
      <c r="C27" s="59" t="s">
        <v>11</v>
      </c>
      <c r="D27" s="60"/>
      <c r="E27" s="60"/>
      <c r="F27" s="60"/>
      <c r="G27" s="44" t="s">
        <v>1</v>
      </c>
      <c r="H27" s="61" t="s">
        <v>102</v>
      </c>
      <c r="I27" s="62"/>
      <c r="J27" s="45" t="s">
        <v>15</v>
      </c>
      <c r="K27" s="43"/>
    </row>
    <row r="28" spans="1:11" ht="20" hidden="1" customHeight="1" x14ac:dyDescent="0.45">
      <c r="A28" s="43"/>
      <c r="B28" s="46" t="str">
        <f>+'Bordereaux des Prix'!A24</f>
        <v>Mise à Disposition de Moyens Matériels</v>
      </c>
      <c r="C28" s="43"/>
      <c r="D28" s="43"/>
      <c r="E28" s="43"/>
      <c r="F28" s="43"/>
      <c r="G28" s="43"/>
      <c r="H28" s="43"/>
      <c r="I28" s="43"/>
      <c r="J28" s="43"/>
      <c r="K28" s="43"/>
    </row>
    <row r="29" spans="1:11" ht="3.5" hidden="1" customHeight="1" thickBot="1" x14ac:dyDescent="0.4">
      <c r="A29" s="43"/>
      <c r="B29" s="43"/>
      <c r="C29" s="43"/>
      <c r="D29" s="43"/>
      <c r="E29" s="43"/>
      <c r="F29" s="43"/>
      <c r="G29" s="43"/>
      <c r="H29" s="43"/>
      <c r="I29" s="43"/>
      <c r="J29" s="57"/>
      <c r="K29" s="43"/>
    </row>
    <row r="30" spans="1:11" ht="8.5" hidden="1" customHeight="1" x14ac:dyDescent="0.35">
      <c r="A30" s="43"/>
      <c r="B30" s="48"/>
      <c r="C30" s="63"/>
      <c r="D30" s="63"/>
      <c r="E30" s="63"/>
      <c r="F30" s="63"/>
      <c r="G30" s="63"/>
      <c r="H30" s="63"/>
      <c r="I30" s="63"/>
      <c r="J30" s="49"/>
      <c r="K30" s="43"/>
    </row>
    <row r="31" spans="1:11" hidden="1" x14ac:dyDescent="0.35">
      <c r="A31" s="43"/>
      <c r="B31" s="64"/>
      <c r="C31" s="65"/>
      <c r="D31" s="66"/>
      <c r="E31" s="66"/>
      <c r="F31" s="67"/>
      <c r="G31" s="99"/>
      <c r="H31" s="68" t="str">
        <f>IFERROR(VLOOKUP(C31,'Bordereaux des Prix'!$B$25:$E$30,4,FALSE),"")</f>
        <v/>
      </c>
      <c r="I31" s="69"/>
      <c r="J31" s="54" t="str">
        <f t="shared" ref="J31" si="1">IFERROR(G31*H31,"")</f>
        <v/>
      </c>
      <c r="K31" s="43"/>
    </row>
    <row r="32" spans="1:11" ht="8.5" hidden="1" customHeight="1" thickBot="1" x14ac:dyDescent="0.4">
      <c r="A32" s="43"/>
      <c r="B32" s="70"/>
      <c r="C32" s="71"/>
      <c r="D32" s="71"/>
      <c r="E32" s="71"/>
      <c r="F32" s="71"/>
      <c r="G32" s="71"/>
      <c r="H32" s="71"/>
      <c r="I32" s="71"/>
      <c r="J32" s="55"/>
      <c r="K32" s="43"/>
    </row>
    <row r="33" spans="1:11" ht="8.5" hidden="1" customHeight="1" x14ac:dyDescent="0.35">
      <c r="A33" s="43"/>
      <c r="B33" s="43"/>
      <c r="C33" s="43"/>
      <c r="D33" s="43"/>
      <c r="E33" s="43"/>
      <c r="F33" s="43"/>
      <c r="G33" s="43"/>
      <c r="H33" s="43"/>
      <c r="I33" s="43"/>
      <c r="J33" s="56"/>
      <c r="K33" s="43"/>
    </row>
    <row r="34" spans="1:11" ht="17.5" customHeight="1" x14ac:dyDescent="0.35">
      <c r="A34" s="43"/>
      <c r="B34" s="43"/>
      <c r="C34" s="43"/>
      <c r="D34" s="43"/>
      <c r="E34" s="43"/>
      <c r="F34" s="43"/>
      <c r="G34" s="43"/>
      <c r="H34" s="43"/>
      <c r="I34" s="43"/>
      <c r="J34" s="57"/>
      <c r="K34" s="43"/>
    </row>
    <row r="35" spans="1:11" ht="31" hidden="1" customHeight="1" thickBot="1" x14ac:dyDescent="0.4">
      <c r="A35" s="43"/>
      <c r="B35" s="44" t="s">
        <v>11</v>
      </c>
      <c r="C35" s="44" t="s">
        <v>50</v>
      </c>
      <c r="D35" s="44" t="s">
        <v>49</v>
      </c>
      <c r="E35" s="44" t="s">
        <v>12</v>
      </c>
      <c r="F35" s="44" t="s">
        <v>0</v>
      </c>
      <c r="G35" s="44" t="s">
        <v>1</v>
      </c>
      <c r="H35" s="61" t="s">
        <v>101</v>
      </c>
      <c r="I35" s="62"/>
      <c r="J35" s="45" t="s">
        <v>15</v>
      </c>
      <c r="K35" s="43"/>
    </row>
    <row r="36" spans="1:11" ht="20" hidden="1" customHeight="1" x14ac:dyDescent="0.45">
      <c r="A36" s="43"/>
      <c r="B36" s="46" t="str">
        <f>+'Bordereaux des Prix'!A38</f>
        <v>Valorisation</v>
      </c>
      <c r="C36" s="43"/>
      <c r="D36" s="43"/>
      <c r="E36" s="43"/>
      <c r="F36" s="43"/>
      <c r="G36" s="43"/>
      <c r="H36" s="43"/>
      <c r="I36" s="43"/>
      <c r="J36" s="43"/>
      <c r="K36" s="43"/>
    </row>
    <row r="37" spans="1:11" ht="3.5" hidden="1" customHeight="1" thickBot="1" x14ac:dyDescent="0.4">
      <c r="A37" s="43"/>
      <c r="B37" s="43"/>
      <c r="C37" s="43"/>
      <c r="D37" s="43"/>
      <c r="E37" s="43"/>
      <c r="F37" s="43"/>
      <c r="G37" s="43"/>
      <c r="H37" s="43"/>
      <c r="I37" s="43"/>
      <c r="J37" s="57"/>
      <c r="K37" s="43"/>
    </row>
    <row r="38" spans="1:11" ht="8.5" hidden="1" customHeight="1" x14ac:dyDescent="0.35">
      <c r="A38" s="43"/>
      <c r="B38" s="47"/>
      <c r="C38" s="63"/>
      <c r="D38" s="47"/>
      <c r="E38" s="47"/>
      <c r="F38" s="47"/>
      <c r="G38" s="47"/>
      <c r="H38" s="63"/>
      <c r="I38" s="63"/>
      <c r="J38" s="49"/>
      <c r="K38" s="43"/>
    </row>
    <row r="39" spans="1:11" ht="14.5" hidden="1" customHeight="1" x14ac:dyDescent="0.35">
      <c r="A39" s="43"/>
      <c r="B39" s="72"/>
      <c r="C39" s="73" t="str">
        <f>IFERROR(VLOOKUP(B39,'Bordereaux des Prix'!$A$39:$F$46,2,FALSE),"")</f>
        <v/>
      </c>
      <c r="D39" s="74"/>
      <c r="E39" s="75"/>
      <c r="F39" s="50" t="str">
        <f>IFERROR(VLOOKUP(B39,'Bordereaux des Prix'!$A$39:$F$46,3,FALSE),"")</f>
        <v/>
      </c>
      <c r="G39" s="53"/>
      <c r="H39" s="76" t="str">
        <f>IFERROR(VLOOKUP(B39,'Bordereaux des Prix'!$A$39:$F$46,5,FALSE),"")</f>
        <v/>
      </c>
      <c r="I39" s="77"/>
      <c r="J39" s="54" t="str">
        <f t="shared" ref="J39" si="2">IFERROR(G39*H39,"")</f>
        <v/>
      </c>
      <c r="K39" s="43"/>
    </row>
    <row r="40" spans="1:11" ht="8.5" hidden="1" customHeight="1" thickBot="1" x14ac:dyDescent="0.4">
      <c r="A40" s="43"/>
      <c r="B40" s="55"/>
      <c r="C40" s="71"/>
      <c r="D40" s="55"/>
      <c r="E40" s="55"/>
      <c r="F40" s="55"/>
      <c r="G40" s="55"/>
      <c r="H40" s="71"/>
      <c r="I40" s="71"/>
      <c r="J40" s="55"/>
      <c r="K40" s="43"/>
    </row>
    <row r="41" spans="1:11" ht="8.5" hidden="1" customHeight="1" x14ac:dyDescent="0.3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</row>
    <row r="42" spans="1:11" ht="19.5" customHeight="1" x14ac:dyDescent="0.3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</row>
    <row r="43" spans="1:11" ht="8.5" customHeight="1" x14ac:dyDescent="0.3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</row>
    <row r="44" spans="1:11" ht="8.5" customHeight="1" x14ac:dyDescent="0.3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</row>
    <row r="45" spans="1:11" ht="8.5" customHeight="1" x14ac:dyDescent="0.3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</row>
    <row r="46" spans="1:11" ht="8.5" customHeight="1" x14ac:dyDescent="0.3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</row>
    <row r="47" spans="1:11" ht="8.5" customHeight="1" x14ac:dyDescent="0.3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</row>
    <row r="48" spans="1:11" ht="8.5" customHeight="1" x14ac:dyDescent="0.3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</row>
    <row r="49" spans="1:15" ht="8.5" customHeight="1" x14ac:dyDescent="0.3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</row>
    <row r="50" spans="1:15" ht="8.5" customHeight="1" x14ac:dyDescent="0.3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</row>
    <row r="51" spans="1:15" ht="26" customHeight="1" x14ac:dyDescent="0.3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</row>
    <row r="52" spans="1:15" ht="26" customHeight="1" x14ac:dyDescent="0.3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</row>
    <row r="53" spans="1:15" ht="11" customHeight="1" x14ac:dyDescent="0.3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</row>
    <row r="54" spans="1:15" ht="8.5" customHeight="1" thickBot="1" x14ac:dyDescent="0.4">
      <c r="A54" s="43"/>
      <c r="B54" s="43"/>
      <c r="C54" s="43"/>
      <c r="D54" s="43"/>
      <c r="E54" s="43"/>
      <c r="F54" s="43"/>
      <c r="G54" s="43"/>
      <c r="H54" s="43"/>
      <c r="I54" s="43"/>
      <c r="J54" s="78"/>
      <c r="K54" s="43"/>
    </row>
    <row r="55" spans="1:15" ht="18.5" customHeight="1" thickBot="1" x14ac:dyDescent="0.4">
      <c r="A55" s="43"/>
      <c r="B55" s="43"/>
      <c r="C55" s="43"/>
      <c r="D55" s="43"/>
      <c r="E55" s="43"/>
      <c r="F55" s="43"/>
      <c r="G55" s="43"/>
      <c r="H55" s="79" t="s">
        <v>103</v>
      </c>
      <c r="I55" s="43"/>
      <c r="J55" s="95">
        <f>SUM(J22:J24,J30:J32,J38:J40)</f>
        <v>0</v>
      </c>
      <c r="K55" s="43"/>
    </row>
    <row r="56" spans="1:15" ht="7.5" hidden="1" customHeight="1" thickBot="1" x14ac:dyDescent="0.4">
      <c r="A56" s="43"/>
      <c r="B56" s="43"/>
      <c r="C56" s="43"/>
      <c r="D56" s="43"/>
      <c r="E56" s="43"/>
      <c r="F56" s="43"/>
      <c r="G56" s="43"/>
      <c r="H56" s="43"/>
      <c r="I56" s="43"/>
      <c r="J56" s="80"/>
      <c r="K56" s="43"/>
    </row>
    <row r="57" spans="1:15" ht="19" hidden="1" thickBot="1" x14ac:dyDescent="0.5">
      <c r="A57" s="43"/>
      <c r="B57" s="43"/>
      <c r="C57" s="43"/>
      <c r="D57" s="43"/>
      <c r="E57" s="43"/>
      <c r="F57" s="43"/>
      <c r="G57" s="43"/>
      <c r="H57" s="46"/>
      <c r="I57" s="43"/>
      <c r="J57" s="96" t="str">
        <f>IF(H57="TVA 20%",TotalFactureHT*0.2,IF(H57="TVA 14%",TotalFactureHT*0.14,IF(H57="TVA 10%",TotalFactureHT*0.1,IF(H57="TVA 07%",TotalFactureHT*0.07,IF(H57="Retenu à la Source",TotalFactureHT*0.2,"")))))</f>
        <v/>
      </c>
      <c r="K57" s="43"/>
    </row>
    <row r="58" spans="1:15" ht="6.5" hidden="1" customHeight="1" thickBot="1" x14ac:dyDescent="0.4">
      <c r="A58" s="43"/>
      <c r="B58" s="43"/>
      <c r="C58" s="43"/>
      <c r="D58" s="43"/>
      <c r="E58" s="43"/>
      <c r="F58" s="43"/>
      <c r="G58" s="43"/>
      <c r="H58" s="43"/>
      <c r="I58" s="43"/>
      <c r="J58" s="97"/>
      <c r="K58" s="43"/>
    </row>
    <row r="59" spans="1:15" ht="19" hidden="1" thickBot="1" x14ac:dyDescent="0.5">
      <c r="A59" s="43"/>
      <c r="B59" s="43"/>
      <c r="C59" s="43"/>
      <c r="D59" s="43"/>
      <c r="E59" s="43"/>
      <c r="F59" s="43"/>
      <c r="G59" s="43"/>
      <c r="H59" s="46" t="s">
        <v>89</v>
      </c>
      <c r="I59" s="43"/>
      <c r="J59" s="98">
        <f>SUM(J55,J57)</f>
        <v>0</v>
      </c>
      <c r="K59" s="43"/>
    </row>
    <row r="60" spans="1:15" x14ac:dyDescent="0.3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</row>
    <row r="61" spans="1:15" ht="11" customHeight="1" x14ac:dyDescent="0.3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</row>
    <row r="63" spans="1:15" ht="20" customHeight="1" x14ac:dyDescent="0.35">
      <c r="B63" s="81" t="s">
        <v>8</v>
      </c>
      <c r="C63" s="82" t="str">
        <f>PROPER(IF(AvecTVA= FALSE,(IF(Devise="DH",chiffrelettreMad(TotalFactureHT),chiffrelettreEuro(TotalFactureHT))),(IF(Devise="DH",chiffrelettreMad(TotalFactureTTC),chiffrelettreEuro(TotalFactureTTC)))))</f>
        <v/>
      </c>
      <c r="O63" s="83"/>
    </row>
    <row r="64" spans="1:15" ht="20" customHeight="1" x14ac:dyDescent="0.35">
      <c r="B64" s="84" t="s">
        <v>72</v>
      </c>
      <c r="C64" s="85" t="s">
        <v>77</v>
      </c>
      <c r="M64" s="86" t="s">
        <v>117</v>
      </c>
      <c r="N64" s="87" t="str">
        <f>IF(AvecTVA=TRUE,"Oui","Non")</f>
        <v>Non</v>
      </c>
      <c r="O64" s="88" t="b">
        <v>0</v>
      </c>
    </row>
    <row r="65" spans="2:15" ht="20" customHeight="1" x14ac:dyDescent="0.35">
      <c r="B65" s="84" t="s">
        <v>73</v>
      </c>
      <c r="C65" s="85" t="s">
        <v>78</v>
      </c>
      <c r="M65" s="86" t="s">
        <v>108</v>
      </c>
      <c r="N65" s="87" t="s">
        <v>106</v>
      </c>
      <c r="O65" s="83"/>
    </row>
    <row r="66" spans="2:15" ht="20" customHeight="1" x14ac:dyDescent="0.35">
      <c r="B66" s="84" t="s">
        <v>74</v>
      </c>
      <c r="C66" s="82" t="s">
        <v>79</v>
      </c>
    </row>
    <row r="67" spans="2:15" ht="20" customHeight="1" x14ac:dyDescent="0.35">
      <c r="B67" s="81" t="s">
        <v>75</v>
      </c>
      <c r="C67" s="85" t="s">
        <v>80</v>
      </c>
    </row>
    <row r="68" spans="2:15" ht="20" customHeight="1" x14ac:dyDescent="0.35">
      <c r="B68" s="81" t="s">
        <v>76</v>
      </c>
      <c r="C68" s="85" t="s">
        <v>81</v>
      </c>
    </row>
  </sheetData>
  <mergeCells count="8">
    <mergeCell ref="H14:J14"/>
    <mergeCell ref="H15:J15"/>
    <mergeCell ref="B4:D4"/>
    <mergeCell ref="B5:D5"/>
    <mergeCell ref="B6:D6"/>
    <mergeCell ref="B7:D7"/>
    <mergeCell ref="H13:J13"/>
    <mergeCell ref="H12:J12"/>
  </mergeCells>
  <conditionalFormatting sqref="H12 C17 B23 G23 C31 B39 D39:E39 G39 H57 D23:E23 G31">
    <cfRule type="cellIs" dxfId="10" priority="573" operator="equal">
      <formula>""</formula>
    </cfRule>
  </conditionalFormatting>
  <conditionalFormatting sqref="C12">
    <cfRule type="cellIs" dxfId="9" priority="313" operator="equal">
      <formula>""</formula>
    </cfRule>
  </conditionalFormatting>
  <pageMargins left="0.19685039370078741" right="0.19685039370078741" top="0.47244094488188981" bottom="0.19685039370078741" header="0.74803149606299213" footer="0.19685039370078741"/>
  <pageSetup paperSize="9" scale="72" fitToHeight="0" orientation="portrait" r:id="rId1"/>
  <headerFooter>
    <oddFooter>&amp;R&amp;P/&amp;N</oddFooter>
  </headerFooter>
  <drawing r:id="rId2"/>
  <legacyDrawing r:id="rId3"/>
  <controls>
    <mc:AlternateContent xmlns:mc="http://schemas.openxmlformats.org/markup-compatibility/2006">
      <mc:Choice Requires="x14">
        <control shapeId="1102" r:id="rId4" name="CheckBox3">
          <controlPr defaultSize="0" autoLine="0" altText="Evacuation des Déchets" r:id="rId5">
            <anchor moveWithCells="1">
              <from>
                <xdr:col>12</xdr:col>
                <xdr:colOff>88900</xdr:colOff>
                <xdr:row>8</xdr:row>
                <xdr:rowOff>69850</xdr:rowOff>
              </from>
              <to>
                <xdr:col>14</xdr:col>
                <xdr:colOff>755650</xdr:colOff>
                <xdr:row>9</xdr:row>
                <xdr:rowOff>139700</xdr:rowOff>
              </to>
            </anchor>
          </controlPr>
        </control>
      </mc:Choice>
      <mc:Fallback>
        <control shapeId="1102" r:id="rId4" name="CheckBox3"/>
      </mc:Fallback>
    </mc:AlternateContent>
    <mc:AlternateContent xmlns:mc="http://schemas.openxmlformats.org/markup-compatibility/2006">
      <mc:Choice Requires="x14">
        <control shapeId="1101" r:id="rId6" name="CheckBox2">
          <controlPr defaultSize="0" autoLine="0" autoPict="0" altText="Evacuation des Déchets" r:id="rId7">
            <anchor moveWithCells="1">
              <from>
                <xdr:col>12</xdr:col>
                <xdr:colOff>88900</xdr:colOff>
                <xdr:row>6</xdr:row>
                <xdr:rowOff>158750</xdr:rowOff>
              </from>
              <to>
                <xdr:col>14</xdr:col>
                <xdr:colOff>755650</xdr:colOff>
                <xdr:row>8</xdr:row>
                <xdr:rowOff>44450</xdr:rowOff>
              </to>
            </anchor>
          </controlPr>
        </control>
      </mc:Choice>
      <mc:Fallback>
        <control shapeId="1101" r:id="rId6" name="CheckBox2"/>
      </mc:Fallback>
    </mc:AlternateContent>
    <mc:AlternateContent xmlns:mc="http://schemas.openxmlformats.org/markup-compatibility/2006">
      <mc:Choice Requires="x14">
        <control shapeId="1098" r:id="rId8" name="CheckBox1">
          <controlPr defaultSize="0" autoLine="0" altText="Evacuation des Déchets" r:id="rId9">
            <anchor moveWithCells="1">
              <from>
                <xdr:col>12</xdr:col>
                <xdr:colOff>101600</xdr:colOff>
                <xdr:row>5</xdr:row>
                <xdr:rowOff>69850</xdr:rowOff>
              </from>
              <to>
                <xdr:col>14</xdr:col>
                <xdr:colOff>755650</xdr:colOff>
                <xdr:row>6</xdr:row>
                <xdr:rowOff>107950</xdr:rowOff>
              </to>
            </anchor>
          </controlPr>
        </control>
      </mc:Choice>
      <mc:Fallback>
        <control shapeId="1098" r:id="rId8" name="CheckBox1"/>
      </mc:Fallback>
    </mc:AlternateContent>
    <mc:AlternateContent xmlns:mc="http://schemas.openxmlformats.org/markup-compatibility/2006">
      <mc:Choice Requires="x14">
        <control shapeId="1036" r:id="rId10" name="Button 12">
          <controlPr defaultSize="0" print="0" autoFill="0" autoPict="0" macro="[0]!NouveauNfacture">
            <anchor moveWithCells="1">
              <from>
                <xdr:col>12</xdr:col>
                <xdr:colOff>95250</xdr:colOff>
                <xdr:row>2</xdr:row>
                <xdr:rowOff>95250</xdr:rowOff>
              </from>
              <to>
                <xdr:col>14</xdr:col>
                <xdr:colOff>749300</xdr:colOff>
                <xdr:row>2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1" name="Button 16">
          <controlPr defaultSize="0" print="0" autoFill="0" autoPict="0" macro="[0]!BoutonValider">
            <anchor moveWithCells="1" sizeWithCells="1">
              <from>
                <xdr:col>12</xdr:col>
                <xdr:colOff>95250</xdr:colOff>
                <xdr:row>67</xdr:row>
                <xdr:rowOff>50800</xdr:rowOff>
              </from>
              <to>
                <xdr:col>14</xdr:col>
                <xdr:colOff>749300</xdr:colOff>
                <xdr:row>68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2" name="Button 28">
          <controlPr defaultSize="0" print="0" autoFill="0" autoPict="0" macro="[0]!AJOUTLIGNEA">
            <anchor moveWithCells="1" sizeWithCells="1">
              <from>
                <xdr:col>12</xdr:col>
                <xdr:colOff>95250</xdr:colOff>
                <xdr:row>19</xdr:row>
                <xdr:rowOff>158750</xdr:rowOff>
              </from>
              <to>
                <xdr:col>12</xdr:col>
                <xdr:colOff>361950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3" name="Button 30">
          <controlPr defaultSize="0" print="0" autoFill="0" autoPict="0" macro="[0]!SUPPRELIGNEA">
            <anchor moveWithCells="1" sizeWithCells="1">
              <from>
                <xdr:col>12</xdr:col>
                <xdr:colOff>412750</xdr:colOff>
                <xdr:row>19</xdr:row>
                <xdr:rowOff>158750</xdr:rowOff>
              </from>
              <to>
                <xdr:col>12</xdr:col>
                <xdr:colOff>679450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4" name="Button 36">
          <controlPr defaultSize="0" print="0" autoFill="0" autoPict="0" macro="[0]!MISEAZEROA">
            <anchor moveWithCells="1" sizeWithCells="1">
              <from>
                <xdr:col>12</xdr:col>
                <xdr:colOff>717550</xdr:colOff>
                <xdr:row>19</xdr:row>
                <xdr:rowOff>158750</xdr:rowOff>
              </from>
              <to>
                <xdr:col>14</xdr:col>
                <xdr:colOff>749300</xdr:colOff>
                <xdr:row>19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15" name="Button 37">
          <controlPr defaultSize="0" print="0" autoFill="0" autoPict="0" macro="[0]!MISEAZEROB">
            <anchor moveWithCells="1" sizeWithCells="1">
              <from>
                <xdr:col>12</xdr:col>
                <xdr:colOff>711200</xdr:colOff>
                <xdr:row>26</xdr:row>
                <xdr:rowOff>44450</xdr:rowOff>
              </from>
              <to>
                <xdr:col>14</xdr:col>
                <xdr:colOff>736600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6" name="Button 38">
          <controlPr defaultSize="0" print="0" autoFill="0" autoPict="0" macro="[0]!AJOUTLIGNEB">
            <anchor moveWithCells="1" sizeWithCells="1">
              <from>
                <xdr:col>12</xdr:col>
                <xdr:colOff>95250</xdr:colOff>
                <xdr:row>26</xdr:row>
                <xdr:rowOff>44450</xdr:rowOff>
              </from>
              <to>
                <xdr:col>12</xdr:col>
                <xdr:colOff>361950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17" name="Button 41">
          <controlPr defaultSize="0" print="0" autoFill="0" autoPict="0" macro="[0]!SUPPRELIGNEB">
            <anchor moveWithCells="1" sizeWithCells="1">
              <from>
                <xdr:col>12</xdr:col>
                <xdr:colOff>400050</xdr:colOff>
                <xdr:row>26</xdr:row>
                <xdr:rowOff>44450</xdr:rowOff>
              </from>
              <to>
                <xdr:col>12</xdr:col>
                <xdr:colOff>666750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8" name="Check Box 45">
          <controlPr defaultSize="0" autoFill="0" autoLine="0" autoPict="0" macro="[0]!AFICHAGETVA">
            <anchor moveWithCells="1">
              <from>
                <xdr:col>12</xdr:col>
                <xdr:colOff>50800</xdr:colOff>
                <xdr:row>63</xdr:row>
                <xdr:rowOff>44450</xdr:rowOff>
              </from>
              <to>
                <xdr:col>12</xdr:col>
                <xdr:colOff>209550</xdr:colOff>
                <xdr:row>63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19" name="Button 48">
          <controlPr defaultSize="0" print="0" autoFill="0" autoPict="0" macro="[0]!MISEAZEROC">
            <anchor moveWithCells="1" sizeWithCells="1">
              <from>
                <xdr:col>12</xdr:col>
                <xdr:colOff>723900</xdr:colOff>
                <xdr:row>34</xdr:row>
                <xdr:rowOff>114300</xdr:rowOff>
              </from>
              <to>
                <xdr:col>14</xdr:col>
                <xdr:colOff>749300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Button 49">
          <controlPr defaultSize="0" print="0" autoFill="0" autoPict="0" macro="[0]!AJOUTLIGNEC">
            <anchor moveWithCells="1" sizeWithCells="1">
              <from>
                <xdr:col>12</xdr:col>
                <xdr:colOff>95250</xdr:colOff>
                <xdr:row>34</xdr:row>
                <xdr:rowOff>114300</xdr:rowOff>
              </from>
              <to>
                <xdr:col>12</xdr:col>
                <xdr:colOff>361950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Button 50">
          <controlPr defaultSize="0" print="0" autoFill="0" autoPict="0" macro="[0]!SUPPRELIGNEC">
            <anchor moveWithCells="1" sizeWithCells="1">
              <from>
                <xdr:col>12</xdr:col>
                <xdr:colOff>412750</xdr:colOff>
                <xdr:row>34</xdr:row>
                <xdr:rowOff>114300</xdr:rowOff>
              </from>
              <to>
                <xdr:col>12</xdr:col>
                <xdr:colOff>679450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22" name="Button 91">
          <controlPr defaultSize="0" print="0" autoFill="0" autoPict="0" macro="[0]!AperçuFacture">
            <anchor moveWithCells="1" sizeWithCells="1">
              <from>
                <xdr:col>12</xdr:col>
                <xdr:colOff>95250</xdr:colOff>
                <xdr:row>65</xdr:row>
                <xdr:rowOff>234950</xdr:rowOff>
              </from>
              <to>
                <xdr:col>14</xdr:col>
                <xdr:colOff>742950</xdr:colOff>
                <xdr:row>66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23" name="Button 108">
          <controlPr defaultSize="0" print="0" autoFill="0" autoPict="0" macro="[0]!NouveauNAvoir">
            <anchor moveWithCells="1">
              <from>
                <xdr:col>12</xdr:col>
                <xdr:colOff>101600</xdr:colOff>
                <xdr:row>2</xdr:row>
                <xdr:rowOff>419100</xdr:rowOff>
              </from>
              <to>
                <xdr:col>14</xdr:col>
                <xdr:colOff>755650</xdr:colOff>
                <xdr:row>4</xdr:row>
                <xdr:rowOff>12700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Listes!$B$2:$B$7</xm:f>
          </x14:formula1>
          <xm:sqref>H57</xm:sqref>
        </x14:dataValidation>
        <x14:dataValidation type="list" allowBlank="1" showInputMessage="1" showErrorMessage="1">
          <x14:formula1>
            <xm:f>'Bordereaux des Prix'!$A$39:$A$46</xm:f>
          </x14:formula1>
          <xm:sqref>B39</xm:sqref>
        </x14:dataValidation>
        <x14:dataValidation type="list" allowBlank="1" showInputMessage="1" showErrorMessage="1">
          <x14:formula1>
            <xm:f>'Bordereaux des Prix'!$B$25:$B$30</xm:f>
          </x14:formula1>
          <xm:sqref>C31</xm:sqref>
        </x14:dataValidation>
        <x14:dataValidation type="list" allowBlank="1" showInputMessage="1" showErrorMessage="1">
          <x14:formula1>
            <xm:f>'Bordereaux des Prix'!$A$4:$A$14</xm:f>
          </x14:formula1>
          <xm:sqref>B23</xm:sqref>
        </x14:dataValidation>
        <x14:dataValidation type="list" allowBlank="1" showInputMessage="1" showErrorMessage="1">
          <x14:formula1>
            <xm:f>Listes!$C$2:$C$3</xm:f>
          </x14:formula1>
          <xm:sqref>N65</xm:sqref>
        </x14:dataValidation>
        <x14:dataValidation type="list" allowBlank="1" showInputMessage="1" showErrorMessage="1">
          <x14:formula1>
            <xm:f>Listes!$D$2:$D$8</xm:f>
          </x14:formula1>
          <xm:sqref>C64</xm:sqref>
        </x14:dataValidation>
        <x14:dataValidation type="list" showInputMessage="1" showErrorMessage="1">
          <x14:formula1>
            <xm:f>Clients!$B$2:$B$50</xm:f>
          </x14:formula1>
          <xm:sqref>H12:J12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70C0"/>
  </sheetPr>
  <dimension ref="A3:L1527"/>
  <sheetViews>
    <sheetView showGridLines="0" zoomScale="98" zoomScaleNormal="98" workbookViewId="0">
      <pane ySplit="7" topLeftCell="A8" activePane="bottomLeft" state="frozen"/>
      <selection activeCell="B28" sqref="B28"/>
      <selection pane="bottomLeft" activeCell="F3" sqref="F3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.81640625" customWidth="1"/>
  </cols>
  <sheetData>
    <row r="3" spans="1:12" ht="18.5" x14ac:dyDescent="0.35">
      <c r="A3" s="40"/>
      <c r="J3" t="s">
        <v>2155</v>
      </c>
    </row>
    <row r="4" spans="1:12" ht="15" thickBot="1" x14ac:dyDescent="0.4">
      <c r="J4" t="s">
        <v>7</v>
      </c>
      <c r="K4" t="s">
        <v>2</v>
      </c>
    </row>
    <row r="5" spans="1:12" s="1" customFormat="1" ht="15" thickBot="1" x14ac:dyDescent="0.4">
      <c r="J5" s="112"/>
      <c r="K5" s="130"/>
      <c r="L5"/>
    </row>
    <row r="6" spans="1:12" x14ac:dyDescent="0.35">
      <c r="J6" s="114"/>
      <c r="K6" s="114"/>
    </row>
    <row r="7" spans="1:12" x14ac:dyDescent="0.35">
      <c r="J7" s="114"/>
      <c r="K7" s="114"/>
    </row>
    <row r="8" spans="1:12" ht="18.5" customHeight="1" x14ac:dyDescent="0.35">
      <c r="A8" s="116" t="s">
        <v>7</v>
      </c>
      <c r="B8" s="116" t="s">
        <v>98</v>
      </c>
      <c r="C8" s="116" t="s">
        <v>2</v>
      </c>
      <c r="D8" s="116" t="s">
        <v>118</v>
      </c>
      <c r="E8" s="116" t="s">
        <v>95</v>
      </c>
      <c r="F8" s="116" t="s">
        <v>88</v>
      </c>
      <c r="G8" s="116" t="s">
        <v>96</v>
      </c>
      <c r="H8" s="116" t="s">
        <v>104</v>
      </c>
    </row>
    <row r="9" spans="1:12" x14ac:dyDescent="0.35">
      <c r="B9" s="22"/>
      <c r="E9" s="113"/>
      <c r="F9" s="113"/>
      <c r="G9" s="113"/>
    </row>
    <row r="10" spans="1:12" x14ac:dyDescent="0.35">
      <c r="B10" s="22"/>
      <c r="E10" s="113"/>
      <c r="F10" s="113"/>
      <c r="G10" s="113"/>
    </row>
    <row r="11" spans="1:12" x14ac:dyDescent="0.35">
      <c r="B11" s="22"/>
      <c r="E11" s="113"/>
      <c r="F11" s="113"/>
      <c r="G11" s="113"/>
    </row>
    <row r="12" spans="1:12" x14ac:dyDescent="0.35">
      <c r="B12" s="22"/>
      <c r="E12" s="113"/>
      <c r="F12" s="113"/>
      <c r="G12" s="113"/>
    </row>
    <row r="13" spans="1:12" x14ac:dyDescent="0.35">
      <c r="B13" s="22"/>
      <c r="E13" s="113"/>
      <c r="F13" s="113"/>
      <c r="G13" s="113"/>
    </row>
    <row r="14" spans="1:12" x14ac:dyDescent="0.35">
      <c r="B14" s="22"/>
      <c r="E14" s="113"/>
      <c r="F14" s="113"/>
      <c r="G14" s="113"/>
    </row>
    <row r="15" spans="1:12" x14ac:dyDescent="0.35">
      <c r="B15" s="22"/>
      <c r="E15" s="113"/>
      <c r="F15" s="113"/>
      <c r="G15" s="113"/>
    </row>
    <row r="16" spans="1:12" x14ac:dyDescent="0.35">
      <c r="B16" s="22"/>
      <c r="E16" s="113"/>
      <c r="F16" s="113"/>
      <c r="G16" s="113"/>
    </row>
    <row r="17" spans="2:7" x14ac:dyDescent="0.35">
      <c r="B17" s="22"/>
      <c r="E17" s="113"/>
      <c r="F17" s="113"/>
      <c r="G17" s="113"/>
    </row>
    <row r="18" spans="2:7" x14ac:dyDescent="0.35">
      <c r="B18" s="22"/>
      <c r="E18" s="113"/>
      <c r="F18" s="113"/>
      <c r="G18" s="113"/>
    </row>
    <row r="19" spans="2:7" x14ac:dyDescent="0.35">
      <c r="B19" s="22"/>
      <c r="E19" s="113"/>
      <c r="F19" s="113"/>
      <c r="G19" s="113"/>
    </row>
    <row r="20" spans="2:7" x14ac:dyDescent="0.35">
      <c r="B20" s="22"/>
      <c r="E20" s="113"/>
      <c r="F20" s="113"/>
      <c r="G20" s="113"/>
    </row>
    <row r="21" spans="2:7" x14ac:dyDescent="0.35">
      <c r="B21" s="22"/>
      <c r="E21" s="113"/>
      <c r="F21" s="113"/>
      <c r="G21" s="113"/>
    </row>
    <row r="22" spans="2:7" x14ac:dyDescent="0.35">
      <c r="B22" s="22"/>
      <c r="E22" s="113"/>
      <c r="F22" s="113"/>
      <c r="G22" s="113"/>
    </row>
    <row r="23" spans="2:7" x14ac:dyDescent="0.35">
      <c r="B23" s="22"/>
      <c r="E23" s="113"/>
      <c r="F23" s="113"/>
      <c r="G23" s="113"/>
    </row>
    <row r="24" spans="2:7" x14ac:dyDescent="0.35">
      <c r="B24" s="22"/>
      <c r="E24" s="113"/>
      <c r="F24" s="113"/>
      <c r="G24" s="113"/>
    </row>
    <row r="25" spans="2:7" x14ac:dyDescent="0.35">
      <c r="B25" s="22"/>
      <c r="E25" s="113"/>
      <c r="F25" s="113"/>
      <c r="G25" s="113"/>
    </row>
    <row r="26" spans="2:7" x14ac:dyDescent="0.35">
      <c r="B26" s="22"/>
      <c r="E26" s="113"/>
      <c r="F26" s="113"/>
      <c r="G26" s="113"/>
    </row>
    <row r="27" spans="2:7" x14ac:dyDescent="0.35">
      <c r="B27" s="22"/>
      <c r="E27" s="113"/>
      <c r="F27" s="113"/>
      <c r="G27" s="113"/>
    </row>
    <row r="28" spans="2:7" x14ac:dyDescent="0.35">
      <c r="B28" s="22"/>
      <c r="E28" s="113"/>
      <c r="F28" s="113"/>
      <c r="G28" s="113"/>
    </row>
    <row r="29" spans="2:7" x14ac:dyDescent="0.35">
      <c r="B29" s="22"/>
      <c r="E29" s="113"/>
      <c r="F29" s="113"/>
      <c r="G29" s="113"/>
    </row>
    <row r="30" spans="2:7" x14ac:dyDescent="0.35">
      <c r="B30" s="22"/>
      <c r="E30" s="113"/>
      <c r="F30" s="113"/>
      <c r="G30" s="113"/>
    </row>
    <row r="31" spans="2:7" x14ac:dyDescent="0.35">
      <c r="B31" s="22"/>
      <c r="E31" s="113"/>
      <c r="F31" s="113"/>
      <c r="G31" s="113"/>
    </row>
    <row r="32" spans="2:7" x14ac:dyDescent="0.35">
      <c r="B32" s="22"/>
      <c r="E32" s="113"/>
      <c r="F32" s="113"/>
      <c r="G32" s="113"/>
    </row>
    <row r="33" spans="2:7" x14ac:dyDescent="0.35">
      <c r="B33" s="22"/>
      <c r="E33" s="113"/>
      <c r="F33" s="113"/>
      <c r="G33" s="113"/>
    </row>
    <row r="34" spans="2:7" x14ac:dyDescent="0.35">
      <c r="B34" s="22"/>
      <c r="E34" s="113"/>
      <c r="F34" s="113"/>
      <c r="G34" s="113"/>
    </row>
    <row r="35" spans="2:7" x14ac:dyDescent="0.35">
      <c r="B35" s="22"/>
      <c r="E35" s="113"/>
      <c r="F35" s="113"/>
      <c r="G35" s="113"/>
    </row>
    <row r="36" spans="2:7" x14ac:dyDescent="0.35">
      <c r="B36" s="22"/>
      <c r="E36" s="113"/>
      <c r="F36" s="113"/>
      <c r="G36" s="113"/>
    </row>
    <row r="37" spans="2:7" x14ac:dyDescent="0.35">
      <c r="B37" s="22"/>
      <c r="E37" s="113"/>
      <c r="F37" s="113"/>
      <c r="G37" s="113"/>
    </row>
    <row r="38" spans="2:7" x14ac:dyDescent="0.35">
      <c r="B38" s="22"/>
      <c r="E38" s="113"/>
      <c r="F38" s="113"/>
      <c r="G38" s="113"/>
    </row>
    <row r="39" spans="2:7" x14ac:dyDescent="0.35">
      <c r="B39" s="22"/>
      <c r="E39" s="113"/>
      <c r="F39" s="113"/>
      <c r="G39" s="113"/>
    </row>
    <row r="40" spans="2:7" x14ac:dyDescent="0.35">
      <c r="B40" s="22"/>
      <c r="E40" s="113"/>
      <c r="F40" s="113"/>
      <c r="G40" s="113"/>
    </row>
    <row r="41" spans="2:7" x14ac:dyDescent="0.35">
      <c r="B41" s="22"/>
      <c r="E41" s="113"/>
      <c r="F41" s="113"/>
      <c r="G41" s="113"/>
    </row>
    <row r="42" spans="2:7" x14ac:dyDescent="0.35">
      <c r="B42" s="22"/>
      <c r="E42" s="113"/>
      <c r="F42" s="113"/>
      <c r="G42" s="113"/>
    </row>
    <row r="43" spans="2:7" x14ac:dyDescent="0.35">
      <c r="B43" s="22"/>
      <c r="E43" s="113"/>
      <c r="F43" s="113"/>
      <c r="G43" s="113"/>
    </row>
    <row r="44" spans="2:7" x14ac:dyDescent="0.35">
      <c r="B44" s="22"/>
      <c r="E44" s="113"/>
      <c r="F44" s="113"/>
      <c r="G44" s="113"/>
    </row>
    <row r="45" spans="2:7" x14ac:dyDescent="0.35">
      <c r="B45" s="22"/>
      <c r="E45" s="113"/>
      <c r="F45" s="113"/>
      <c r="G45" s="113"/>
    </row>
    <row r="46" spans="2:7" x14ac:dyDescent="0.35">
      <c r="B46" s="22"/>
      <c r="E46" s="113"/>
      <c r="F46" s="113"/>
      <c r="G46" s="113"/>
    </row>
    <row r="47" spans="2:7" x14ac:dyDescent="0.35">
      <c r="B47" s="22"/>
      <c r="E47" s="113"/>
      <c r="F47" s="113"/>
      <c r="G47" s="113"/>
    </row>
    <row r="48" spans="2:7" x14ac:dyDescent="0.35">
      <c r="B48" s="22"/>
      <c r="E48" s="113"/>
      <c r="F48" s="113"/>
      <c r="G48" s="113"/>
    </row>
    <row r="49" spans="2:7" x14ac:dyDescent="0.35">
      <c r="B49" s="22"/>
      <c r="E49" s="113"/>
      <c r="F49" s="113"/>
      <c r="G49" s="113"/>
    </row>
    <row r="50" spans="2:7" x14ac:dyDescent="0.35">
      <c r="B50" s="22"/>
      <c r="E50" s="113"/>
      <c r="F50" s="113"/>
      <c r="G50" s="113"/>
    </row>
    <row r="51" spans="2:7" x14ac:dyDescent="0.35">
      <c r="B51" s="22"/>
      <c r="E51" s="113"/>
      <c r="F51" s="113"/>
      <c r="G51" s="113"/>
    </row>
    <row r="52" spans="2:7" x14ac:dyDescent="0.35">
      <c r="B52" s="22"/>
      <c r="E52" s="113"/>
      <c r="F52" s="113"/>
      <c r="G52" s="113"/>
    </row>
    <row r="53" spans="2:7" x14ac:dyDescent="0.35">
      <c r="B53" s="22"/>
      <c r="E53" s="113"/>
      <c r="F53" s="113"/>
      <c r="G53" s="113"/>
    </row>
    <row r="54" spans="2:7" x14ac:dyDescent="0.35">
      <c r="B54" s="22"/>
      <c r="E54" s="113"/>
      <c r="F54" s="113"/>
      <c r="G54" s="113"/>
    </row>
    <row r="55" spans="2:7" x14ac:dyDescent="0.35">
      <c r="B55" s="22"/>
      <c r="E55" s="113"/>
      <c r="F55" s="113"/>
      <c r="G55" s="113"/>
    </row>
    <row r="56" spans="2:7" x14ac:dyDescent="0.35">
      <c r="B56" s="22"/>
      <c r="E56" s="113"/>
      <c r="F56" s="113"/>
      <c r="G56" s="113"/>
    </row>
    <row r="57" spans="2:7" x14ac:dyDescent="0.35">
      <c r="B57" s="22"/>
      <c r="E57" s="113"/>
      <c r="F57" s="113"/>
      <c r="G57" s="113"/>
    </row>
    <row r="58" spans="2:7" x14ac:dyDescent="0.35">
      <c r="B58" s="22"/>
      <c r="E58" s="113"/>
      <c r="F58" s="113"/>
      <c r="G58" s="113"/>
    </row>
    <row r="59" spans="2:7" x14ac:dyDescent="0.35">
      <c r="B59" s="22"/>
      <c r="E59" s="113"/>
      <c r="F59" s="113"/>
      <c r="G59" s="113"/>
    </row>
    <row r="60" spans="2:7" x14ac:dyDescent="0.35">
      <c r="B60" s="22"/>
      <c r="E60" s="113"/>
      <c r="F60" s="113"/>
      <c r="G60" s="113"/>
    </row>
    <row r="61" spans="2:7" x14ac:dyDescent="0.35">
      <c r="B61" s="22"/>
      <c r="E61" s="113"/>
      <c r="F61" s="113"/>
      <c r="G61" s="113"/>
    </row>
    <row r="62" spans="2:7" x14ac:dyDescent="0.35">
      <c r="B62" s="22"/>
      <c r="E62" s="113"/>
      <c r="F62" s="113"/>
      <c r="G62" s="113"/>
    </row>
    <row r="63" spans="2:7" x14ac:dyDescent="0.35">
      <c r="B63" s="22"/>
      <c r="E63" s="113"/>
      <c r="F63" s="113"/>
      <c r="G63" s="113"/>
    </row>
    <row r="64" spans="2:7" x14ac:dyDescent="0.35">
      <c r="B64" s="22"/>
      <c r="E64" s="113"/>
      <c r="F64" s="113"/>
      <c r="G64" s="113"/>
    </row>
    <row r="65" spans="2:7" x14ac:dyDescent="0.35">
      <c r="B65" s="22"/>
      <c r="E65" s="113"/>
      <c r="F65" s="113"/>
      <c r="G65" s="113"/>
    </row>
    <row r="66" spans="2:7" x14ac:dyDescent="0.35">
      <c r="B66" s="22"/>
      <c r="E66" s="113"/>
      <c r="F66" s="113"/>
      <c r="G66" s="113"/>
    </row>
    <row r="67" spans="2:7" x14ac:dyDescent="0.35">
      <c r="B67" s="22"/>
      <c r="E67" s="113"/>
      <c r="F67" s="113"/>
      <c r="G67" s="113"/>
    </row>
    <row r="68" spans="2:7" x14ac:dyDescent="0.35">
      <c r="B68" s="22"/>
      <c r="E68" s="113"/>
      <c r="F68" s="113"/>
      <c r="G68" s="113"/>
    </row>
    <row r="69" spans="2:7" x14ac:dyDescent="0.35">
      <c r="B69" s="22"/>
      <c r="E69" s="113"/>
      <c r="F69" s="113"/>
      <c r="G69" s="113"/>
    </row>
    <row r="70" spans="2:7" x14ac:dyDescent="0.35">
      <c r="B70" s="22"/>
      <c r="E70" s="113"/>
      <c r="F70" s="113"/>
      <c r="G70" s="113"/>
    </row>
    <row r="71" spans="2:7" x14ac:dyDescent="0.35">
      <c r="B71" s="22"/>
      <c r="E71" s="113"/>
      <c r="F71" s="113"/>
      <c r="G71" s="113"/>
    </row>
    <row r="72" spans="2:7" x14ac:dyDescent="0.35">
      <c r="B72" s="22"/>
      <c r="E72" s="113"/>
      <c r="F72" s="113"/>
      <c r="G72" s="113"/>
    </row>
    <row r="73" spans="2:7" x14ac:dyDescent="0.35">
      <c r="B73" s="22"/>
      <c r="E73" s="113"/>
      <c r="F73" s="113"/>
      <c r="G73" s="113"/>
    </row>
    <row r="74" spans="2:7" x14ac:dyDescent="0.35">
      <c r="B74" s="22"/>
      <c r="E74" s="113"/>
      <c r="F74" s="113"/>
      <c r="G74" s="113"/>
    </row>
    <row r="75" spans="2:7" x14ac:dyDescent="0.35">
      <c r="B75" s="22"/>
      <c r="E75" s="113"/>
      <c r="F75" s="113"/>
      <c r="G75" s="113"/>
    </row>
    <row r="76" spans="2:7" x14ac:dyDescent="0.35">
      <c r="B76" s="22"/>
      <c r="E76" s="113"/>
      <c r="F76" s="113"/>
      <c r="G76" s="113"/>
    </row>
    <row r="77" spans="2:7" x14ac:dyDescent="0.35">
      <c r="B77" s="22"/>
      <c r="E77" s="113"/>
      <c r="F77" s="113"/>
      <c r="G77" s="113"/>
    </row>
    <row r="78" spans="2:7" x14ac:dyDescent="0.35">
      <c r="B78" s="22"/>
      <c r="E78" s="113"/>
      <c r="F78" s="113"/>
      <c r="G78" s="113"/>
    </row>
    <row r="79" spans="2:7" x14ac:dyDescent="0.35">
      <c r="B79" s="22"/>
      <c r="E79" s="113"/>
      <c r="F79" s="113"/>
      <c r="G79" s="113"/>
    </row>
    <row r="80" spans="2:7" x14ac:dyDescent="0.35">
      <c r="B80" s="22"/>
      <c r="E80" s="113"/>
      <c r="F80" s="113"/>
      <c r="G80" s="113"/>
    </row>
    <row r="81" spans="2:7" x14ac:dyDescent="0.35">
      <c r="B81" s="22"/>
      <c r="E81" s="113"/>
      <c r="F81" s="113"/>
      <c r="G81" s="113"/>
    </row>
    <row r="82" spans="2:7" x14ac:dyDescent="0.35">
      <c r="B82" s="22"/>
      <c r="E82" s="113"/>
      <c r="F82" s="113"/>
      <c r="G82" s="113"/>
    </row>
    <row r="83" spans="2:7" x14ac:dyDescent="0.35">
      <c r="B83" s="22"/>
      <c r="E83" s="113"/>
      <c r="F83" s="113"/>
      <c r="G83" s="113"/>
    </row>
    <row r="84" spans="2:7" x14ac:dyDescent="0.35">
      <c r="B84" s="22"/>
      <c r="E84" s="113"/>
      <c r="F84" s="113"/>
      <c r="G84" s="113"/>
    </row>
    <row r="85" spans="2:7" x14ac:dyDescent="0.35">
      <c r="B85" s="22"/>
      <c r="E85" s="113"/>
      <c r="F85" s="113"/>
      <c r="G85" s="113"/>
    </row>
    <row r="86" spans="2:7" x14ac:dyDescent="0.35">
      <c r="B86" s="22"/>
      <c r="E86" s="113"/>
      <c r="F86" s="113"/>
      <c r="G86" s="113"/>
    </row>
    <row r="87" spans="2:7" x14ac:dyDescent="0.35">
      <c r="B87" s="22"/>
      <c r="E87" s="113"/>
      <c r="F87" s="113"/>
      <c r="G87" s="113"/>
    </row>
    <row r="88" spans="2:7" x14ac:dyDescent="0.35">
      <c r="B88" s="22"/>
      <c r="E88" s="113"/>
      <c r="F88" s="113"/>
      <c r="G88" s="113"/>
    </row>
    <row r="89" spans="2:7" x14ac:dyDescent="0.35">
      <c r="B89" s="22"/>
      <c r="E89" s="113"/>
      <c r="F89" s="113"/>
      <c r="G89" s="113"/>
    </row>
    <row r="90" spans="2:7" x14ac:dyDescent="0.35">
      <c r="B90" s="22"/>
      <c r="E90" s="113"/>
      <c r="F90" s="113"/>
      <c r="G90" s="113"/>
    </row>
    <row r="91" spans="2:7" x14ac:dyDescent="0.35">
      <c r="B91" s="22"/>
      <c r="E91" s="113"/>
      <c r="F91" s="113"/>
      <c r="G91" s="113"/>
    </row>
    <row r="92" spans="2:7" x14ac:dyDescent="0.35">
      <c r="B92" s="22"/>
      <c r="E92" s="113"/>
      <c r="F92" s="113"/>
      <c r="G92" s="113"/>
    </row>
    <row r="93" spans="2:7" x14ac:dyDescent="0.35">
      <c r="B93" s="22"/>
      <c r="E93" s="113"/>
      <c r="F93" s="113"/>
      <c r="G93" s="113"/>
    </row>
    <row r="94" spans="2:7" x14ac:dyDescent="0.35">
      <c r="B94" s="22"/>
      <c r="E94" s="113"/>
      <c r="F94" s="113"/>
      <c r="G94" s="113"/>
    </row>
    <row r="95" spans="2:7" x14ac:dyDescent="0.35">
      <c r="B95" s="22"/>
      <c r="E95" s="113"/>
      <c r="F95" s="113"/>
      <c r="G95" s="113"/>
    </row>
    <row r="96" spans="2:7" x14ac:dyDescent="0.35">
      <c r="B96" s="22"/>
      <c r="E96" s="113"/>
      <c r="F96" s="113"/>
      <c r="G96" s="113"/>
    </row>
    <row r="97" spans="2:7" x14ac:dyDescent="0.35">
      <c r="B97" s="22"/>
      <c r="E97" s="113"/>
      <c r="F97" s="113"/>
      <c r="G97" s="113"/>
    </row>
    <row r="98" spans="2:7" x14ac:dyDescent="0.35">
      <c r="B98" s="22"/>
      <c r="E98" s="113"/>
      <c r="F98" s="113"/>
      <c r="G98" s="113"/>
    </row>
    <row r="99" spans="2:7" x14ac:dyDescent="0.35">
      <c r="B99" s="22"/>
      <c r="E99" s="113"/>
      <c r="F99" s="113"/>
      <c r="G99" s="113"/>
    </row>
    <row r="100" spans="2:7" x14ac:dyDescent="0.35">
      <c r="B100" s="22"/>
      <c r="E100" s="113"/>
      <c r="F100" s="113"/>
      <c r="G100" s="113"/>
    </row>
    <row r="101" spans="2:7" x14ac:dyDescent="0.35">
      <c r="B101" s="22"/>
      <c r="E101" s="113"/>
      <c r="F101" s="113"/>
      <c r="G101" s="113"/>
    </row>
    <row r="102" spans="2:7" x14ac:dyDescent="0.35">
      <c r="B102" s="22"/>
      <c r="E102" s="113"/>
      <c r="F102" s="113"/>
      <c r="G102" s="113"/>
    </row>
    <row r="103" spans="2:7" x14ac:dyDescent="0.35">
      <c r="B103" s="22"/>
      <c r="E103" s="113"/>
      <c r="F103" s="113"/>
      <c r="G103" s="113"/>
    </row>
    <row r="104" spans="2:7" x14ac:dyDescent="0.35">
      <c r="B104" s="22"/>
      <c r="E104" s="113"/>
      <c r="F104" s="113"/>
      <c r="G104" s="113"/>
    </row>
    <row r="105" spans="2:7" x14ac:dyDescent="0.35">
      <c r="B105" s="22"/>
      <c r="E105" s="113"/>
      <c r="F105" s="113"/>
      <c r="G105" s="113"/>
    </row>
    <row r="106" spans="2:7" x14ac:dyDescent="0.35">
      <c r="B106" s="22"/>
      <c r="E106" s="113"/>
      <c r="F106" s="113"/>
      <c r="G106" s="113"/>
    </row>
    <row r="107" spans="2:7" x14ac:dyDescent="0.35">
      <c r="B107" s="22"/>
      <c r="E107" s="113"/>
      <c r="F107" s="113"/>
      <c r="G107" s="113"/>
    </row>
    <row r="108" spans="2:7" x14ac:dyDescent="0.35">
      <c r="B108" s="22"/>
      <c r="E108" s="113"/>
      <c r="F108" s="113"/>
      <c r="G108" s="113"/>
    </row>
    <row r="109" spans="2:7" x14ac:dyDescent="0.35">
      <c r="B109" s="22"/>
      <c r="E109" s="113"/>
      <c r="F109" s="113"/>
      <c r="G109" s="113"/>
    </row>
    <row r="110" spans="2:7" x14ac:dyDescent="0.35">
      <c r="B110" s="22"/>
      <c r="E110" s="113"/>
      <c r="F110" s="113"/>
      <c r="G110" s="113"/>
    </row>
    <row r="111" spans="2:7" x14ac:dyDescent="0.35">
      <c r="B111" s="22"/>
      <c r="E111" s="113"/>
      <c r="F111" s="113"/>
      <c r="G111" s="113"/>
    </row>
    <row r="112" spans="2:7" x14ac:dyDescent="0.35">
      <c r="B112" s="22"/>
      <c r="E112" s="113"/>
      <c r="F112" s="113"/>
      <c r="G112" s="113"/>
    </row>
    <row r="113" spans="2:7" x14ac:dyDescent="0.35">
      <c r="B113" s="22"/>
      <c r="E113" s="113"/>
      <c r="F113" s="113"/>
      <c r="G113" s="113"/>
    </row>
    <row r="114" spans="2:7" x14ac:dyDescent="0.35">
      <c r="B114" s="22"/>
      <c r="E114" s="113"/>
      <c r="F114" s="113"/>
      <c r="G114" s="113"/>
    </row>
    <row r="115" spans="2:7" x14ac:dyDescent="0.35">
      <c r="B115" s="22"/>
      <c r="E115" s="113"/>
      <c r="F115" s="113"/>
      <c r="G115" s="113"/>
    </row>
    <row r="116" spans="2:7" x14ac:dyDescent="0.35">
      <c r="B116" s="22"/>
      <c r="E116" s="113"/>
      <c r="F116" s="113"/>
      <c r="G116" s="113"/>
    </row>
    <row r="117" spans="2:7" x14ac:dyDescent="0.35">
      <c r="B117" s="22"/>
      <c r="E117" s="113"/>
      <c r="F117" s="113"/>
      <c r="G117" s="113"/>
    </row>
    <row r="118" spans="2:7" x14ac:dyDescent="0.35">
      <c r="B118" s="22"/>
      <c r="E118" s="113"/>
      <c r="F118" s="113"/>
      <c r="G118" s="113"/>
    </row>
    <row r="119" spans="2:7" x14ac:dyDescent="0.35">
      <c r="B119" s="22"/>
      <c r="E119" s="113"/>
      <c r="F119" s="113"/>
      <c r="G119" s="113"/>
    </row>
    <row r="120" spans="2:7" x14ac:dyDescent="0.35">
      <c r="B120" s="22"/>
      <c r="E120" s="113"/>
      <c r="F120" s="113"/>
      <c r="G120" s="113"/>
    </row>
    <row r="121" spans="2:7" x14ac:dyDescent="0.35">
      <c r="B121" s="22"/>
      <c r="E121" s="113"/>
      <c r="F121" s="113"/>
      <c r="G121" s="113"/>
    </row>
    <row r="122" spans="2:7" x14ac:dyDescent="0.35">
      <c r="B122" s="22"/>
      <c r="E122" s="113"/>
      <c r="F122" s="113"/>
      <c r="G122" s="113"/>
    </row>
    <row r="123" spans="2:7" x14ac:dyDescent="0.35">
      <c r="B123" s="22"/>
      <c r="E123" s="113"/>
      <c r="F123" s="113"/>
      <c r="G123" s="113"/>
    </row>
    <row r="124" spans="2:7" x14ac:dyDescent="0.35">
      <c r="B124" s="22"/>
      <c r="E124" s="113"/>
      <c r="F124" s="113"/>
      <c r="G124" s="113"/>
    </row>
    <row r="125" spans="2:7" x14ac:dyDescent="0.35">
      <c r="B125" s="22"/>
      <c r="E125" s="113"/>
      <c r="F125" s="113"/>
      <c r="G125" s="113"/>
    </row>
    <row r="126" spans="2:7" x14ac:dyDescent="0.35">
      <c r="B126" s="22"/>
      <c r="E126" s="113"/>
      <c r="F126" s="113"/>
      <c r="G126" s="113"/>
    </row>
    <row r="127" spans="2:7" x14ac:dyDescent="0.35">
      <c r="B127" s="22"/>
      <c r="E127" s="113"/>
      <c r="F127" s="113"/>
      <c r="G127" s="113"/>
    </row>
    <row r="128" spans="2:7" x14ac:dyDescent="0.35">
      <c r="B128" s="22"/>
      <c r="E128" s="113"/>
      <c r="F128" s="113"/>
      <c r="G128" s="113"/>
    </row>
    <row r="129" spans="2:7" x14ac:dyDescent="0.35">
      <c r="B129" s="22"/>
      <c r="E129" s="113"/>
      <c r="F129" s="113"/>
      <c r="G129" s="113"/>
    </row>
    <row r="130" spans="2:7" x14ac:dyDescent="0.35">
      <c r="B130" s="22"/>
      <c r="E130" s="113"/>
      <c r="F130" s="113"/>
      <c r="G130" s="113"/>
    </row>
    <row r="131" spans="2:7" x14ac:dyDescent="0.35">
      <c r="B131" s="22"/>
      <c r="E131" s="113"/>
      <c r="F131" s="113"/>
      <c r="G131" s="113"/>
    </row>
    <row r="132" spans="2:7" x14ac:dyDescent="0.35">
      <c r="B132" s="22"/>
      <c r="E132" s="113"/>
      <c r="F132" s="113"/>
      <c r="G132" s="113"/>
    </row>
    <row r="133" spans="2:7" x14ac:dyDescent="0.35">
      <c r="B133" s="22"/>
      <c r="E133" s="113"/>
      <c r="F133" s="113"/>
      <c r="G133" s="113"/>
    </row>
    <row r="134" spans="2:7" x14ac:dyDescent="0.35">
      <c r="B134" s="22"/>
      <c r="E134" s="113"/>
      <c r="F134" s="113"/>
      <c r="G134" s="113"/>
    </row>
    <row r="135" spans="2:7" x14ac:dyDescent="0.35">
      <c r="B135" s="22"/>
      <c r="E135" s="113"/>
      <c r="F135" s="113"/>
      <c r="G135" s="113"/>
    </row>
    <row r="136" spans="2:7" x14ac:dyDescent="0.35">
      <c r="B136" s="22"/>
      <c r="E136" s="113"/>
      <c r="F136" s="113"/>
      <c r="G136" s="113"/>
    </row>
    <row r="137" spans="2:7" x14ac:dyDescent="0.35">
      <c r="B137" s="22"/>
      <c r="E137" s="113"/>
      <c r="F137" s="113"/>
      <c r="G137" s="113"/>
    </row>
    <row r="138" spans="2:7" x14ac:dyDescent="0.35">
      <c r="B138" s="22"/>
      <c r="E138" s="113"/>
      <c r="F138" s="113"/>
      <c r="G138" s="113"/>
    </row>
    <row r="139" spans="2:7" x14ac:dyDescent="0.35">
      <c r="B139" s="22"/>
      <c r="E139" s="113"/>
      <c r="F139" s="113"/>
      <c r="G139" s="113"/>
    </row>
    <row r="140" spans="2:7" x14ac:dyDescent="0.35">
      <c r="B140" s="22"/>
      <c r="E140" s="113"/>
      <c r="F140" s="113"/>
      <c r="G140" s="113"/>
    </row>
    <row r="141" spans="2:7" x14ac:dyDescent="0.35">
      <c r="B141" s="22"/>
      <c r="E141" s="113"/>
      <c r="F141" s="113"/>
      <c r="G141" s="113"/>
    </row>
    <row r="142" spans="2:7" x14ac:dyDescent="0.35">
      <c r="B142" s="22"/>
      <c r="E142" s="113"/>
      <c r="F142" s="113"/>
      <c r="G142" s="113"/>
    </row>
    <row r="143" spans="2:7" x14ac:dyDescent="0.35">
      <c r="B143" s="22"/>
      <c r="E143" s="113"/>
      <c r="F143" s="113"/>
      <c r="G143" s="113"/>
    </row>
    <row r="144" spans="2:7" x14ac:dyDescent="0.35">
      <c r="B144" s="22"/>
      <c r="E144" s="113"/>
      <c r="F144" s="113"/>
      <c r="G144" s="113"/>
    </row>
    <row r="145" spans="2:7" x14ac:dyDescent="0.35">
      <c r="B145" s="22"/>
      <c r="E145" s="113"/>
      <c r="F145" s="113"/>
      <c r="G145" s="113"/>
    </row>
    <row r="146" spans="2:7" x14ac:dyDescent="0.35">
      <c r="B146" s="22"/>
      <c r="E146" s="113"/>
      <c r="F146" s="113"/>
      <c r="G146" s="113"/>
    </row>
    <row r="147" spans="2:7" x14ac:dyDescent="0.35">
      <c r="B147" s="22"/>
      <c r="E147" s="113"/>
      <c r="F147" s="113"/>
      <c r="G147" s="113"/>
    </row>
    <row r="148" spans="2:7" x14ac:dyDescent="0.35">
      <c r="B148" s="22"/>
      <c r="E148" s="113"/>
      <c r="F148" s="113"/>
      <c r="G148" s="113"/>
    </row>
    <row r="149" spans="2:7" x14ac:dyDescent="0.35">
      <c r="B149" s="22"/>
      <c r="E149" s="113"/>
      <c r="F149" s="113"/>
      <c r="G149" s="113"/>
    </row>
    <row r="150" spans="2:7" x14ac:dyDescent="0.35">
      <c r="B150" s="22"/>
      <c r="E150" s="113"/>
      <c r="F150" s="113"/>
      <c r="G150" s="113"/>
    </row>
    <row r="151" spans="2:7" x14ac:dyDescent="0.35">
      <c r="B151" s="22"/>
      <c r="E151" s="113"/>
      <c r="F151" s="113"/>
      <c r="G151" s="113"/>
    </row>
    <row r="152" spans="2:7" x14ac:dyDescent="0.35">
      <c r="B152" s="22"/>
      <c r="E152" s="113"/>
      <c r="F152" s="113"/>
      <c r="G152" s="113"/>
    </row>
    <row r="153" spans="2:7" x14ac:dyDescent="0.35">
      <c r="B153" s="22"/>
      <c r="E153" s="113"/>
      <c r="F153" s="113"/>
      <c r="G153" s="113"/>
    </row>
    <row r="154" spans="2:7" x14ac:dyDescent="0.35">
      <c r="B154" s="22"/>
      <c r="E154" s="113"/>
      <c r="F154" s="113"/>
      <c r="G154" s="113"/>
    </row>
    <row r="155" spans="2:7" x14ac:dyDescent="0.35">
      <c r="B155" s="22"/>
      <c r="E155" s="113"/>
      <c r="F155" s="113"/>
      <c r="G155" s="113"/>
    </row>
    <row r="156" spans="2:7" x14ac:dyDescent="0.35">
      <c r="B156" s="22"/>
      <c r="E156" s="113"/>
      <c r="F156" s="113"/>
      <c r="G156" s="113"/>
    </row>
    <row r="157" spans="2:7" x14ac:dyDescent="0.35">
      <c r="B157" s="22"/>
      <c r="E157" s="113"/>
      <c r="F157" s="113"/>
      <c r="G157" s="113"/>
    </row>
    <row r="158" spans="2:7" x14ac:dyDescent="0.35">
      <c r="B158" s="22"/>
      <c r="E158" s="113"/>
      <c r="F158" s="113"/>
      <c r="G158" s="113"/>
    </row>
    <row r="159" spans="2:7" x14ac:dyDescent="0.35">
      <c r="B159" s="22"/>
      <c r="E159" s="113"/>
      <c r="F159" s="113"/>
      <c r="G159" s="113"/>
    </row>
    <row r="160" spans="2:7" x14ac:dyDescent="0.35">
      <c r="B160" s="22"/>
      <c r="E160" s="113"/>
      <c r="F160" s="113"/>
      <c r="G160" s="113"/>
    </row>
    <row r="161" spans="2:7" x14ac:dyDescent="0.35">
      <c r="B161" s="22"/>
      <c r="E161" s="113"/>
      <c r="F161" s="113"/>
      <c r="G161" s="113"/>
    </row>
    <row r="162" spans="2:7" x14ac:dyDescent="0.35">
      <c r="B162" s="22"/>
      <c r="E162" s="113"/>
      <c r="F162" s="113"/>
      <c r="G162" s="113"/>
    </row>
    <row r="163" spans="2:7" x14ac:dyDescent="0.35">
      <c r="B163" s="22"/>
      <c r="E163" s="113"/>
      <c r="F163" s="113"/>
      <c r="G163" s="113"/>
    </row>
    <row r="164" spans="2:7" x14ac:dyDescent="0.35">
      <c r="B164" s="22"/>
      <c r="E164" s="113"/>
      <c r="F164" s="113"/>
      <c r="G164" s="113"/>
    </row>
    <row r="165" spans="2:7" x14ac:dyDescent="0.35">
      <c r="B165" s="22"/>
      <c r="E165" s="113"/>
      <c r="F165" s="113"/>
      <c r="G165" s="113"/>
    </row>
    <row r="166" spans="2:7" x14ac:dyDescent="0.35">
      <c r="B166" s="22"/>
      <c r="E166" s="113"/>
      <c r="F166" s="113"/>
      <c r="G166" s="113"/>
    </row>
    <row r="167" spans="2:7" x14ac:dyDescent="0.35">
      <c r="B167" s="22"/>
      <c r="E167" s="113"/>
      <c r="F167" s="113"/>
      <c r="G167" s="113"/>
    </row>
    <row r="168" spans="2:7" x14ac:dyDescent="0.35">
      <c r="B168" s="22"/>
      <c r="E168" s="113"/>
      <c r="F168" s="113"/>
      <c r="G168" s="113"/>
    </row>
    <row r="169" spans="2:7" x14ac:dyDescent="0.35">
      <c r="B169" s="22"/>
      <c r="E169" s="113"/>
      <c r="F169" s="113"/>
      <c r="G169" s="113"/>
    </row>
    <row r="170" spans="2:7" x14ac:dyDescent="0.35">
      <c r="B170" s="22"/>
      <c r="E170" s="113"/>
      <c r="F170" s="113"/>
      <c r="G170" s="113"/>
    </row>
    <row r="171" spans="2:7" x14ac:dyDescent="0.35">
      <c r="B171" s="22"/>
      <c r="E171" s="113"/>
      <c r="F171" s="113"/>
      <c r="G171" s="113"/>
    </row>
    <row r="172" spans="2:7" x14ac:dyDescent="0.35">
      <c r="B172" s="22"/>
      <c r="E172" s="113"/>
      <c r="F172" s="113"/>
      <c r="G172" s="113"/>
    </row>
    <row r="173" spans="2:7" x14ac:dyDescent="0.35">
      <c r="B173" s="22"/>
      <c r="E173" s="113"/>
      <c r="F173" s="113"/>
      <c r="G173" s="113"/>
    </row>
    <row r="174" spans="2:7" x14ac:dyDescent="0.35">
      <c r="B174" s="22"/>
      <c r="E174" s="113"/>
      <c r="F174" s="113"/>
      <c r="G174" s="113"/>
    </row>
    <row r="175" spans="2:7" x14ac:dyDescent="0.35">
      <c r="B175" s="22"/>
      <c r="E175" s="113"/>
      <c r="F175" s="113"/>
      <c r="G175" s="113"/>
    </row>
    <row r="176" spans="2:7" x14ac:dyDescent="0.35">
      <c r="B176" s="22"/>
      <c r="E176" s="113"/>
      <c r="F176" s="113"/>
      <c r="G176" s="113"/>
    </row>
    <row r="177" spans="2:7" x14ac:dyDescent="0.35">
      <c r="B177" s="22"/>
      <c r="E177" s="113"/>
      <c r="F177" s="113"/>
      <c r="G177" s="113"/>
    </row>
    <row r="178" spans="2:7" x14ac:dyDescent="0.35">
      <c r="B178" s="22"/>
      <c r="E178" s="113"/>
      <c r="F178" s="113"/>
      <c r="G178" s="113"/>
    </row>
    <row r="179" spans="2:7" x14ac:dyDescent="0.35">
      <c r="B179" s="22"/>
      <c r="E179" s="113"/>
      <c r="F179" s="113"/>
      <c r="G179" s="113"/>
    </row>
    <row r="180" spans="2:7" x14ac:dyDescent="0.35">
      <c r="B180" s="22"/>
      <c r="E180" s="113"/>
      <c r="F180" s="113"/>
      <c r="G180" s="113"/>
    </row>
    <row r="181" spans="2:7" x14ac:dyDescent="0.35">
      <c r="B181" s="22"/>
      <c r="E181" s="113"/>
      <c r="F181" s="113"/>
      <c r="G181" s="113"/>
    </row>
    <row r="182" spans="2:7" x14ac:dyDescent="0.35">
      <c r="B182" s="22"/>
      <c r="E182" s="113"/>
      <c r="F182" s="113"/>
      <c r="G182" s="113"/>
    </row>
    <row r="183" spans="2:7" x14ac:dyDescent="0.35">
      <c r="B183" s="22"/>
      <c r="E183" s="113"/>
      <c r="F183" s="113"/>
      <c r="G183" s="113"/>
    </row>
    <row r="184" spans="2:7" x14ac:dyDescent="0.35">
      <c r="B184" s="22"/>
      <c r="E184" s="113"/>
      <c r="F184" s="113"/>
      <c r="G184" s="113"/>
    </row>
    <row r="185" spans="2:7" x14ac:dyDescent="0.35">
      <c r="B185" s="22"/>
      <c r="E185" s="113"/>
      <c r="F185" s="113"/>
      <c r="G185" s="113"/>
    </row>
    <row r="186" spans="2:7" x14ac:dyDescent="0.35">
      <c r="B186" s="22"/>
      <c r="E186" s="113"/>
      <c r="F186" s="113"/>
      <c r="G186" s="113"/>
    </row>
    <row r="187" spans="2:7" x14ac:dyDescent="0.35">
      <c r="B187" s="22"/>
      <c r="E187" s="113"/>
      <c r="F187" s="113"/>
      <c r="G187" s="113"/>
    </row>
    <row r="188" spans="2:7" x14ac:dyDescent="0.35">
      <c r="B188" s="22"/>
      <c r="E188" s="113"/>
      <c r="F188" s="113"/>
      <c r="G188" s="113"/>
    </row>
    <row r="189" spans="2:7" x14ac:dyDescent="0.35">
      <c r="B189" s="22"/>
      <c r="E189" s="113"/>
      <c r="F189" s="113"/>
      <c r="G189" s="113"/>
    </row>
    <row r="190" spans="2:7" x14ac:dyDescent="0.35">
      <c r="B190" s="22"/>
      <c r="E190" s="113"/>
      <c r="F190" s="113"/>
      <c r="G190" s="113"/>
    </row>
    <row r="191" spans="2:7" x14ac:dyDescent="0.35">
      <c r="B191" s="22"/>
      <c r="E191" s="113"/>
      <c r="F191" s="113"/>
      <c r="G191" s="113"/>
    </row>
    <row r="192" spans="2:7" x14ac:dyDescent="0.35">
      <c r="B192" s="22"/>
      <c r="E192" s="113"/>
      <c r="F192" s="113"/>
      <c r="G192" s="113"/>
    </row>
    <row r="193" spans="2:7" x14ac:dyDescent="0.35">
      <c r="B193" s="22"/>
      <c r="E193" s="113"/>
      <c r="F193" s="113"/>
      <c r="G193" s="113"/>
    </row>
    <row r="194" spans="2:7" x14ac:dyDescent="0.35">
      <c r="B194" s="22"/>
      <c r="E194" s="113"/>
      <c r="F194" s="113"/>
      <c r="G194" s="113"/>
    </row>
    <row r="195" spans="2:7" x14ac:dyDescent="0.35">
      <c r="B195" s="22"/>
      <c r="E195" s="113"/>
      <c r="F195" s="113"/>
      <c r="G195" s="113"/>
    </row>
    <row r="196" spans="2:7" x14ac:dyDescent="0.35">
      <c r="B196" s="22"/>
      <c r="E196" s="113"/>
      <c r="F196" s="113"/>
      <c r="G196" s="113"/>
    </row>
    <row r="197" spans="2:7" x14ac:dyDescent="0.35">
      <c r="B197" s="22"/>
      <c r="E197" s="113"/>
      <c r="F197" s="113"/>
      <c r="G197" s="113"/>
    </row>
    <row r="198" spans="2:7" x14ac:dyDescent="0.35">
      <c r="B198" s="22"/>
      <c r="E198" s="113"/>
      <c r="F198" s="113"/>
      <c r="G198" s="113"/>
    </row>
    <row r="199" spans="2:7" x14ac:dyDescent="0.35">
      <c r="B199" s="22"/>
      <c r="E199" s="113"/>
      <c r="F199" s="113"/>
      <c r="G199" s="113"/>
    </row>
    <row r="200" spans="2:7" x14ac:dyDescent="0.35">
      <c r="B200" s="22"/>
      <c r="E200" s="113"/>
      <c r="F200" s="113"/>
      <c r="G200" s="113"/>
    </row>
    <row r="201" spans="2:7" x14ac:dyDescent="0.35">
      <c r="B201" s="22"/>
      <c r="E201" s="113"/>
      <c r="F201" s="113"/>
      <c r="G201" s="113"/>
    </row>
    <row r="202" spans="2:7" x14ac:dyDescent="0.35">
      <c r="B202" s="22"/>
      <c r="E202" s="113"/>
      <c r="F202" s="113"/>
      <c r="G202" s="113"/>
    </row>
    <row r="203" spans="2:7" x14ac:dyDescent="0.35">
      <c r="B203" s="22"/>
      <c r="E203" s="113"/>
      <c r="F203" s="113"/>
      <c r="G203" s="113"/>
    </row>
    <row r="204" spans="2:7" x14ac:dyDescent="0.35">
      <c r="B204" s="22"/>
      <c r="E204" s="113"/>
      <c r="F204" s="113"/>
      <c r="G204" s="113"/>
    </row>
    <row r="205" spans="2:7" x14ac:dyDescent="0.35">
      <c r="B205" s="22"/>
      <c r="E205" s="113"/>
      <c r="F205" s="113"/>
      <c r="G205" s="113"/>
    </row>
    <row r="206" spans="2:7" x14ac:dyDescent="0.35">
      <c r="B206" s="22"/>
      <c r="E206" s="113"/>
      <c r="F206" s="113"/>
      <c r="G206" s="113"/>
    </row>
    <row r="207" spans="2:7" x14ac:dyDescent="0.35">
      <c r="B207" s="22"/>
      <c r="E207" s="113"/>
      <c r="F207" s="113"/>
      <c r="G207" s="113"/>
    </row>
    <row r="208" spans="2:7" x14ac:dyDescent="0.35">
      <c r="B208" s="22"/>
      <c r="E208" s="113"/>
      <c r="F208" s="113"/>
      <c r="G208" s="113"/>
    </row>
    <row r="209" spans="2:7" x14ac:dyDescent="0.35">
      <c r="B209" s="22"/>
      <c r="E209" s="113"/>
      <c r="F209" s="113"/>
      <c r="G209" s="113"/>
    </row>
    <row r="210" spans="2:7" x14ac:dyDescent="0.35">
      <c r="B210" s="22"/>
      <c r="E210" s="113"/>
      <c r="F210" s="113"/>
      <c r="G210" s="113"/>
    </row>
    <row r="211" spans="2:7" x14ac:dyDescent="0.35">
      <c r="B211" s="22"/>
      <c r="E211" s="113"/>
      <c r="F211" s="113"/>
      <c r="G211" s="113"/>
    </row>
    <row r="212" spans="2:7" x14ac:dyDescent="0.35">
      <c r="B212" s="22"/>
      <c r="E212" s="113"/>
      <c r="F212" s="113"/>
      <c r="G212" s="113"/>
    </row>
    <row r="213" spans="2:7" x14ac:dyDescent="0.35">
      <c r="B213" s="22"/>
      <c r="E213" s="113"/>
      <c r="F213" s="113"/>
      <c r="G213" s="113"/>
    </row>
    <row r="214" spans="2:7" x14ac:dyDescent="0.35">
      <c r="B214" s="22"/>
      <c r="E214" s="113"/>
      <c r="F214" s="113"/>
      <c r="G214" s="113"/>
    </row>
    <row r="215" spans="2:7" x14ac:dyDescent="0.35">
      <c r="B215" s="22"/>
      <c r="E215" s="113"/>
      <c r="F215" s="113"/>
      <c r="G215" s="113"/>
    </row>
    <row r="216" spans="2:7" x14ac:dyDescent="0.35">
      <c r="B216" s="22"/>
      <c r="E216" s="113"/>
      <c r="F216" s="113"/>
      <c r="G216" s="113"/>
    </row>
    <row r="217" spans="2:7" x14ac:dyDescent="0.35">
      <c r="B217" s="22"/>
      <c r="E217" s="113"/>
      <c r="F217" s="113"/>
      <c r="G217" s="113"/>
    </row>
    <row r="218" spans="2:7" x14ac:dyDescent="0.35">
      <c r="B218" s="22"/>
      <c r="E218" s="113"/>
      <c r="F218" s="113"/>
      <c r="G218" s="113"/>
    </row>
    <row r="219" spans="2:7" x14ac:dyDescent="0.35">
      <c r="B219" s="22"/>
      <c r="E219" s="113"/>
      <c r="F219" s="113"/>
      <c r="G219" s="113"/>
    </row>
    <row r="220" spans="2:7" x14ac:dyDescent="0.35">
      <c r="B220" s="22"/>
      <c r="E220" s="113"/>
      <c r="F220" s="113"/>
      <c r="G220" s="113"/>
    </row>
    <row r="221" spans="2:7" x14ac:dyDescent="0.35">
      <c r="B221" s="22"/>
      <c r="E221" s="113"/>
      <c r="F221" s="113"/>
      <c r="G221" s="113"/>
    </row>
    <row r="222" spans="2:7" x14ac:dyDescent="0.35">
      <c r="B222" s="22"/>
      <c r="E222" s="113"/>
      <c r="F222" s="113"/>
      <c r="G222" s="113"/>
    </row>
    <row r="223" spans="2:7" x14ac:dyDescent="0.35">
      <c r="B223" s="22"/>
      <c r="E223" s="113"/>
      <c r="F223" s="113"/>
      <c r="G223" s="113"/>
    </row>
    <row r="224" spans="2:7" x14ac:dyDescent="0.35">
      <c r="B224" s="22"/>
      <c r="E224" s="113"/>
      <c r="F224" s="113"/>
      <c r="G224" s="113"/>
    </row>
    <row r="225" spans="2:7" x14ac:dyDescent="0.35">
      <c r="B225" s="22"/>
      <c r="E225" s="113"/>
      <c r="F225" s="113"/>
      <c r="G225" s="113"/>
    </row>
    <row r="226" spans="2:7" x14ac:dyDescent="0.35">
      <c r="B226" s="22"/>
      <c r="E226" s="113"/>
      <c r="F226" s="113"/>
      <c r="G226" s="113"/>
    </row>
    <row r="227" spans="2:7" x14ac:dyDescent="0.35">
      <c r="B227" s="22"/>
      <c r="E227" s="113"/>
      <c r="F227" s="113"/>
      <c r="G227" s="113"/>
    </row>
    <row r="228" spans="2:7" x14ac:dyDescent="0.35">
      <c r="B228" s="22"/>
      <c r="E228" s="113"/>
      <c r="F228" s="113"/>
      <c r="G228" s="113"/>
    </row>
    <row r="229" spans="2:7" x14ac:dyDescent="0.35">
      <c r="B229" s="22"/>
      <c r="E229" s="113"/>
      <c r="F229" s="113"/>
      <c r="G229" s="113"/>
    </row>
    <row r="230" spans="2:7" x14ac:dyDescent="0.35">
      <c r="B230" s="22"/>
      <c r="E230" s="113"/>
      <c r="F230" s="113"/>
      <c r="G230" s="113"/>
    </row>
    <row r="231" spans="2:7" x14ac:dyDescent="0.35">
      <c r="B231" s="22"/>
      <c r="E231" s="113"/>
      <c r="F231" s="113"/>
      <c r="G231" s="113"/>
    </row>
    <row r="232" spans="2:7" x14ac:dyDescent="0.35">
      <c r="B232" s="22"/>
      <c r="E232" s="113"/>
      <c r="F232" s="113"/>
      <c r="G232" s="113"/>
    </row>
    <row r="233" spans="2:7" x14ac:dyDescent="0.35">
      <c r="B233" s="22"/>
      <c r="E233" s="113"/>
      <c r="F233" s="113"/>
      <c r="G233" s="113"/>
    </row>
    <row r="234" spans="2:7" x14ac:dyDescent="0.35">
      <c r="B234" s="22"/>
      <c r="E234" s="113"/>
      <c r="F234" s="113"/>
      <c r="G234" s="113"/>
    </row>
    <row r="235" spans="2:7" x14ac:dyDescent="0.35">
      <c r="B235" s="22"/>
      <c r="E235" s="113"/>
      <c r="F235" s="113"/>
      <c r="G235" s="113"/>
    </row>
    <row r="236" spans="2:7" x14ac:dyDescent="0.35">
      <c r="B236" s="22"/>
      <c r="E236" s="113"/>
      <c r="F236" s="113"/>
      <c r="G236" s="113"/>
    </row>
    <row r="237" spans="2:7" x14ac:dyDescent="0.35">
      <c r="B237" s="22"/>
      <c r="E237" s="113"/>
      <c r="F237" s="113"/>
      <c r="G237" s="113"/>
    </row>
    <row r="238" spans="2:7" x14ac:dyDescent="0.35">
      <c r="B238" s="22"/>
      <c r="E238" s="113"/>
      <c r="F238" s="113"/>
      <c r="G238" s="113"/>
    </row>
    <row r="239" spans="2:7" x14ac:dyDescent="0.35">
      <c r="B239" s="22"/>
      <c r="E239" s="113"/>
      <c r="F239" s="113"/>
      <c r="G239" s="113"/>
    </row>
    <row r="240" spans="2:7" x14ac:dyDescent="0.35">
      <c r="B240" s="22"/>
      <c r="E240" s="113"/>
      <c r="F240" s="113"/>
      <c r="G240" s="113"/>
    </row>
    <row r="241" spans="2:7" x14ac:dyDescent="0.35">
      <c r="B241" s="22"/>
      <c r="E241" s="113"/>
      <c r="F241" s="113"/>
      <c r="G241" s="113"/>
    </row>
    <row r="242" spans="2:7" x14ac:dyDescent="0.35">
      <c r="B242" s="22"/>
      <c r="E242" s="113"/>
      <c r="F242" s="113"/>
      <c r="G242" s="113"/>
    </row>
    <row r="243" spans="2:7" x14ac:dyDescent="0.35">
      <c r="B243" s="22"/>
      <c r="E243" s="113"/>
      <c r="F243" s="113"/>
      <c r="G243" s="113"/>
    </row>
    <row r="244" spans="2:7" x14ac:dyDescent="0.35">
      <c r="B244" s="22"/>
      <c r="E244" s="113"/>
      <c r="F244" s="113"/>
      <c r="G244" s="113"/>
    </row>
    <row r="245" spans="2:7" x14ac:dyDescent="0.35">
      <c r="B245" s="22"/>
      <c r="E245" s="113"/>
      <c r="F245" s="113"/>
      <c r="G245" s="113"/>
    </row>
    <row r="246" spans="2:7" x14ac:dyDescent="0.35">
      <c r="B246" s="22"/>
      <c r="E246" s="113"/>
      <c r="F246" s="113"/>
      <c r="G246" s="113"/>
    </row>
    <row r="247" spans="2:7" x14ac:dyDescent="0.35">
      <c r="B247" s="22"/>
      <c r="E247" s="113"/>
      <c r="F247" s="113"/>
      <c r="G247" s="113"/>
    </row>
    <row r="248" spans="2:7" x14ac:dyDescent="0.35">
      <c r="B248" s="22"/>
      <c r="E248" s="113"/>
      <c r="F248" s="113"/>
      <c r="G248" s="113"/>
    </row>
    <row r="249" spans="2:7" x14ac:dyDescent="0.35">
      <c r="B249" s="22"/>
      <c r="E249" s="113"/>
      <c r="F249" s="113"/>
      <c r="G249" s="113"/>
    </row>
    <row r="250" spans="2:7" x14ac:dyDescent="0.35">
      <c r="B250" s="22"/>
      <c r="E250" s="113"/>
      <c r="F250" s="113"/>
      <c r="G250" s="113"/>
    </row>
    <row r="251" spans="2:7" x14ac:dyDescent="0.35">
      <c r="B251" s="22"/>
      <c r="E251" s="113"/>
      <c r="F251" s="113"/>
      <c r="G251" s="113"/>
    </row>
    <row r="252" spans="2:7" x14ac:dyDescent="0.35">
      <c r="B252" s="22"/>
      <c r="E252" s="113"/>
      <c r="F252" s="113"/>
      <c r="G252" s="113"/>
    </row>
    <row r="253" spans="2:7" x14ac:dyDescent="0.35">
      <c r="B253" s="22"/>
      <c r="E253" s="113"/>
      <c r="F253" s="113"/>
      <c r="G253" s="113"/>
    </row>
    <row r="254" spans="2:7" x14ac:dyDescent="0.35">
      <c r="B254" s="22"/>
      <c r="E254" s="113"/>
      <c r="F254" s="113"/>
      <c r="G254" s="113"/>
    </row>
    <row r="255" spans="2:7" x14ac:dyDescent="0.35">
      <c r="B255" s="22"/>
      <c r="E255" s="113"/>
      <c r="F255" s="113"/>
      <c r="G255" s="113"/>
    </row>
    <row r="256" spans="2:7" x14ac:dyDescent="0.35">
      <c r="B256" s="22"/>
      <c r="E256" s="113"/>
      <c r="F256" s="113"/>
      <c r="G256" s="113"/>
    </row>
    <row r="257" spans="2:7" x14ac:dyDescent="0.35">
      <c r="B257" s="22"/>
      <c r="E257" s="113"/>
      <c r="F257" s="113"/>
      <c r="G257" s="113"/>
    </row>
    <row r="258" spans="2:7" x14ac:dyDescent="0.35">
      <c r="B258" s="22"/>
      <c r="E258" s="113"/>
      <c r="F258" s="113"/>
      <c r="G258" s="113"/>
    </row>
    <row r="259" spans="2:7" x14ac:dyDescent="0.35">
      <c r="B259" s="22"/>
      <c r="E259" s="113"/>
      <c r="F259" s="113"/>
      <c r="G259" s="113"/>
    </row>
    <row r="260" spans="2:7" x14ac:dyDescent="0.35">
      <c r="B260" s="22"/>
      <c r="E260" s="113"/>
      <c r="F260" s="113"/>
      <c r="G260" s="113"/>
    </row>
    <row r="261" spans="2:7" x14ac:dyDescent="0.35">
      <c r="B261" s="22"/>
      <c r="E261" s="113"/>
      <c r="F261" s="113"/>
      <c r="G261" s="113"/>
    </row>
    <row r="262" spans="2:7" x14ac:dyDescent="0.35">
      <c r="B262" s="22"/>
      <c r="E262" s="113"/>
      <c r="F262" s="113"/>
      <c r="G262" s="113"/>
    </row>
    <row r="263" spans="2:7" x14ac:dyDescent="0.35">
      <c r="B263" s="22"/>
      <c r="E263" s="113"/>
      <c r="F263" s="113"/>
      <c r="G263" s="113"/>
    </row>
    <row r="264" spans="2:7" x14ac:dyDescent="0.35">
      <c r="B264" s="22"/>
      <c r="E264" s="113"/>
      <c r="F264" s="113"/>
      <c r="G264" s="113"/>
    </row>
    <row r="265" spans="2:7" x14ac:dyDescent="0.35">
      <c r="B265" s="22"/>
      <c r="E265" s="113"/>
      <c r="F265" s="113"/>
      <c r="G265" s="113"/>
    </row>
    <row r="266" spans="2:7" x14ac:dyDescent="0.35">
      <c r="B266" s="22"/>
      <c r="E266" s="113"/>
      <c r="F266" s="113"/>
      <c r="G266" s="113"/>
    </row>
    <row r="267" spans="2:7" x14ac:dyDescent="0.35">
      <c r="B267" s="22"/>
      <c r="E267" s="113"/>
      <c r="F267" s="113"/>
      <c r="G267" s="113"/>
    </row>
    <row r="268" spans="2:7" x14ac:dyDescent="0.35">
      <c r="B268" s="22"/>
      <c r="E268" s="113"/>
      <c r="F268" s="113"/>
      <c r="G268" s="113"/>
    </row>
    <row r="269" spans="2:7" x14ac:dyDescent="0.35">
      <c r="B269" s="22"/>
      <c r="E269" s="113"/>
      <c r="F269" s="113"/>
      <c r="G269" s="113"/>
    </row>
    <row r="270" spans="2:7" x14ac:dyDescent="0.35">
      <c r="B270" s="22"/>
      <c r="E270" s="113"/>
      <c r="F270" s="113"/>
      <c r="G270" s="113"/>
    </row>
    <row r="271" spans="2:7" x14ac:dyDescent="0.35">
      <c r="B271" s="22"/>
      <c r="E271" s="113"/>
      <c r="F271" s="113"/>
      <c r="G271" s="113"/>
    </row>
    <row r="272" spans="2:7" x14ac:dyDescent="0.35">
      <c r="B272" s="22"/>
      <c r="E272" s="113"/>
      <c r="F272" s="113"/>
      <c r="G272" s="113"/>
    </row>
    <row r="273" spans="2:7" x14ac:dyDescent="0.35">
      <c r="B273" s="22"/>
      <c r="E273" s="113"/>
      <c r="F273" s="113"/>
      <c r="G273" s="113"/>
    </row>
    <row r="274" spans="2:7" x14ac:dyDescent="0.35">
      <c r="B274" s="22"/>
      <c r="E274" s="113"/>
      <c r="F274" s="113"/>
      <c r="G274" s="113"/>
    </row>
    <row r="275" spans="2:7" x14ac:dyDescent="0.35">
      <c r="B275" s="22"/>
      <c r="E275" s="113"/>
      <c r="F275" s="113"/>
      <c r="G275" s="113"/>
    </row>
    <row r="276" spans="2:7" x14ac:dyDescent="0.35">
      <c r="B276" s="22"/>
      <c r="E276" s="113"/>
      <c r="F276" s="113"/>
      <c r="G276" s="113"/>
    </row>
    <row r="277" spans="2:7" x14ac:dyDescent="0.35">
      <c r="B277" s="22"/>
      <c r="E277" s="113"/>
      <c r="F277" s="113"/>
      <c r="G277" s="113"/>
    </row>
    <row r="278" spans="2:7" x14ac:dyDescent="0.35">
      <c r="B278" s="22"/>
      <c r="E278" s="113"/>
      <c r="F278" s="113"/>
      <c r="G278" s="113"/>
    </row>
    <row r="279" spans="2:7" x14ac:dyDescent="0.35">
      <c r="B279" s="22"/>
      <c r="E279" s="113"/>
      <c r="F279" s="113"/>
      <c r="G279" s="113"/>
    </row>
    <row r="280" spans="2:7" x14ac:dyDescent="0.35">
      <c r="B280" s="22"/>
      <c r="E280" s="113"/>
      <c r="F280" s="113"/>
      <c r="G280" s="113"/>
    </row>
    <row r="281" spans="2:7" x14ac:dyDescent="0.35">
      <c r="B281" s="22"/>
      <c r="E281" s="113"/>
      <c r="F281" s="113"/>
      <c r="G281" s="113"/>
    </row>
    <row r="282" spans="2:7" x14ac:dyDescent="0.35">
      <c r="B282" s="22"/>
      <c r="E282" s="113"/>
      <c r="F282" s="113"/>
      <c r="G282" s="113"/>
    </row>
    <row r="283" spans="2:7" x14ac:dyDescent="0.35">
      <c r="B283" s="22"/>
      <c r="E283" s="113"/>
      <c r="F283" s="113"/>
      <c r="G283" s="113"/>
    </row>
    <row r="284" spans="2:7" x14ac:dyDescent="0.35">
      <c r="B284" s="22"/>
      <c r="E284" s="113"/>
      <c r="F284" s="113"/>
      <c r="G284" s="113"/>
    </row>
    <row r="285" spans="2:7" x14ac:dyDescent="0.35">
      <c r="B285" s="22"/>
      <c r="E285" s="113"/>
      <c r="F285" s="113"/>
      <c r="G285" s="113"/>
    </row>
    <row r="286" spans="2:7" x14ac:dyDescent="0.35">
      <c r="B286" s="22"/>
      <c r="E286" s="113"/>
      <c r="F286" s="113"/>
      <c r="G286" s="113"/>
    </row>
    <row r="287" spans="2:7" x14ac:dyDescent="0.35">
      <c r="B287" s="22"/>
      <c r="E287" s="113"/>
      <c r="F287" s="113"/>
      <c r="G287" s="113"/>
    </row>
    <row r="288" spans="2:7" x14ac:dyDescent="0.35">
      <c r="B288" s="22"/>
      <c r="E288" s="113"/>
      <c r="F288" s="113"/>
      <c r="G288" s="113"/>
    </row>
    <row r="289" spans="2:7" x14ac:dyDescent="0.35">
      <c r="B289" s="22"/>
      <c r="E289" s="113"/>
      <c r="F289" s="113"/>
      <c r="G289" s="113"/>
    </row>
    <row r="290" spans="2:7" x14ac:dyDescent="0.35">
      <c r="B290" s="22"/>
      <c r="E290" s="113"/>
      <c r="F290" s="113"/>
      <c r="G290" s="113"/>
    </row>
    <row r="291" spans="2:7" x14ac:dyDescent="0.35">
      <c r="B291" s="22"/>
      <c r="E291" s="113"/>
      <c r="F291" s="113"/>
      <c r="G291" s="113"/>
    </row>
    <row r="292" spans="2:7" x14ac:dyDescent="0.35">
      <c r="B292" s="22"/>
      <c r="E292" s="113"/>
      <c r="F292" s="113"/>
      <c r="G292" s="113"/>
    </row>
    <row r="293" spans="2:7" x14ac:dyDescent="0.35">
      <c r="B293" s="22"/>
      <c r="E293" s="113"/>
      <c r="F293" s="113"/>
      <c r="G293" s="113"/>
    </row>
    <row r="294" spans="2:7" x14ac:dyDescent="0.35">
      <c r="B294" s="22"/>
      <c r="E294" s="113"/>
      <c r="F294" s="113"/>
      <c r="G294" s="113"/>
    </row>
    <row r="295" spans="2:7" x14ac:dyDescent="0.35">
      <c r="B295" s="22"/>
      <c r="E295" s="113"/>
      <c r="F295" s="113"/>
      <c r="G295" s="113"/>
    </row>
    <row r="296" spans="2:7" x14ac:dyDescent="0.35">
      <c r="B296" s="22"/>
      <c r="E296" s="113"/>
      <c r="F296" s="113"/>
      <c r="G296" s="113"/>
    </row>
    <row r="297" spans="2:7" x14ac:dyDescent="0.35">
      <c r="B297" s="22"/>
      <c r="E297" s="113"/>
      <c r="F297" s="113"/>
      <c r="G297" s="113"/>
    </row>
    <row r="298" spans="2:7" x14ac:dyDescent="0.35">
      <c r="B298" s="22"/>
      <c r="E298" s="113"/>
      <c r="F298" s="113"/>
      <c r="G298" s="113"/>
    </row>
    <row r="299" spans="2:7" x14ac:dyDescent="0.35">
      <c r="B299" s="22"/>
      <c r="E299" s="113"/>
      <c r="F299" s="113"/>
      <c r="G299" s="113"/>
    </row>
    <row r="300" spans="2:7" x14ac:dyDescent="0.35">
      <c r="B300" s="22"/>
      <c r="E300" s="113"/>
      <c r="F300" s="113"/>
      <c r="G300" s="113"/>
    </row>
    <row r="301" spans="2:7" x14ac:dyDescent="0.35">
      <c r="B301" s="22"/>
      <c r="E301" s="113"/>
      <c r="F301" s="113"/>
      <c r="G301" s="113"/>
    </row>
    <row r="302" spans="2:7" x14ac:dyDescent="0.35">
      <c r="B302" s="22"/>
      <c r="E302" s="113"/>
      <c r="F302" s="113"/>
      <c r="G302" s="113"/>
    </row>
    <row r="303" spans="2:7" x14ac:dyDescent="0.35">
      <c r="B303" s="22"/>
      <c r="E303" s="113"/>
      <c r="F303" s="113"/>
      <c r="G303" s="113"/>
    </row>
    <row r="304" spans="2:7" x14ac:dyDescent="0.35">
      <c r="B304" s="22"/>
      <c r="E304" s="113"/>
      <c r="F304" s="113"/>
      <c r="G304" s="113"/>
    </row>
    <row r="305" spans="2:7" x14ac:dyDescent="0.35">
      <c r="B305" s="22"/>
      <c r="E305" s="113"/>
      <c r="F305" s="113"/>
      <c r="G305" s="113"/>
    </row>
    <row r="306" spans="2:7" x14ac:dyDescent="0.35">
      <c r="B306" s="22"/>
      <c r="E306" s="113"/>
      <c r="F306" s="113"/>
      <c r="G306" s="113"/>
    </row>
    <row r="307" spans="2:7" x14ac:dyDescent="0.35">
      <c r="B307" s="22"/>
      <c r="E307" s="113"/>
      <c r="F307" s="113"/>
      <c r="G307" s="113"/>
    </row>
    <row r="308" spans="2:7" x14ac:dyDescent="0.35">
      <c r="B308" s="22"/>
      <c r="E308" s="113"/>
      <c r="F308" s="113"/>
      <c r="G308" s="113"/>
    </row>
    <row r="309" spans="2:7" x14ac:dyDescent="0.35">
      <c r="B309" s="22"/>
      <c r="E309" s="113"/>
      <c r="F309" s="113"/>
      <c r="G309" s="113"/>
    </row>
    <row r="310" spans="2:7" x14ac:dyDescent="0.35">
      <c r="B310" s="22"/>
      <c r="E310" s="113"/>
      <c r="F310" s="113"/>
      <c r="G310" s="113"/>
    </row>
    <row r="311" spans="2:7" x14ac:dyDescent="0.35">
      <c r="B311" s="22"/>
      <c r="E311" s="113"/>
      <c r="F311" s="113"/>
      <c r="G311" s="113"/>
    </row>
    <row r="312" spans="2:7" x14ac:dyDescent="0.35">
      <c r="B312" s="22"/>
      <c r="E312" s="113"/>
      <c r="F312" s="113"/>
      <c r="G312" s="113"/>
    </row>
    <row r="313" spans="2:7" x14ac:dyDescent="0.35">
      <c r="B313" s="22"/>
      <c r="E313" s="113"/>
      <c r="F313" s="113"/>
      <c r="G313" s="113"/>
    </row>
    <row r="314" spans="2:7" x14ac:dyDescent="0.35">
      <c r="B314" s="22"/>
      <c r="E314" s="113"/>
      <c r="F314" s="113"/>
      <c r="G314" s="113"/>
    </row>
    <row r="315" spans="2:7" x14ac:dyDescent="0.35">
      <c r="B315" s="22"/>
      <c r="E315" s="113"/>
      <c r="F315" s="113"/>
      <c r="G315" s="113"/>
    </row>
    <row r="316" spans="2:7" x14ac:dyDescent="0.35">
      <c r="B316" s="22"/>
      <c r="E316" s="113"/>
      <c r="F316" s="113"/>
      <c r="G316" s="113"/>
    </row>
    <row r="317" spans="2:7" x14ac:dyDescent="0.35">
      <c r="B317" s="22"/>
      <c r="E317" s="113"/>
      <c r="F317" s="113"/>
      <c r="G317" s="113"/>
    </row>
    <row r="318" spans="2:7" x14ac:dyDescent="0.35">
      <c r="B318" s="22"/>
      <c r="E318" s="113"/>
      <c r="F318" s="113"/>
      <c r="G318" s="113"/>
    </row>
    <row r="319" spans="2:7" x14ac:dyDescent="0.35">
      <c r="B319" s="22"/>
      <c r="E319" s="113"/>
      <c r="F319" s="113"/>
      <c r="G319" s="113"/>
    </row>
    <row r="320" spans="2:7" x14ac:dyDescent="0.35">
      <c r="B320" s="22"/>
      <c r="E320" s="113"/>
      <c r="F320" s="113"/>
      <c r="G320" s="113"/>
    </row>
    <row r="321" spans="2:7" x14ac:dyDescent="0.35">
      <c r="B321" s="22"/>
      <c r="E321" s="113"/>
      <c r="F321" s="113"/>
      <c r="G321" s="113"/>
    </row>
    <row r="322" spans="2:7" x14ac:dyDescent="0.35">
      <c r="B322" s="22"/>
      <c r="E322" s="113"/>
      <c r="F322" s="113"/>
      <c r="G322" s="113"/>
    </row>
    <row r="323" spans="2:7" x14ac:dyDescent="0.35">
      <c r="B323" s="22"/>
      <c r="E323" s="113"/>
      <c r="F323" s="113"/>
      <c r="G323" s="113"/>
    </row>
    <row r="324" spans="2:7" x14ac:dyDescent="0.35">
      <c r="B324" s="22"/>
      <c r="E324" s="113"/>
      <c r="F324" s="113"/>
      <c r="G324" s="113"/>
    </row>
    <row r="325" spans="2:7" x14ac:dyDescent="0.35">
      <c r="B325" s="22"/>
      <c r="E325" s="113"/>
      <c r="F325" s="113"/>
      <c r="G325" s="113"/>
    </row>
    <row r="326" spans="2:7" x14ac:dyDescent="0.35">
      <c r="B326" s="22"/>
      <c r="E326" s="113"/>
      <c r="F326" s="113"/>
      <c r="G326" s="113"/>
    </row>
    <row r="327" spans="2:7" x14ac:dyDescent="0.35">
      <c r="B327" s="22"/>
      <c r="E327" s="113"/>
      <c r="F327" s="113"/>
      <c r="G327" s="113"/>
    </row>
    <row r="328" spans="2:7" x14ac:dyDescent="0.35">
      <c r="B328" s="22"/>
      <c r="E328" s="113"/>
      <c r="F328" s="113"/>
      <c r="G328" s="113"/>
    </row>
    <row r="329" spans="2:7" x14ac:dyDescent="0.35">
      <c r="B329" s="22"/>
      <c r="E329" s="113"/>
      <c r="F329" s="113"/>
      <c r="G329" s="113"/>
    </row>
    <row r="330" spans="2:7" x14ac:dyDescent="0.35">
      <c r="B330" s="22"/>
      <c r="E330" s="113"/>
      <c r="F330" s="113"/>
      <c r="G330" s="113"/>
    </row>
    <row r="331" spans="2:7" x14ac:dyDescent="0.35">
      <c r="B331" s="22"/>
      <c r="E331" s="113"/>
      <c r="F331" s="113"/>
      <c r="G331" s="113"/>
    </row>
    <row r="332" spans="2:7" x14ac:dyDescent="0.35">
      <c r="B332" s="22"/>
      <c r="E332" s="113"/>
      <c r="F332" s="113"/>
      <c r="G332" s="113"/>
    </row>
    <row r="333" spans="2:7" x14ac:dyDescent="0.35">
      <c r="B333" s="22"/>
      <c r="E333" s="113"/>
      <c r="F333" s="113"/>
      <c r="G333" s="113"/>
    </row>
    <row r="334" spans="2:7" x14ac:dyDescent="0.35">
      <c r="B334" s="22"/>
      <c r="E334" s="113"/>
      <c r="F334" s="113"/>
      <c r="G334" s="113"/>
    </row>
    <row r="335" spans="2:7" x14ac:dyDescent="0.35">
      <c r="B335" s="22"/>
      <c r="E335" s="113"/>
      <c r="F335" s="113"/>
      <c r="G335" s="113"/>
    </row>
    <row r="336" spans="2:7" x14ac:dyDescent="0.35">
      <c r="B336" s="22"/>
      <c r="E336" s="113"/>
      <c r="F336" s="113"/>
      <c r="G336" s="113"/>
    </row>
    <row r="337" spans="2:7" x14ac:dyDescent="0.35">
      <c r="B337" s="22"/>
      <c r="E337" s="113"/>
      <c r="F337" s="113"/>
      <c r="G337" s="113"/>
    </row>
    <row r="338" spans="2:7" x14ac:dyDescent="0.35">
      <c r="B338" s="22"/>
      <c r="E338" s="113"/>
      <c r="F338" s="113"/>
      <c r="G338" s="113"/>
    </row>
    <row r="339" spans="2:7" x14ac:dyDescent="0.35">
      <c r="B339" s="22"/>
      <c r="E339" s="113"/>
      <c r="F339" s="113"/>
      <c r="G339" s="113"/>
    </row>
    <row r="340" spans="2:7" x14ac:dyDescent="0.35">
      <c r="B340" s="22"/>
      <c r="E340" s="113"/>
      <c r="F340" s="113"/>
      <c r="G340" s="113"/>
    </row>
    <row r="341" spans="2:7" x14ac:dyDescent="0.35">
      <c r="B341" s="22"/>
      <c r="E341" s="113"/>
      <c r="F341" s="113"/>
      <c r="G341" s="113"/>
    </row>
    <row r="342" spans="2:7" x14ac:dyDescent="0.35">
      <c r="B342" s="22"/>
      <c r="E342" s="113"/>
      <c r="F342" s="113"/>
      <c r="G342" s="113"/>
    </row>
    <row r="343" spans="2:7" x14ac:dyDescent="0.35">
      <c r="B343" s="22"/>
      <c r="E343" s="113"/>
      <c r="F343" s="113"/>
      <c r="G343" s="113"/>
    </row>
    <row r="344" spans="2:7" x14ac:dyDescent="0.35">
      <c r="B344" s="22"/>
      <c r="E344" s="113"/>
      <c r="F344" s="113"/>
      <c r="G344" s="113"/>
    </row>
    <row r="345" spans="2:7" x14ac:dyDescent="0.35">
      <c r="B345" s="22"/>
      <c r="E345" s="113"/>
      <c r="F345" s="113"/>
      <c r="G345" s="113"/>
    </row>
    <row r="346" spans="2:7" x14ac:dyDescent="0.35">
      <c r="B346" s="22"/>
      <c r="E346" s="113"/>
      <c r="F346" s="113"/>
      <c r="G346" s="113"/>
    </row>
    <row r="347" spans="2:7" x14ac:dyDescent="0.35">
      <c r="B347" s="22"/>
      <c r="E347" s="113"/>
      <c r="F347" s="113"/>
      <c r="G347" s="113"/>
    </row>
    <row r="348" spans="2:7" x14ac:dyDescent="0.35">
      <c r="B348" s="22"/>
      <c r="E348" s="113"/>
      <c r="F348" s="113"/>
      <c r="G348" s="113"/>
    </row>
    <row r="349" spans="2:7" x14ac:dyDescent="0.35">
      <c r="B349" s="22"/>
      <c r="E349" s="113"/>
      <c r="F349" s="113"/>
      <c r="G349" s="113"/>
    </row>
    <row r="350" spans="2:7" x14ac:dyDescent="0.35">
      <c r="B350" s="22"/>
      <c r="E350" s="113"/>
      <c r="F350" s="113"/>
      <c r="G350" s="113"/>
    </row>
    <row r="351" spans="2:7" x14ac:dyDescent="0.35">
      <c r="B351" s="22"/>
      <c r="E351" s="113"/>
      <c r="F351" s="113"/>
      <c r="G351" s="113"/>
    </row>
    <row r="352" spans="2:7" x14ac:dyDescent="0.35">
      <c r="B352" s="22"/>
      <c r="E352" s="113"/>
      <c r="F352" s="113"/>
      <c r="G352" s="113"/>
    </row>
    <row r="353" spans="2:7" x14ac:dyDescent="0.35">
      <c r="B353" s="22"/>
      <c r="E353" s="113"/>
      <c r="F353" s="113"/>
      <c r="G353" s="113"/>
    </row>
    <row r="354" spans="2:7" x14ac:dyDescent="0.35">
      <c r="B354" s="22"/>
      <c r="E354" s="113"/>
      <c r="F354" s="113"/>
      <c r="G354" s="113"/>
    </row>
    <row r="355" spans="2:7" x14ac:dyDescent="0.35">
      <c r="B355" s="22"/>
      <c r="E355" s="113"/>
      <c r="F355" s="113"/>
      <c r="G355" s="113"/>
    </row>
    <row r="356" spans="2:7" x14ac:dyDescent="0.35">
      <c r="B356" s="22"/>
      <c r="E356" s="113"/>
      <c r="F356" s="113"/>
      <c r="G356" s="113"/>
    </row>
    <row r="357" spans="2:7" x14ac:dyDescent="0.35">
      <c r="B357" s="22"/>
      <c r="E357" s="113"/>
      <c r="F357" s="113"/>
      <c r="G357" s="113"/>
    </row>
    <row r="358" spans="2:7" x14ac:dyDescent="0.35">
      <c r="B358" s="22"/>
      <c r="E358" s="113"/>
      <c r="F358" s="113"/>
      <c r="G358" s="113"/>
    </row>
    <row r="359" spans="2:7" x14ac:dyDescent="0.35">
      <c r="B359" s="22"/>
      <c r="E359" s="113"/>
      <c r="F359" s="113"/>
      <c r="G359" s="113"/>
    </row>
    <row r="360" spans="2:7" x14ac:dyDescent="0.35">
      <c r="B360" s="22"/>
      <c r="E360" s="113"/>
      <c r="F360" s="113"/>
      <c r="G360" s="113"/>
    </row>
    <row r="361" spans="2:7" x14ac:dyDescent="0.35">
      <c r="B361" s="22"/>
      <c r="E361" s="113"/>
      <c r="F361" s="113"/>
      <c r="G361" s="113"/>
    </row>
    <row r="362" spans="2:7" x14ac:dyDescent="0.35">
      <c r="B362" s="22"/>
      <c r="E362" s="113"/>
      <c r="F362" s="113"/>
      <c r="G362" s="113"/>
    </row>
    <row r="363" spans="2:7" x14ac:dyDescent="0.35">
      <c r="B363" s="22"/>
      <c r="E363" s="113"/>
      <c r="F363" s="113"/>
      <c r="G363" s="113"/>
    </row>
    <row r="364" spans="2:7" x14ac:dyDescent="0.35">
      <c r="B364" s="22"/>
      <c r="E364" s="113"/>
      <c r="F364" s="113"/>
      <c r="G364" s="113"/>
    </row>
    <row r="365" spans="2:7" x14ac:dyDescent="0.35">
      <c r="B365" s="22"/>
      <c r="E365" s="113"/>
      <c r="F365" s="113"/>
      <c r="G365" s="113"/>
    </row>
    <row r="366" spans="2:7" x14ac:dyDescent="0.35">
      <c r="B366" s="22"/>
      <c r="E366" s="113"/>
      <c r="F366" s="113"/>
      <c r="G366" s="113"/>
    </row>
    <row r="367" spans="2:7" x14ac:dyDescent="0.35">
      <c r="B367" s="22"/>
      <c r="E367" s="113"/>
      <c r="F367" s="113"/>
      <c r="G367" s="113"/>
    </row>
    <row r="368" spans="2:7" x14ac:dyDescent="0.35">
      <c r="B368" s="22"/>
      <c r="E368" s="113"/>
      <c r="F368" s="113"/>
      <c r="G368" s="113"/>
    </row>
    <row r="369" spans="2:7" x14ac:dyDescent="0.35">
      <c r="B369" s="22"/>
      <c r="E369" s="113"/>
      <c r="F369" s="113"/>
      <c r="G369" s="113"/>
    </row>
    <row r="370" spans="2:7" x14ac:dyDescent="0.35">
      <c r="B370" s="22"/>
      <c r="E370" s="113"/>
      <c r="F370" s="113"/>
      <c r="G370" s="113"/>
    </row>
    <row r="371" spans="2:7" x14ac:dyDescent="0.35">
      <c r="B371" s="22"/>
      <c r="E371" s="113"/>
      <c r="F371" s="113"/>
      <c r="G371" s="113"/>
    </row>
    <row r="372" spans="2:7" x14ac:dyDescent="0.35">
      <c r="B372" s="22"/>
      <c r="E372" s="113"/>
      <c r="F372" s="113"/>
      <c r="G372" s="113"/>
    </row>
    <row r="373" spans="2:7" x14ac:dyDescent="0.35">
      <c r="B373" s="22"/>
      <c r="E373" s="113"/>
      <c r="F373" s="113"/>
      <c r="G373" s="113"/>
    </row>
    <row r="374" spans="2:7" x14ac:dyDescent="0.35">
      <c r="B374" s="22"/>
      <c r="E374" s="113"/>
      <c r="F374" s="113"/>
      <c r="G374" s="113"/>
    </row>
    <row r="375" spans="2:7" x14ac:dyDescent="0.35">
      <c r="B375" s="22"/>
      <c r="E375" s="113"/>
      <c r="F375" s="113"/>
      <c r="G375" s="113"/>
    </row>
    <row r="376" spans="2:7" x14ac:dyDescent="0.35">
      <c r="B376" s="22"/>
      <c r="E376" s="113"/>
      <c r="F376" s="113"/>
      <c r="G376" s="113"/>
    </row>
    <row r="377" spans="2:7" x14ac:dyDescent="0.35">
      <c r="B377" s="22"/>
      <c r="E377" s="113"/>
      <c r="F377" s="113"/>
      <c r="G377" s="113"/>
    </row>
    <row r="378" spans="2:7" x14ac:dyDescent="0.35">
      <c r="B378" s="22"/>
      <c r="E378" s="113"/>
      <c r="F378" s="113"/>
      <c r="G378" s="113"/>
    </row>
    <row r="379" spans="2:7" x14ac:dyDescent="0.35">
      <c r="B379" s="22"/>
      <c r="E379" s="113"/>
      <c r="F379" s="113"/>
      <c r="G379" s="113"/>
    </row>
    <row r="380" spans="2:7" x14ac:dyDescent="0.35">
      <c r="B380" s="22"/>
      <c r="E380" s="113"/>
      <c r="F380" s="113"/>
      <c r="G380" s="113"/>
    </row>
    <row r="381" spans="2:7" x14ac:dyDescent="0.35">
      <c r="B381" s="22"/>
      <c r="E381" s="113"/>
      <c r="F381" s="113"/>
      <c r="G381" s="113"/>
    </row>
    <row r="382" spans="2:7" x14ac:dyDescent="0.35">
      <c r="B382" s="22"/>
      <c r="E382" s="113"/>
      <c r="F382" s="113"/>
      <c r="G382" s="113"/>
    </row>
    <row r="383" spans="2:7" x14ac:dyDescent="0.35">
      <c r="B383" s="22"/>
      <c r="E383" s="113"/>
      <c r="F383" s="113"/>
      <c r="G383" s="113"/>
    </row>
    <row r="384" spans="2:7" x14ac:dyDescent="0.35">
      <c r="B384" s="22"/>
      <c r="E384" s="113"/>
      <c r="F384" s="113"/>
      <c r="G384" s="113"/>
    </row>
    <row r="385" spans="2:7" x14ac:dyDescent="0.35">
      <c r="B385" s="22"/>
      <c r="E385" s="113"/>
      <c r="F385" s="113"/>
      <c r="G385" s="113"/>
    </row>
    <row r="386" spans="2:7" x14ac:dyDescent="0.35">
      <c r="B386" s="22"/>
      <c r="E386" s="113"/>
      <c r="F386" s="113"/>
      <c r="G386" s="113"/>
    </row>
    <row r="387" spans="2:7" x14ac:dyDescent="0.35">
      <c r="B387" s="22"/>
      <c r="E387" s="113"/>
      <c r="F387" s="113"/>
      <c r="G387" s="113"/>
    </row>
    <row r="388" spans="2:7" x14ac:dyDescent="0.35">
      <c r="B388" s="22"/>
      <c r="E388" s="113"/>
      <c r="F388" s="113"/>
      <c r="G388" s="113"/>
    </row>
    <row r="389" spans="2:7" x14ac:dyDescent="0.35">
      <c r="B389" s="22"/>
      <c r="E389" s="113"/>
      <c r="F389" s="113"/>
      <c r="G389" s="113"/>
    </row>
    <row r="390" spans="2:7" x14ac:dyDescent="0.35">
      <c r="B390" s="22"/>
      <c r="E390" s="113"/>
      <c r="F390" s="113"/>
      <c r="G390" s="113"/>
    </row>
    <row r="391" spans="2:7" x14ac:dyDescent="0.35">
      <c r="B391" s="22"/>
      <c r="E391" s="113"/>
      <c r="F391" s="113"/>
      <c r="G391" s="113"/>
    </row>
    <row r="392" spans="2:7" x14ac:dyDescent="0.35">
      <c r="B392" s="22"/>
      <c r="E392" s="113"/>
      <c r="F392" s="113"/>
      <c r="G392" s="113"/>
    </row>
    <row r="393" spans="2:7" x14ac:dyDescent="0.35">
      <c r="B393" s="22"/>
      <c r="E393" s="113"/>
      <c r="F393" s="113"/>
      <c r="G393" s="113"/>
    </row>
    <row r="394" spans="2:7" x14ac:dyDescent="0.35">
      <c r="B394" s="22"/>
      <c r="E394" s="113"/>
      <c r="F394" s="113"/>
      <c r="G394" s="113"/>
    </row>
    <row r="395" spans="2:7" x14ac:dyDescent="0.35">
      <c r="B395" s="22"/>
      <c r="E395" s="113"/>
      <c r="F395" s="113"/>
      <c r="G395" s="113"/>
    </row>
    <row r="396" spans="2:7" x14ac:dyDescent="0.35">
      <c r="B396" s="22"/>
      <c r="E396" s="113"/>
      <c r="F396" s="113"/>
      <c r="G396" s="113"/>
    </row>
    <row r="397" spans="2:7" x14ac:dyDescent="0.35">
      <c r="B397" s="22"/>
      <c r="E397" s="113"/>
      <c r="F397" s="113"/>
      <c r="G397" s="113"/>
    </row>
    <row r="398" spans="2:7" x14ac:dyDescent="0.35">
      <c r="B398" s="22"/>
      <c r="E398" s="113"/>
      <c r="F398" s="113"/>
      <c r="G398" s="113"/>
    </row>
    <row r="399" spans="2:7" x14ac:dyDescent="0.35">
      <c r="B399" s="22"/>
      <c r="E399" s="113"/>
      <c r="F399" s="113"/>
      <c r="G399" s="113"/>
    </row>
    <row r="400" spans="2:7" x14ac:dyDescent="0.35">
      <c r="B400" s="22"/>
      <c r="E400" s="113"/>
      <c r="F400" s="113"/>
      <c r="G400" s="113"/>
    </row>
    <row r="401" spans="2:7" x14ac:dyDescent="0.35">
      <c r="B401" s="22"/>
      <c r="E401" s="113"/>
      <c r="F401" s="113"/>
      <c r="G401" s="113"/>
    </row>
    <row r="402" spans="2:7" x14ac:dyDescent="0.35">
      <c r="B402" s="22"/>
      <c r="E402" s="113"/>
      <c r="F402" s="113"/>
      <c r="G402" s="113"/>
    </row>
    <row r="403" spans="2:7" x14ac:dyDescent="0.35">
      <c r="B403" s="22"/>
      <c r="E403" s="113"/>
      <c r="F403" s="113"/>
      <c r="G403" s="113"/>
    </row>
    <row r="404" spans="2:7" x14ac:dyDescent="0.35">
      <c r="B404" s="22"/>
      <c r="E404" s="113"/>
      <c r="F404" s="113"/>
      <c r="G404" s="113"/>
    </row>
    <row r="405" spans="2:7" x14ac:dyDescent="0.35">
      <c r="B405" s="22"/>
      <c r="E405" s="113"/>
      <c r="F405" s="113"/>
      <c r="G405" s="113"/>
    </row>
    <row r="406" spans="2:7" x14ac:dyDescent="0.35">
      <c r="B406" s="22"/>
      <c r="E406" s="113"/>
      <c r="F406" s="113"/>
      <c r="G406" s="113"/>
    </row>
    <row r="407" spans="2:7" x14ac:dyDescent="0.35">
      <c r="B407" s="22"/>
      <c r="E407" s="113"/>
      <c r="F407" s="113"/>
      <c r="G407" s="113"/>
    </row>
    <row r="408" spans="2:7" x14ac:dyDescent="0.35">
      <c r="B408" s="22"/>
      <c r="E408" s="113"/>
      <c r="F408" s="113"/>
      <c r="G408" s="113"/>
    </row>
    <row r="409" spans="2:7" x14ac:dyDescent="0.35">
      <c r="B409" s="22"/>
      <c r="E409" s="113"/>
      <c r="F409" s="113"/>
      <c r="G409" s="113"/>
    </row>
    <row r="410" spans="2:7" x14ac:dyDescent="0.35">
      <c r="B410" s="22"/>
      <c r="E410" s="113"/>
      <c r="F410" s="113"/>
      <c r="G410" s="113"/>
    </row>
    <row r="411" spans="2:7" x14ac:dyDescent="0.35">
      <c r="B411" s="22"/>
      <c r="E411" s="113"/>
      <c r="F411" s="113"/>
      <c r="G411" s="113"/>
    </row>
    <row r="412" spans="2:7" x14ac:dyDescent="0.35">
      <c r="B412" s="22"/>
      <c r="E412" s="113"/>
      <c r="F412" s="113"/>
      <c r="G412" s="113"/>
    </row>
    <row r="413" spans="2:7" x14ac:dyDescent="0.35">
      <c r="B413" s="22"/>
      <c r="E413" s="113"/>
      <c r="F413" s="113"/>
      <c r="G413" s="113"/>
    </row>
    <row r="414" spans="2:7" x14ac:dyDescent="0.35">
      <c r="B414" s="22"/>
      <c r="E414" s="113"/>
      <c r="F414" s="113"/>
      <c r="G414" s="113"/>
    </row>
    <row r="415" spans="2:7" x14ac:dyDescent="0.35">
      <c r="B415" s="22"/>
      <c r="E415" s="113"/>
      <c r="F415" s="113"/>
      <c r="G415" s="113"/>
    </row>
    <row r="416" spans="2:7" x14ac:dyDescent="0.35">
      <c r="B416" s="22"/>
      <c r="E416" s="113"/>
      <c r="F416" s="113"/>
      <c r="G416" s="113"/>
    </row>
    <row r="417" spans="2:7" x14ac:dyDescent="0.35">
      <c r="B417" s="22"/>
      <c r="E417" s="113"/>
      <c r="F417" s="113"/>
      <c r="G417" s="113"/>
    </row>
    <row r="418" spans="2:7" x14ac:dyDescent="0.35">
      <c r="B418" s="22"/>
      <c r="E418" s="113"/>
      <c r="F418" s="113"/>
      <c r="G418" s="113"/>
    </row>
    <row r="419" spans="2:7" x14ac:dyDescent="0.35">
      <c r="B419" s="22"/>
      <c r="E419" s="113"/>
      <c r="F419" s="113"/>
      <c r="G419" s="113"/>
    </row>
    <row r="420" spans="2:7" x14ac:dyDescent="0.35">
      <c r="B420" s="22"/>
      <c r="E420" s="113"/>
      <c r="F420" s="113"/>
      <c r="G420" s="113"/>
    </row>
    <row r="421" spans="2:7" x14ac:dyDescent="0.35">
      <c r="B421" s="22"/>
      <c r="E421" s="113"/>
      <c r="F421" s="113"/>
      <c r="G421" s="113"/>
    </row>
    <row r="422" spans="2:7" x14ac:dyDescent="0.35">
      <c r="B422" s="22"/>
      <c r="E422" s="113"/>
      <c r="F422" s="113"/>
      <c r="G422" s="113"/>
    </row>
    <row r="423" spans="2:7" x14ac:dyDescent="0.35">
      <c r="B423" s="22"/>
      <c r="E423" s="113"/>
      <c r="F423" s="113"/>
      <c r="G423" s="113"/>
    </row>
    <row r="424" spans="2:7" x14ac:dyDescent="0.35">
      <c r="B424" s="22"/>
      <c r="E424" s="113"/>
      <c r="F424" s="113"/>
      <c r="G424" s="113"/>
    </row>
    <row r="425" spans="2:7" x14ac:dyDescent="0.35">
      <c r="B425" s="22"/>
      <c r="E425" s="113"/>
      <c r="F425" s="113"/>
      <c r="G425" s="113"/>
    </row>
    <row r="426" spans="2:7" x14ac:dyDescent="0.35">
      <c r="B426" s="22"/>
      <c r="E426" s="113"/>
      <c r="F426" s="113"/>
      <c r="G426" s="113"/>
    </row>
    <row r="427" spans="2:7" x14ac:dyDescent="0.35">
      <c r="B427" s="22"/>
      <c r="E427" s="113"/>
      <c r="F427" s="113"/>
      <c r="G427" s="113"/>
    </row>
    <row r="428" spans="2:7" x14ac:dyDescent="0.35">
      <c r="B428" s="22"/>
      <c r="E428" s="113"/>
      <c r="F428" s="113"/>
      <c r="G428" s="113"/>
    </row>
    <row r="429" spans="2:7" x14ac:dyDescent="0.35">
      <c r="B429" s="22"/>
      <c r="E429" s="113"/>
      <c r="F429" s="113"/>
      <c r="G429" s="113"/>
    </row>
    <row r="430" spans="2:7" x14ac:dyDescent="0.35">
      <c r="B430" s="22"/>
      <c r="E430" s="113"/>
      <c r="F430" s="113"/>
      <c r="G430" s="113"/>
    </row>
    <row r="431" spans="2:7" x14ac:dyDescent="0.35">
      <c r="B431" s="22"/>
      <c r="E431" s="113"/>
      <c r="F431" s="113"/>
      <c r="G431" s="113"/>
    </row>
    <row r="432" spans="2:7" x14ac:dyDescent="0.35">
      <c r="B432" s="22"/>
      <c r="E432" s="113"/>
      <c r="F432" s="113"/>
      <c r="G432" s="113"/>
    </row>
    <row r="433" spans="2:7" x14ac:dyDescent="0.35">
      <c r="B433" s="22"/>
      <c r="E433" s="113"/>
      <c r="F433" s="113"/>
      <c r="G433" s="113"/>
    </row>
    <row r="434" spans="2:7" x14ac:dyDescent="0.35">
      <c r="B434" s="22"/>
      <c r="E434" s="113"/>
      <c r="F434" s="113"/>
      <c r="G434" s="113"/>
    </row>
    <row r="435" spans="2:7" x14ac:dyDescent="0.35">
      <c r="B435" s="22"/>
      <c r="E435" s="113"/>
      <c r="F435" s="113"/>
      <c r="G435" s="113"/>
    </row>
    <row r="436" spans="2:7" x14ac:dyDescent="0.35">
      <c r="B436" s="22"/>
      <c r="E436" s="113"/>
      <c r="F436" s="113"/>
      <c r="G436" s="113"/>
    </row>
    <row r="437" spans="2:7" x14ac:dyDescent="0.35">
      <c r="B437" s="22"/>
      <c r="E437" s="113"/>
      <c r="F437" s="113"/>
      <c r="G437" s="113"/>
    </row>
    <row r="438" spans="2:7" x14ac:dyDescent="0.35">
      <c r="B438" s="22"/>
      <c r="E438" s="113"/>
      <c r="F438" s="113"/>
      <c r="G438" s="113"/>
    </row>
    <row r="439" spans="2:7" x14ac:dyDescent="0.35">
      <c r="B439" s="22"/>
      <c r="E439" s="113"/>
      <c r="F439" s="113"/>
      <c r="G439" s="113"/>
    </row>
    <row r="440" spans="2:7" x14ac:dyDescent="0.35">
      <c r="B440" s="22"/>
      <c r="E440" s="113"/>
      <c r="F440" s="113"/>
      <c r="G440" s="113"/>
    </row>
    <row r="441" spans="2:7" x14ac:dyDescent="0.35">
      <c r="B441" s="22"/>
      <c r="E441" s="113"/>
      <c r="F441" s="113"/>
      <c r="G441" s="113"/>
    </row>
    <row r="442" spans="2:7" x14ac:dyDescent="0.35">
      <c r="B442" s="22"/>
      <c r="E442" s="113"/>
      <c r="F442" s="113"/>
      <c r="G442" s="113"/>
    </row>
    <row r="443" spans="2:7" x14ac:dyDescent="0.35">
      <c r="B443" s="22"/>
      <c r="E443" s="113"/>
      <c r="F443" s="113"/>
      <c r="G443" s="113"/>
    </row>
    <row r="444" spans="2:7" x14ac:dyDescent="0.35">
      <c r="B444" s="22"/>
      <c r="E444" s="113"/>
      <c r="F444" s="113"/>
      <c r="G444" s="113"/>
    </row>
    <row r="445" spans="2:7" x14ac:dyDescent="0.35">
      <c r="B445" s="22"/>
      <c r="E445" s="113"/>
      <c r="F445" s="113"/>
      <c r="G445" s="113"/>
    </row>
    <row r="446" spans="2:7" x14ac:dyDescent="0.35">
      <c r="B446" s="22"/>
      <c r="E446" s="113"/>
      <c r="F446" s="113"/>
      <c r="G446" s="113"/>
    </row>
    <row r="447" spans="2:7" x14ac:dyDescent="0.35">
      <c r="B447" s="22"/>
      <c r="E447" s="113"/>
      <c r="F447" s="113"/>
      <c r="G447" s="113"/>
    </row>
    <row r="448" spans="2:7" x14ac:dyDescent="0.35">
      <c r="B448" s="22"/>
      <c r="E448" s="113"/>
      <c r="F448" s="113"/>
      <c r="G448" s="113"/>
    </row>
    <row r="449" spans="2:7" x14ac:dyDescent="0.35">
      <c r="B449" s="22"/>
      <c r="E449" s="113"/>
      <c r="F449" s="113"/>
      <c r="G449" s="113"/>
    </row>
    <row r="450" spans="2:7" x14ac:dyDescent="0.35">
      <c r="B450" s="22"/>
      <c r="E450" s="113"/>
      <c r="F450" s="113"/>
      <c r="G450" s="113"/>
    </row>
    <row r="451" spans="2:7" x14ac:dyDescent="0.35">
      <c r="B451" s="22"/>
      <c r="E451" s="113"/>
      <c r="F451" s="113"/>
      <c r="G451" s="113"/>
    </row>
    <row r="452" spans="2:7" x14ac:dyDescent="0.35">
      <c r="B452" s="22"/>
      <c r="E452" s="113"/>
      <c r="F452" s="113"/>
      <c r="G452" s="113"/>
    </row>
    <row r="453" spans="2:7" x14ac:dyDescent="0.35">
      <c r="B453" s="22"/>
      <c r="E453" s="113"/>
      <c r="F453" s="113"/>
      <c r="G453" s="113"/>
    </row>
    <row r="454" spans="2:7" x14ac:dyDescent="0.35">
      <c r="B454" s="22"/>
      <c r="E454" s="113"/>
      <c r="F454" s="113"/>
      <c r="G454" s="113"/>
    </row>
    <row r="455" spans="2:7" x14ac:dyDescent="0.35">
      <c r="B455" s="22"/>
      <c r="E455" s="113"/>
      <c r="F455" s="113"/>
      <c r="G455" s="113"/>
    </row>
    <row r="456" spans="2:7" x14ac:dyDescent="0.35">
      <c r="B456" s="22"/>
      <c r="E456" s="113"/>
      <c r="F456" s="113"/>
      <c r="G456" s="113"/>
    </row>
    <row r="457" spans="2:7" x14ac:dyDescent="0.35">
      <c r="B457" s="22"/>
      <c r="E457" s="113"/>
      <c r="F457" s="113"/>
      <c r="G457" s="113"/>
    </row>
    <row r="458" spans="2:7" x14ac:dyDescent="0.35">
      <c r="B458" s="22"/>
      <c r="E458" s="113"/>
      <c r="F458" s="113"/>
      <c r="G458" s="113"/>
    </row>
    <row r="459" spans="2:7" x14ac:dyDescent="0.35">
      <c r="B459" s="22"/>
      <c r="E459" s="113"/>
      <c r="F459" s="113"/>
      <c r="G459" s="113"/>
    </row>
    <row r="460" spans="2:7" x14ac:dyDescent="0.35">
      <c r="B460" s="22"/>
      <c r="E460" s="113"/>
      <c r="F460" s="113"/>
      <c r="G460" s="113"/>
    </row>
    <row r="461" spans="2:7" x14ac:dyDescent="0.35">
      <c r="B461" s="22"/>
      <c r="E461" s="113"/>
      <c r="F461" s="113"/>
      <c r="G461" s="113"/>
    </row>
    <row r="462" spans="2:7" x14ac:dyDescent="0.35">
      <c r="B462" s="22"/>
      <c r="E462" s="113"/>
      <c r="F462" s="113"/>
      <c r="G462" s="113"/>
    </row>
    <row r="463" spans="2:7" x14ac:dyDescent="0.35">
      <c r="B463" s="22"/>
      <c r="E463" s="113"/>
      <c r="F463" s="113"/>
      <c r="G463" s="113"/>
    </row>
    <row r="464" spans="2:7" x14ac:dyDescent="0.35">
      <c r="B464" s="22"/>
      <c r="E464" s="113"/>
      <c r="F464" s="113"/>
      <c r="G464" s="113"/>
    </row>
    <row r="465" spans="2:7" x14ac:dyDescent="0.35">
      <c r="B465" s="22"/>
      <c r="E465" s="113"/>
      <c r="F465" s="113"/>
      <c r="G465" s="113"/>
    </row>
    <row r="466" spans="2:7" x14ac:dyDescent="0.35">
      <c r="B466" s="22"/>
      <c r="E466" s="113"/>
      <c r="F466" s="113"/>
      <c r="G466" s="113"/>
    </row>
    <row r="467" spans="2:7" x14ac:dyDescent="0.35">
      <c r="B467" s="22"/>
      <c r="E467" s="113"/>
      <c r="F467" s="113"/>
      <c r="G467" s="113"/>
    </row>
    <row r="468" spans="2:7" x14ac:dyDescent="0.35">
      <c r="B468" s="22"/>
      <c r="E468" s="113"/>
      <c r="F468" s="113"/>
      <c r="G468" s="113"/>
    </row>
    <row r="469" spans="2:7" x14ac:dyDescent="0.35">
      <c r="B469" s="22"/>
      <c r="E469" s="113"/>
      <c r="F469" s="113"/>
      <c r="G469" s="113"/>
    </row>
    <row r="470" spans="2:7" x14ac:dyDescent="0.35">
      <c r="B470" s="22"/>
      <c r="E470" s="113"/>
      <c r="F470" s="113"/>
      <c r="G470" s="113"/>
    </row>
    <row r="471" spans="2:7" x14ac:dyDescent="0.35">
      <c r="B471" s="22"/>
      <c r="E471" s="113"/>
      <c r="F471" s="113"/>
      <c r="G471" s="113"/>
    </row>
    <row r="472" spans="2:7" x14ac:dyDescent="0.35">
      <c r="B472" s="22"/>
      <c r="E472" s="113"/>
      <c r="F472" s="113"/>
      <c r="G472" s="113"/>
    </row>
    <row r="473" spans="2:7" x14ac:dyDescent="0.35">
      <c r="B473" s="22"/>
      <c r="E473" s="113"/>
      <c r="F473" s="113"/>
      <c r="G473" s="113"/>
    </row>
    <row r="474" spans="2:7" x14ac:dyDescent="0.35">
      <c r="B474" s="22"/>
      <c r="E474" s="113"/>
      <c r="F474" s="113"/>
      <c r="G474" s="113"/>
    </row>
    <row r="475" spans="2:7" x14ac:dyDescent="0.35">
      <c r="B475" s="22"/>
      <c r="E475" s="113"/>
      <c r="F475" s="113"/>
      <c r="G475" s="113"/>
    </row>
    <row r="476" spans="2:7" x14ac:dyDescent="0.35">
      <c r="B476" s="22"/>
      <c r="E476" s="113"/>
      <c r="F476" s="113"/>
      <c r="G476" s="113"/>
    </row>
    <row r="477" spans="2:7" x14ac:dyDescent="0.35">
      <c r="B477" s="22"/>
      <c r="E477" s="113"/>
      <c r="F477" s="113"/>
      <c r="G477" s="113"/>
    </row>
    <row r="478" spans="2:7" x14ac:dyDescent="0.35">
      <c r="B478" s="22"/>
      <c r="E478" s="113"/>
      <c r="F478" s="113"/>
      <c r="G478" s="113"/>
    </row>
    <row r="479" spans="2:7" x14ac:dyDescent="0.35">
      <c r="B479" s="22"/>
      <c r="E479" s="113"/>
      <c r="F479" s="113"/>
      <c r="G479" s="113"/>
    </row>
    <row r="480" spans="2:7" x14ac:dyDescent="0.35">
      <c r="B480" s="22"/>
      <c r="E480" s="113"/>
      <c r="F480" s="113"/>
      <c r="G480" s="113"/>
    </row>
    <row r="481" spans="2:7" x14ac:dyDescent="0.35">
      <c r="B481" s="22"/>
      <c r="E481" s="113"/>
      <c r="F481" s="113"/>
      <c r="G481" s="113"/>
    </row>
    <row r="482" spans="2:7" x14ac:dyDescent="0.35">
      <c r="B482" s="22"/>
      <c r="E482" s="113"/>
      <c r="F482" s="113"/>
      <c r="G482" s="113"/>
    </row>
    <row r="483" spans="2:7" x14ac:dyDescent="0.35">
      <c r="B483" s="22"/>
      <c r="E483" s="113"/>
      <c r="F483" s="113"/>
      <c r="G483" s="113"/>
    </row>
    <row r="484" spans="2:7" x14ac:dyDescent="0.35">
      <c r="B484" s="22"/>
      <c r="E484" s="113"/>
      <c r="F484" s="113"/>
      <c r="G484" s="113"/>
    </row>
    <row r="485" spans="2:7" x14ac:dyDescent="0.35">
      <c r="B485" s="22"/>
      <c r="E485" s="113"/>
      <c r="F485" s="113"/>
      <c r="G485" s="113"/>
    </row>
    <row r="486" spans="2:7" x14ac:dyDescent="0.35">
      <c r="B486" s="22"/>
      <c r="E486" s="113"/>
      <c r="F486" s="113"/>
      <c r="G486" s="113"/>
    </row>
    <row r="487" spans="2:7" x14ac:dyDescent="0.35">
      <c r="B487" s="22"/>
      <c r="E487" s="113"/>
      <c r="F487" s="113"/>
      <c r="G487" s="113"/>
    </row>
    <row r="488" spans="2:7" x14ac:dyDescent="0.35">
      <c r="B488" s="22"/>
      <c r="E488" s="113"/>
      <c r="F488" s="113"/>
      <c r="G488" s="113"/>
    </row>
    <row r="489" spans="2:7" x14ac:dyDescent="0.35">
      <c r="B489" s="22"/>
      <c r="E489" s="113"/>
      <c r="F489" s="113"/>
      <c r="G489" s="113"/>
    </row>
    <row r="490" spans="2:7" x14ac:dyDescent="0.35">
      <c r="B490" s="22"/>
      <c r="E490" s="113"/>
      <c r="F490" s="113"/>
      <c r="G490" s="113"/>
    </row>
    <row r="491" spans="2:7" x14ac:dyDescent="0.35">
      <c r="B491" s="22"/>
      <c r="E491" s="113"/>
      <c r="F491" s="113"/>
      <c r="G491" s="113"/>
    </row>
    <row r="492" spans="2:7" x14ac:dyDescent="0.35">
      <c r="B492" s="22"/>
      <c r="E492" s="113"/>
      <c r="F492" s="113"/>
      <c r="G492" s="113"/>
    </row>
    <row r="493" spans="2:7" x14ac:dyDescent="0.35">
      <c r="B493" s="22"/>
      <c r="E493" s="113"/>
      <c r="F493" s="113"/>
      <c r="G493" s="113"/>
    </row>
    <row r="494" spans="2:7" x14ac:dyDescent="0.35">
      <c r="B494" s="22"/>
      <c r="E494" s="113"/>
      <c r="F494" s="113"/>
      <c r="G494" s="113"/>
    </row>
    <row r="495" spans="2:7" x14ac:dyDescent="0.35">
      <c r="B495" s="22"/>
      <c r="E495" s="113"/>
      <c r="F495" s="113"/>
      <c r="G495" s="113"/>
    </row>
    <row r="496" spans="2:7" x14ac:dyDescent="0.35">
      <c r="B496" s="22"/>
      <c r="E496" s="113"/>
      <c r="F496" s="113"/>
      <c r="G496" s="113"/>
    </row>
    <row r="497" spans="2:7" x14ac:dyDescent="0.35">
      <c r="B497" s="22"/>
      <c r="E497" s="113"/>
      <c r="F497" s="113"/>
      <c r="G497" s="113"/>
    </row>
    <row r="498" spans="2:7" x14ac:dyDescent="0.35">
      <c r="B498" s="22"/>
      <c r="E498" s="113"/>
      <c r="F498" s="113"/>
      <c r="G498" s="113"/>
    </row>
    <row r="499" spans="2:7" x14ac:dyDescent="0.35">
      <c r="B499" s="22"/>
      <c r="E499" s="113"/>
      <c r="F499" s="113"/>
      <c r="G499" s="113"/>
    </row>
    <row r="500" spans="2:7" x14ac:dyDescent="0.35">
      <c r="B500" s="22"/>
      <c r="E500" s="113"/>
      <c r="F500" s="113"/>
      <c r="G500" s="113"/>
    </row>
    <row r="501" spans="2:7" x14ac:dyDescent="0.35">
      <c r="B501" s="22"/>
      <c r="E501" s="113"/>
      <c r="F501" s="113"/>
      <c r="G501" s="113"/>
    </row>
    <row r="502" spans="2:7" x14ac:dyDescent="0.35">
      <c r="B502" s="22"/>
      <c r="E502" s="113"/>
      <c r="F502" s="113"/>
      <c r="G502" s="113"/>
    </row>
    <row r="503" spans="2:7" x14ac:dyDescent="0.35">
      <c r="B503" s="22"/>
      <c r="E503" s="113"/>
      <c r="F503" s="113"/>
      <c r="G503" s="113"/>
    </row>
    <row r="504" spans="2:7" x14ac:dyDescent="0.35">
      <c r="B504" s="22"/>
      <c r="E504" s="113"/>
      <c r="F504" s="113"/>
      <c r="G504" s="113"/>
    </row>
    <row r="505" spans="2:7" x14ac:dyDescent="0.35">
      <c r="B505" s="22"/>
      <c r="E505" s="113"/>
      <c r="F505" s="113"/>
      <c r="G505" s="113"/>
    </row>
    <row r="506" spans="2:7" x14ac:dyDescent="0.35">
      <c r="B506" s="22"/>
      <c r="E506" s="113"/>
      <c r="F506" s="113"/>
      <c r="G506" s="113"/>
    </row>
    <row r="507" spans="2:7" x14ac:dyDescent="0.35">
      <c r="B507" s="22"/>
      <c r="E507" s="113"/>
      <c r="F507" s="113"/>
      <c r="G507" s="113"/>
    </row>
    <row r="508" spans="2:7" x14ac:dyDescent="0.35">
      <c r="B508" s="22"/>
      <c r="E508" s="113"/>
      <c r="F508" s="113"/>
      <c r="G508" s="113"/>
    </row>
    <row r="509" spans="2:7" x14ac:dyDescent="0.35">
      <c r="B509" s="22"/>
      <c r="E509" s="113"/>
      <c r="F509" s="113"/>
      <c r="G509" s="113"/>
    </row>
    <row r="510" spans="2:7" x14ac:dyDescent="0.35">
      <c r="B510" s="22"/>
      <c r="E510" s="113"/>
      <c r="F510" s="113"/>
      <c r="G510" s="113"/>
    </row>
    <row r="511" spans="2:7" x14ac:dyDescent="0.35">
      <c r="B511" s="22"/>
      <c r="E511" s="113"/>
      <c r="F511" s="113"/>
      <c r="G511" s="113"/>
    </row>
    <row r="512" spans="2:7" x14ac:dyDescent="0.35">
      <c r="B512" s="22"/>
      <c r="E512" s="113"/>
      <c r="F512" s="113"/>
      <c r="G512" s="113"/>
    </row>
    <row r="513" spans="2:7" x14ac:dyDescent="0.35">
      <c r="B513" s="22"/>
      <c r="E513" s="113"/>
      <c r="F513" s="113"/>
      <c r="G513" s="113"/>
    </row>
    <row r="514" spans="2:7" x14ac:dyDescent="0.35">
      <c r="B514" s="22"/>
      <c r="E514" s="113"/>
      <c r="F514" s="113"/>
      <c r="G514" s="113"/>
    </row>
    <row r="515" spans="2:7" x14ac:dyDescent="0.35">
      <c r="B515" s="22"/>
      <c r="E515" s="113"/>
      <c r="F515" s="113"/>
      <c r="G515" s="113"/>
    </row>
    <row r="516" spans="2:7" x14ac:dyDescent="0.35">
      <c r="B516" s="22"/>
      <c r="E516" s="113"/>
      <c r="F516" s="113"/>
      <c r="G516" s="113"/>
    </row>
    <row r="517" spans="2:7" x14ac:dyDescent="0.35">
      <c r="B517" s="22"/>
      <c r="E517" s="113"/>
      <c r="F517" s="113"/>
      <c r="G517" s="113"/>
    </row>
    <row r="518" spans="2:7" x14ac:dyDescent="0.35">
      <c r="B518" s="22"/>
      <c r="E518" s="113"/>
      <c r="F518" s="113"/>
      <c r="G518" s="113"/>
    </row>
    <row r="519" spans="2:7" x14ac:dyDescent="0.35">
      <c r="B519" s="22"/>
      <c r="E519" s="113"/>
      <c r="F519" s="113"/>
      <c r="G519" s="113"/>
    </row>
    <row r="520" spans="2:7" x14ac:dyDescent="0.35">
      <c r="B520" s="22"/>
      <c r="E520" s="113"/>
      <c r="F520" s="113"/>
      <c r="G520" s="113"/>
    </row>
    <row r="521" spans="2:7" x14ac:dyDescent="0.35">
      <c r="B521" s="22"/>
      <c r="E521" s="113"/>
      <c r="F521" s="113"/>
      <c r="G521" s="113"/>
    </row>
    <row r="522" spans="2:7" x14ac:dyDescent="0.35">
      <c r="B522" s="22"/>
      <c r="E522" s="113"/>
      <c r="F522" s="113"/>
      <c r="G522" s="113"/>
    </row>
    <row r="523" spans="2:7" x14ac:dyDescent="0.35">
      <c r="B523" s="22"/>
      <c r="E523" s="113"/>
      <c r="F523" s="113"/>
      <c r="G523" s="113"/>
    </row>
    <row r="524" spans="2:7" x14ac:dyDescent="0.35">
      <c r="B524" s="22"/>
      <c r="E524" s="113"/>
      <c r="F524" s="113"/>
      <c r="G524" s="113"/>
    </row>
    <row r="525" spans="2:7" x14ac:dyDescent="0.35">
      <c r="B525" s="22"/>
      <c r="E525" s="113"/>
      <c r="F525" s="113"/>
      <c r="G525" s="113"/>
    </row>
    <row r="526" spans="2:7" x14ac:dyDescent="0.35">
      <c r="B526" s="22"/>
      <c r="E526" s="113"/>
      <c r="F526" s="113"/>
      <c r="G526" s="113"/>
    </row>
    <row r="527" spans="2:7" x14ac:dyDescent="0.35">
      <c r="B527" s="22"/>
      <c r="E527" s="113"/>
      <c r="F527" s="113"/>
      <c r="G527" s="113"/>
    </row>
    <row r="528" spans="2:7" x14ac:dyDescent="0.35">
      <c r="B528" s="22"/>
      <c r="E528" s="113"/>
      <c r="F528" s="113"/>
      <c r="G528" s="113"/>
    </row>
    <row r="529" spans="2:7" x14ac:dyDescent="0.35">
      <c r="B529" s="22"/>
      <c r="E529" s="113"/>
      <c r="F529" s="113"/>
      <c r="G529" s="113"/>
    </row>
    <row r="530" spans="2:7" x14ac:dyDescent="0.35">
      <c r="B530" s="22"/>
      <c r="E530" s="113"/>
      <c r="F530" s="113"/>
      <c r="G530" s="113"/>
    </row>
    <row r="531" spans="2:7" x14ac:dyDescent="0.35">
      <c r="B531" s="22"/>
      <c r="E531" s="113"/>
      <c r="F531" s="113"/>
      <c r="G531" s="113"/>
    </row>
    <row r="532" spans="2:7" x14ac:dyDescent="0.35">
      <c r="B532" s="22"/>
      <c r="E532" s="113"/>
      <c r="F532" s="113"/>
      <c r="G532" s="113"/>
    </row>
    <row r="533" spans="2:7" x14ac:dyDescent="0.35">
      <c r="B533" s="22"/>
      <c r="E533" s="113"/>
      <c r="F533" s="113"/>
      <c r="G533" s="113"/>
    </row>
    <row r="534" spans="2:7" x14ac:dyDescent="0.35">
      <c r="B534" s="22"/>
      <c r="E534" s="113"/>
      <c r="F534" s="113"/>
      <c r="G534" s="113"/>
    </row>
    <row r="535" spans="2:7" x14ac:dyDescent="0.35">
      <c r="B535" s="22"/>
      <c r="E535" s="113"/>
      <c r="F535" s="113"/>
      <c r="G535" s="113"/>
    </row>
    <row r="536" spans="2:7" x14ac:dyDescent="0.35">
      <c r="B536" s="22"/>
      <c r="E536" s="113"/>
      <c r="F536" s="113"/>
      <c r="G536" s="113"/>
    </row>
    <row r="537" spans="2:7" x14ac:dyDescent="0.35">
      <c r="B537" s="22"/>
      <c r="E537" s="113"/>
      <c r="F537" s="113"/>
      <c r="G537" s="113"/>
    </row>
    <row r="538" spans="2:7" x14ac:dyDescent="0.35">
      <c r="B538" s="22"/>
      <c r="E538" s="113"/>
      <c r="F538" s="113"/>
      <c r="G538" s="113"/>
    </row>
    <row r="539" spans="2:7" x14ac:dyDescent="0.35">
      <c r="B539" s="22"/>
      <c r="E539" s="113"/>
      <c r="F539" s="113"/>
      <c r="G539" s="113"/>
    </row>
    <row r="540" spans="2:7" x14ac:dyDescent="0.35">
      <c r="B540" s="22"/>
      <c r="E540" s="113"/>
      <c r="F540" s="113"/>
      <c r="G540" s="113"/>
    </row>
    <row r="541" spans="2:7" x14ac:dyDescent="0.35">
      <c r="B541" s="22"/>
      <c r="E541" s="113"/>
      <c r="F541" s="113"/>
      <c r="G541" s="113"/>
    </row>
    <row r="542" spans="2:7" x14ac:dyDescent="0.35">
      <c r="B542" s="22"/>
      <c r="E542" s="113"/>
      <c r="F542" s="113"/>
      <c r="G542" s="113"/>
    </row>
    <row r="543" spans="2:7" x14ac:dyDescent="0.35">
      <c r="B543" s="22"/>
      <c r="E543" s="113"/>
      <c r="F543" s="113"/>
      <c r="G543" s="113"/>
    </row>
    <row r="544" spans="2:7" x14ac:dyDescent="0.35">
      <c r="B544" s="22"/>
      <c r="E544" s="113"/>
      <c r="F544" s="113"/>
      <c r="G544" s="113"/>
    </row>
    <row r="545" spans="2:7" x14ac:dyDescent="0.35">
      <c r="B545" s="22"/>
      <c r="E545" s="113"/>
      <c r="F545" s="113"/>
      <c r="G545" s="113"/>
    </row>
    <row r="546" spans="2:7" x14ac:dyDescent="0.35">
      <c r="B546" s="22"/>
      <c r="E546" s="113"/>
      <c r="F546" s="113"/>
      <c r="G546" s="113"/>
    </row>
    <row r="547" spans="2:7" x14ac:dyDescent="0.35">
      <c r="B547" s="22"/>
      <c r="E547" s="113"/>
      <c r="F547" s="113"/>
      <c r="G547" s="113"/>
    </row>
    <row r="548" spans="2:7" x14ac:dyDescent="0.35">
      <c r="B548" s="22"/>
      <c r="E548" s="113"/>
      <c r="F548" s="113"/>
      <c r="G548" s="113"/>
    </row>
    <row r="549" spans="2:7" x14ac:dyDescent="0.35">
      <c r="B549" s="22"/>
      <c r="E549" s="113"/>
      <c r="F549" s="113"/>
      <c r="G549" s="113"/>
    </row>
    <row r="550" spans="2:7" x14ac:dyDescent="0.35">
      <c r="B550" s="22"/>
      <c r="E550" s="113"/>
      <c r="F550" s="113"/>
      <c r="G550" s="113"/>
    </row>
    <row r="551" spans="2:7" x14ac:dyDescent="0.35">
      <c r="B551" s="22"/>
      <c r="E551" s="113"/>
      <c r="F551" s="113"/>
      <c r="G551" s="113"/>
    </row>
    <row r="552" spans="2:7" x14ac:dyDescent="0.35">
      <c r="B552" s="22"/>
      <c r="E552" s="113"/>
      <c r="F552" s="113"/>
      <c r="G552" s="113"/>
    </row>
    <row r="553" spans="2:7" x14ac:dyDescent="0.35">
      <c r="B553" s="22"/>
      <c r="E553" s="113"/>
      <c r="F553" s="113"/>
      <c r="G553" s="113"/>
    </row>
    <row r="554" spans="2:7" x14ac:dyDescent="0.35">
      <c r="B554" s="22"/>
      <c r="E554" s="113"/>
      <c r="F554" s="113"/>
      <c r="G554" s="113"/>
    </row>
    <row r="555" spans="2:7" x14ac:dyDescent="0.35">
      <c r="B555" s="22"/>
      <c r="E555" s="113"/>
      <c r="F555" s="113"/>
      <c r="G555" s="113"/>
    </row>
    <row r="556" spans="2:7" x14ac:dyDescent="0.35">
      <c r="B556" s="22"/>
      <c r="E556" s="113"/>
      <c r="F556" s="113"/>
      <c r="G556" s="113"/>
    </row>
    <row r="557" spans="2:7" x14ac:dyDescent="0.35">
      <c r="B557" s="22"/>
      <c r="E557" s="113"/>
      <c r="F557" s="113"/>
      <c r="G557" s="113"/>
    </row>
    <row r="558" spans="2:7" x14ac:dyDescent="0.35">
      <c r="B558" s="22"/>
      <c r="E558" s="113"/>
      <c r="F558" s="113"/>
      <c r="G558" s="113"/>
    </row>
    <row r="559" spans="2:7" x14ac:dyDescent="0.35">
      <c r="B559" s="22"/>
      <c r="E559" s="113"/>
      <c r="F559" s="113"/>
      <c r="G559" s="113"/>
    </row>
    <row r="560" spans="2:7" x14ac:dyDescent="0.35">
      <c r="B560" s="22"/>
      <c r="E560" s="113"/>
      <c r="F560" s="113"/>
      <c r="G560" s="113"/>
    </row>
    <row r="561" spans="2:7" x14ac:dyDescent="0.35">
      <c r="B561" s="22"/>
      <c r="E561" s="113"/>
      <c r="F561" s="113"/>
      <c r="G561" s="113"/>
    </row>
    <row r="562" spans="2:7" x14ac:dyDescent="0.35">
      <c r="B562" s="22"/>
      <c r="E562" s="113"/>
      <c r="F562" s="113"/>
      <c r="G562" s="113"/>
    </row>
    <row r="563" spans="2:7" x14ac:dyDescent="0.35">
      <c r="B563" s="22"/>
      <c r="E563" s="113"/>
      <c r="F563" s="113"/>
      <c r="G563" s="113"/>
    </row>
    <row r="564" spans="2:7" x14ac:dyDescent="0.35">
      <c r="B564" s="22"/>
      <c r="E564" s="113"/>
      <c r="F564" s="113"/>
      <c r="G564" s="113"/>
    </row>
    <row r="565" spans="2:7" x14ac:dyDescent="0.35">
      <c r="B565" s="22"/>
      <c r="E565" s="113"/>
      <c r="F565" s="113"/>
      <c r="G565" s="113"/>
    </row>
    <row r="566" spans="2:7" x14ac:dyDescent="0.35">
      <c r="B566" s="22"/>
      <c r="E566" s="113"/>
      <c r="F566" s="113"/>
      <c r="G566" s="113"/>
    </row>
    <row r="567" spans="2:7" x14ac:dyDescent="0.35">
      <c r="B567" s="22"/>
      <c r="E567" s="113"/>
      <c r="F567" s="113"/>
      <c r="G567" s="113"/>
    </row>
    <row r="568" spans="2:7" x14ac:dyDescent="0.35">
      <c r="B568" s="22"/>
      <c r="E568" s="113"/>
      <c r="F568" s="113"/>
      <c r="G568" s="113"/>
    </row>
    <row r="569" spans="2:7" x14ac:dyDescent="0.35">
      <c r="B569" s="22"/>
      <c r="E569" s="113"/>
      <c r="F569" s="113"/>
      <c r="G569" s="113"/>
    </row>
    <row r="570" spans="2:7" x14ac:dyDescent="0.35">
      <c r="B570" s="22"/>
      <c r="E570" s="113"/>
      <c r="F570" s="113"/>
      <c r="G570" s="113"/>
    </row>
    <row r="571" spans="2:7" x14ac:dyDescent="0.35">
      <c r="B571" s="22"/>
      <c r="E571" s="113"/>
      <c r="F571" s="113"/>
      <c r="G571" s="113"/>
    </row>
    <row r="572" spans="2:7" x14ac:dyDescent="0.35">
      <c r="B572" s="22"/>
      <c r="E572" s="113"/>
      <c r="F572" s="113"/>
      <c r="G572" s="113"/>
    </row>
    <row r="573" spans="2:7" x14ac:dyDescent="0.35">
      <c r="B573" s="22"/>
      <c r="E573" s="113"/>
      <c r="F573" s="113"/>
      <c r="G573" s="113"/>
    </row>
    <row r="574" spans="2:7" x14ac:dyDescent="0.35">
      <c r="B574" s="22"/>
      <c r="E574" s="113"/>
      <c r="F574" s="113"/>
      <c r="G574" s="113"/>
    </row>
    <row r="575" spans="2:7" x14ac:dyDescent="0.35">
      <c r="B575" s="22"/>
      <c r="E575" s="113"/>
      <c r="F575" s="113"/>
      <c r="G575" s="113"/>
    </row>
    <row r="576" spans="2:7" x14ac:dyDescent="0.35">
      <c r="B576" s="22"/>
      <c r="E576" s="113"/>
      <c r="F576" s="113"/>
      <c r="G576" s="113"/>
    </row>
    <row r="577" spans="2:7" x14ac:dyDescent="0.35">
      <c r="B577" s="22"/>
      <c r="E577" s="113"/>
      <c r="F577" s="113"/>
      <c r="G577" s="113"/>
    </row>
    <row r="578" spans="2:7" x14ac:dyDescent="0.35">
      <c r="B578" s="22"/>
      <c r="E578" s="113"/>
      <c r="F578" s="113"/>
      <c r="G578" s="113"/>
    </row>
    <row r="579" spans="2:7" x14ac:dyDescent="0.35">
      <c r="B579" s="22"/>
      <c r="E579" s="113"/>
      <c r="F579" s="113"/>
      <c r="G579" s="113"/>
    </row>
    <row r="580" spans="2:7" x14ac:dyDescent="0.35">
      <c r="B580" s="22"/>
      <c r="E580" s="113"/>
      <c r="F580" s="113"/>
      <c r="G580" s="113"/>
    </row>
    <row r="581" spans="2:7" x14ac:dyDescent="0.35">
      <c r="B581" s="22"/>
      <c r="E581" s="113"/>
      <c r="F581" s="113"/>
      <c r="G581" s="113"/>
    </row>
    <row r="582" spans="2:7" x14ac:dyDescent="0.35">
      <c r="B582" s="22"/>
      <c r="E582" s="113"/>
      <c r="F582" s="113"/>
      <c r="G582" s="113"/>
    </row>
    <row r="583" spans="2:7" x14ac:dyDescent="0.35">
      <c r="B583" s="22"/>
      <c r="E583" s="113"/>
      <c r="F583" s="113"/>
      <c r="G583" s="113"/>
    </row>
    <row r="584" spans="2:7" x14ac:dyDescent="0.35">
      <c r="B584" s="22"/>
      <c r="E584" s="113"/>
      <c r="F584" s="113"/>
      <c r="G584" s="113"/>
    </row>
    <row r="585" spans="2:7" x14ac:dyDescent="0.35">
      <c r="B585" s="22"/>
      <c r="E585" s="113"/>
      <c r="F585" s="113"/>
      <c r="G585" s="113"/>
    </row>
    <row r="586" spans="2:7" x14ac:dyDescent="0.35">
      <c r="B586" s="22"/>
      <c r="E586" s="113"/>
      <c r="F586" s="113"/>
      <c r="G586" s="113"/>
    </row>
    <row r="587" spans="2:7" x14ac:dyDescent="0.35">
      <c r="B587" s="22"/>
      <c r="E587" s="113"/>
      <c r="F587" s="113"/>
      <c r="G587" s="113"/>
    </row>
    <row r="588" spans="2:7" x14ac:dyDescent="0.35">
      <c r="B588" s="22"/>
      <c r="E588" s="113"/>
      <c r="F588" s="113"/>
      <c r="G588" s="113"/>
    </row>
    <row r="589" spans="2:7" x14ac:dyDescent="0.35">
      <c r="B589" s="22"/>
      <c r="E589" s="113"/>
      <c r="F589" s="113"/>
      <c r="G589" s="113"/>
    </row>
    <row r="590" spans="2:7" x14ac:dyDescent="0.35">
      <c r="B590" s="22"/>
      <c r="E590" s="113"/>
      <c r="F590" s="113"/>
      <c r="G590" s="113"/>
    </row>
    <row r="591" spans="2:7" x14ac:dyDescent="0.35">
      <c r="B591" s="22"/>
      <c r="E591" s="113"/>
      <c r="F591" s="113"/>
      <c r="G591" s="113"/>
    </row>
    <row r="592" spans="2:7" x14ac:dyDescent="0.35">
      <c r="B592" s="22"/>
      <c r="E592" s="113"/>
      <c r="F592" s="113"/>
      <c r="G592" s="113"/>
    </row>
    <row r="593" spans="2:7" x14ac:dyDescent="0.35">
      <c r="B593" s="22"/>
      <c r="E593" s="113"/>
      <c r="F593" s="113"/>
      <c r="G593" s="113"/>
    </row>
    <row r="594" spans="2:7" x14ac:dyDescent="0.35">
      <c r="B594" s="22"/>
      <c r="E594" s="113"/>
      <c r="F594" s="113"/>
      <c r="G594" s="113"/>
    </row>
    <row r="595" spans="2:7" x14ac:dyDescent="0.35">
      <c r="B595" s="22"/>
      <c r="E595" s="113"/>
      <c r="F595" s="113"/>
      <c r="G595" s="113"/>
    </row>
    <row r="596" spans="2:7" x14ac:dyDescent="0.35">
      <c r="B596" s="22"/>
      <c r="E596" s="113"/>
      <c r="F596" s="113"/>
      <c r="G596" s="113"/>
    </row>
    <row r="597" spans="2:7" x14ac:dyDescent="0.35">
      <c r="B597" s="22"/>
      <c r="E597" s="113"/>
      <c r="F597" s="113"/>
      <c r="G597" s="113"/>
    </row>
    <row r="598" spans="2:7" x14ac:dyDescent="0.35">
      <c r="B598" s="22"/>
      <c r="E598" s="113"/>
      <c r="F598" s="113"/>
      <c r="G598" s="113"/>
    </row>
    <row r="599" spans="2:7" x14ac:dyDescent="0.35">
      <c r="B599" s="22"/>
      <c r="E599" s="113"/>
      <c r="F599" s="113"/>
      <c r="G599" s="113"/>
    </row>
    <row r="600" spans="2:7" x14ac:dyDescent="0.35">
      <c r="B600" s="22"/>
      <c r="E600" s="113"/>
      <c r="F600" s="113"/>
      <c r="G600" s="113"/>
    </row>
    <row r="601" spans="2:7" x14ac:dyDescent="0.35">
      <c r="B601" s="22"/>
      <c r="E601" s="113"/>
      <c r="F601" s="113"/>
      <c r="G601" s="113"/>
    </row>
    <row r="602" spans="2:7" x14ac:dyDescent="0.35">
      <c r="B602" s="22"/>
      <c r="E602" s="113"/>
      <c r="F602" s="113"/>
      <c r="G602" s="113"/>
    </row>
    <row r="603" spans="2:7" x14ac:dyDescent="0.35">
      <c r="B603" s="22"/>
      <c r="E603" s="113"/>
      <c r="F603" s="113"/>
      <c r="G603" s="113"/>
    </row>
    <row r="604" spans="2:7" x14ac:dyDescent="0.35">
      <c r="B604" s="22"/>
      <c r="E604" s="113"/>
      <c r="F604" s="113"/>
      <c r="G604" s="113"/>
    </row>
    <row r="605" spans="2:7" x14ac:dyDescent="0.35">
      <c r="B605" s="22"/>
      <c r="E605" s="113"/>
      <c r="F605" s="113"/>
      <c r="G605" s="113"/>
    </row>
    <row r="606" spans="2:7" x14ac:dyDescent="0.35">
      <c r="B606" s="22"/>
      <c r="E606" s="113"/>
      <c r="F606" s="113"/>
      <c r="G606" s="113"/>
    </row>
    <row r="607" spans="2:7" x14ac:dyDescent="0.35">
      <c r="B607" s="22"/>
      <c r="E607" s="113"/>
      <c r="F607" s="113"/>
      <c r="G607" s="113"/>
    </row>
    <row r="608" spans="2:7" x14ac:dyDescent="0.35">
      <c r="B608" s="22"/>
      <c r="E608" s="113"/>
      <c r="F608" s="113"/>
      <c r="G608" s="113"/>
    </row>
    <row r="609" spans="2:7" x14ac:dyDescent="0.35">
      <c r="B609" s="22"/>
      <c r="E609" s="113"/>
      <c r="F609" s="113"/>
      <c r="G609" s="113"/>
    </row>
    <row r="610" spans="2:7" x14ac:dyDescent="0.35">
      <c r="B610" s="22"/>
      <c r="E610" s="113"/>
      <c r="F610" s="113"/>
      <c r="G610" s="113"/>
    </row>
    <row r="611" spans="2:7" x14ac:dyDescent="0.35">
      <c r="B611" s="22"/>
      <c r="E611" s="113"/>
      <c r="F611" s="113"/>
      <c r="G611" s="113"/>
    </row>
    <row r="612" spans="2:7" x14ac:dyDescent="0.35">
      <c r="B612" s="22"/>
      <c r="E612" s="113"/>
      <c r="F612" s="113"/>
      <c r="G612" s="113"/>
    </row>
    <row r="613" spans="2:7" x14ac:dyDescent="0.35">
      <c r="B613" s="22"/>
      <c r="E613" s="113"/>
      <c r="F613" s="113"/>
      <c r="G613" s="113"/>
    </row>
    <row r="614" spans="2:7" x14ac:dyDescent="0.35">
      <c r="B614" s="22"/>
      <c r="E614" s="113"/>
      <c r="F614" s="113"/>
      <c r="G614" s="113"/>
    </row>
    <row r="615" spans="2:7" x14ac:dyDescent="0.35">
      <c r="B615" s="22"/>
      <c r="E615" s="113"/>
      <c r="F615" s="113"/>
      <c r="G615" s="113"/>
    </row>
    <row r="616" spans="2:7" x14ac:dyDescent="0.35">
      <c r="B616" s="22"/>
      <c r="E616" s="113"/>
      <c r="F616" s="113"/>
      <c r="G616" s="113"/>
    </row>
    <row r="617" spans="2:7" x14ac:dyDescent="0.35">
      <c r="B617" s="22"/>
      <c r="E617" s="113"/>
      <c r="F617" s="113"/>
      <c r="G617" s="113"/>
    </row>
    <row r="618" spans="2:7" x14ac:dyDescent="0.35">
      <c r="B618" s="22"/>
      <c r="E618" s="113"/>
      <c r="F618" s="113"/>
      <c r="G618" s="113"/>
    </row>
    <row r="619" spans="2:7" x14ac:dyDescent="0.35">
      <c r="B619" s="22"/>
      <c r="E619" s="113"/>
      <c r="F619" s="113"/>
      <c r="G619" s="113"/>
    </row>
    <row r="620" spans="2:7" x14ac:dyDescent="0.35">
      <c r="B620" s="22"/>
      <c r="E620" s="113"/>
      <c r="F620" s="113"/>
      <c r="G620" s="113"/>
    </row>
    <row r="621" spans="2:7" x14ac:dyDescent="0.35">
      <c r="B621" s="22"/>
      <c r="E621" s="113"/>
      <c r="F621" s="113"/>
      <c r="G621" s="113"/>
    </row>
    <row r="622" spans="2:7" x14ac:dyDescent="0.35">
      <c r="B622" s="22"/>
      <c r="E622" s="113"/>
      <c r="F622" s="113"/>
      <c r="G622" s="113"/>
    </row>
    <row r="623" spans="2:7" x14ac:dyDescent="0.35">
      <c r="B623" s="22"/>
      <c r="E623" s="113"/>
      <c r="F623" s="113"/>
      <c r="G623" s="113"/>
    </row>
    <row r="624" spans="2:7" x14ac:dyDescent="0.35">
      <c r="B624" s="22"/>
      <c r="E624" s="113"/>
      <c r="F624" s="113"/>
      <c r="G624" s="113"/>
    </row>
    <row r="625" spans="2:7" x14ac:dyDescent="0.35">
      <c r="B625" s="22"/>
      <c r="E625" s="113"/>
      <c r="F625" s="113"/>
      <c r="G625" s="113"/>
    </row>
    <row r="626" spans="2:7" x14ac:dyDescent="0.35">
      <c r="B626" s="22"/>
      <c r="E626" s="113"/>
      <c r="F626" s="113"/>
      <c r="G626" s="113"/>
    </row>
    <row r="627" spans="2:7" x14ac:dyDescent="0.35">
      <c r="B627" s="22"/>
      <c r="E627" s="113"/>
      <c r="F627" s="113"/>
      <c r="G627" s="113"/>
    </row>
    <row r="628" spans="2:7" x14ac:dyDescent="0.35">
      <c r="B628" s="22"/>
      <c r="E628" s="113"/>
      <c r="F628" s="113"/>
      <c r="G628" s="113"/>
    </row>
    <row r="629" spans="2:7" x14ac:dyDescent="0.35">
      <c r="B629" s="22"/>
      <c r="E629" s="113"/>
      <c r="F629" s="113"/>
      <c r="G629" s="113"/>
    </row>
    <row r="630" spans="2:7" x14ac:dyDescent="0.35">
      <c r="B630" s="22"/>
      <c r="E630" s="113"/>
      <c r="F630" s="113"/>
      <c r="G630" s="113"/>
    </row>
    <row r="631" spans="2:7" x14ac:dyDescent="0.35">
      <c r="B631" s="22"/>
      <c r="E631" s="113"/>
      <c r="F631" s="113"/>
      <c r="G631" s="113"/>
    </row>
    <row r="632" spans="2:7" x14ac:dyDescent="0.35">
      <c r="B632" s="22"/>
      <c r="E632" s="113"/>
      <c r="F632" s="113"/>
      <c r="G632" s="113"/>
    </row>
    <row r="633" spans="2:7" x14ac:dyDescent="0.35">
      <c r="B633" s="22"/>
      <c r="E633" s="113"/>
      <c r="F633" s="113"/>
      <c r="G633" s="113"/>
    </row>
    <row r="634" spans="2:7" x14ac:dyDescent="0.35">
      <c r="B634" s="22"/>
      <c r="E634" s="113"/>
      <c r="F634" s="113"/>
      <c r="G634" s="113"/>
    </row>
    <row r="635" spans="2:7" x14ac:dyDescent="0.35">
      <c r="B635" s="22"/>
      <c r="E635" s="113"/>
      <c r="F635" s="113"/>
      <c r="G635" s="113"/>
    </row>
    <row r="636" spans="2:7" x14ac:dyDescent="0.35">
      <c r="B636" s="22"/>
      <c r="E636" s="113"/>
      <c r="F636" s="113"/>
      <c r="G636" s="113"/>
    </row>
    <row r="637" spans="2:7" x14ac:dyDescent="0.35">
      <c r="B637" s="22"/>
      <c r="E637" s="113"/>
      <c r="F637" s="113"/>
      <c r="G637" s="113"/>
    </row>
    <row r="638" spans="2:7" x14ac:dyDescent="0.35">
      <c r="B638" s="22"/>
      <c r="E638" s="113"/>
      <c r="F638" s="113"/>
      <c r="G638" s="113"/>
    </row>
    <row r="639" spans="2:7" x14ac:dyDescent="0.35">
      <c r="B639" s="22"/>
      <c r="E639" s="113"/>
      <c r="F639" s="113"/>
      <c r="G639" s="113"/>
    </row>
    <row r="640" spans="2:7" x14ac:dyDescent="0.35">
      <c r="B640" s="22"/>
      <c r="E640" s="113"/>
      <c r="F640" s="113"/>
      <c r="G640" s="113"/>
    </row>
    <row r="641" spans="2:7" x14ac:dyDescent="0.35">
      <c r="B641" s="22"/>
      <c r="E641" s="113"/>
      <c r="F641" s="113"/>
      <c r="G641" s="113"/>
    </row>
    <row r="642" spans="2:7" x14ac:dyDescent="0.35">
      <c r="B642" s="22"/>
      <c r="E642" s="113"/>
      <c r="F642" s="113"/>
      <c r="G642" s="113"/>
    </row>
    <row r="643" spans="2:7" x14ac:dyDescent="0.35">
      <c r="B643" s="22"/>
      <c r="E643" s="113"/>
      <c r="F643" s="113"/>
      <c r="G643" s="113"/>
    </row>
    <row r="644" spans="2:7" x14ac:dyDescent="0.35">
      <c r="B644" s="22"/>
      <c r="E644" s="113"/>
      <c r="F644" s="113"/>
      <c r="G644" s="113"/>
    </row>
    <row r="645" spans="2:7" x14ac:dyDescent="0.35">
      <c r="B645" s="22"/>
      <c r="E645" s="113"/>
      <c r="F645" s="113"/>
      <c r="G645" s="113"/>
    </row>
    <row r="646" spans="2:7" x14ac:dyDescent="0.35">
      <c r="B646" s="22"/>
      <c r="E646" s="113"/>
      <c r="F646" s="113"/>
      <c r="G646" s="113"/>
    </row>
    <row r="647" spans="2:7" x14ac:dyDescent="0.35">
      <c r="B647" s="22"/>
      <c r="E647" s="113"/>
      <c r="F647" s="113"/>
      <c r="G647" s="113"/>
    </row>
    <row r="648" spans="2:7" x14ac:dyDescent="0.35">
      <c r="B648" s="22"/>
      <c r="E648" s="113"/>
      <c r="F648" s="113"/>
      <c r="G648" s="113"/>
    </row>
    <row r="649" spans="2:7" x14ac:dyDescent="0.35">
      <c r="B649" s="22"/>
      <c r="E649" s="113"/>
      <c r="F649" s="113"/>
      <c r="G649" s="113"/>
    </row>
    <row r="650" spans="2:7" x14ac:dyDescent="0.35">
      <c r="B650" s="22"/>
      <c r="E650" s="113"/>
      <c r="F650" s="113"/>
      <c r="G650" s="113"/>
    </row>
    <row r="651" spans="2:7" x14ac:dyDescent="0.35">
      <c r="B651" s="22"/>
      <c r="E651" s="113"/>
      <c r="F651" s="113"/>
      <c r="G651" s="113"/>
    </row>
    <row r="652" spans="2:7" x14ac:dyDescent="0.35">
      <c r="B652" s="22"/>
      <c r="E652" s="113"/>
      <c r="F652" s="113"/>
      <c r="G652" s="113"/>
    </row>
    <row r="653" spans="2:7" x14ac:dyDescent="0.35">
      <c r="B653" s="22"/>
      <c r="E653" s="113"/>
      <c r="F653" s="113"/>
      <c r="G653" s="113"/>
    </row>
    <row r="654" spans="2:7" x14ac:dyDescent="0.35">
      <c r="B654" s="22"/>
      <c r="E654" s="113"/>
      <c r="F654" s="113"/>
      <c r="G654" s="113"/>
    </row>
    <row r="655" spans="2:7" x14ac:dyDescent="0.35">
      <c r="B655" s="22"/>
      <c r="E655" s="113"/>
      <c r="F655" s="113"/>
      <c r="G655" s="113"/>
    </row>
    <row r="656" spans="2:7" x14ac:dyDescent="0.35">
      <c r="B656" s="22"/>
      <c r="E656" s="113"/>
      <c r="F656" s="113"/>
      <c r="G656" s="113"/>
    </row>
    <row r="657" spans="2:7" x14ac:dyDescent="0.35">
      <c r="B657" s="22"/>
      <c r="E657" s="113"/>
      <c r="F657" s="113"/>
      <c r="G657" s="113"/>
    </row>
    <row r="658" spans="2:7" x14ac:dyDescent="0.35">
      <c r="B658" s="22"/>
      <c r="E658" s="113"/>
      <c r="F658" s="113"/>
      <c r="G658" s="113"/>
    </row>
    <row r="659" spans="2:7" x14ac:dyDescent="0.35">
      <c r="B659" s="22"/>
      <c r="E659" s="113"/>
      <c r="F659" s="113"/>
      <c r="G659" s="113"/>
    </row>
    <row r="660" spans="2:7" x14ac:dyDescent="0.35">
      <c r="B660" s="22"/>
      <c r="E660" s="113"/>
      <c r="F660" s="113"/>
      <c r="G660" s="113"/>
    </row>
    <row r="661" spans="2:7" x14ac:dyDescent="0.35">
      <c r="B661" s="22"/>
      <c r="E661" s="113"/>
      <c r="F661" s="113"/>
      <c r="G661" s="113"/>
    </row>
    <row r="662" spans="2:7" x14ac:dyDescent="0.35">
      <c r="B662" s="22"/>
      <c r="E662" s="113"/>
      <c r="F662" s="113"/>
      <c r="G662" s="113"/>
    </row>
    <row r="663" spans="2:7" x14ac:dyDescent="0.35">
      <c r="B663" s="22"/>
      <c r="E663" s="113"/>
      <c r="F663" s="113"/>
      <c r="G663" s="113"/>
    </row>
    <row r="664" spans="2:7" x14ac:dyDescent="0.35">
      <c r="B664" s="22"/>
      <c r="E664" s="113"/>
      <c r="F664" s="113"/>
      <c r="G664" s="113"/>
    </row>
    <row r="665" spans="2:7" x14ac:dyDescent="0.35">
      <c r="B665" s="22"/>
      <c r="E665" s="113"/>
      <c r="F665" s="113"/>
      <c r="G665" s="113"/>
    </row>
    <row r="666" spans="2:7" x14ac:dyDescent="0.35">
      <c r="B666" s="22"/>
      <c r="E666" s="113"/>
      <c r="F666" s="113"/>
      <c r="G666" s="113"/>
    </row>
    <row r="667" spans="2:7" x14ac:dyDescent="0.35">
      <c r="B667" s="22"/>
      <c r="E667" s="113"/>
      <c r="F667" s="113"/>
      <c r="G667" s="113"/>
    </row>
    <row r="668" spans="2:7" x14ac:dyDescent="0.35">
      <c r="B668" s="22"/>
      <c r="E668" s="113"/>
      <c r="F668" s="113"/>
      <c r="G668" s="113"/>
    </row>
    <row r="669" spans="2:7" x14ac:dyDescent="0.35">
      <c r="B669" s="22"/>
      <c r="E669" s="113"/>
      <c r="F669" s="113"/>
      <c r="G669" s="113"/>
    </row>
    <row r="670" spans="2:7" x14ac:dyDescent="0.35">
      <c r="B670" s="22"/>
      <c r="E670" s="113"/>
      <c r="F670" s="113"/>
      <c r="G670" s="113"/>
    </row>
    <row r="671" spans="2:7" x14ac:dyDescent="0.35">
      <c r="B671" s="22"/>
      <c r="E671" s="113"/>
      <c r="F671" s="113"/>
      <c r="G671" s="113"/>
    </row>
    <row r="672" spans="2:7" x14ac:dyDescent="0.35">
      <c r="B672" s="22"/>
      <c r="E672" s="113"/>
      <c r="F672" s="113"/>
      <c r="G672" s="113"/>
    </row>
    <row r="673" spans="2:7" x14ac:dyDescent="0.35">
      <c r="B673" s="22"/>
      <c r="E673" s="113"/>
      <c r="F673" s="113"/>
      <c r="G673" s="113"/>
    </row>
    <row r="674" spans="2:7" x14ac:dyDescent="0.35">
      <c r="B674" s="22"/>
      <c r="E674" s="113"/>
      <c r="F674" s="113"/>
      <c r="G674" s="113"/>
    </row>
    <row r="675" spans="2:7" x14ac:dyDescent="0.35">
      <c r="B675" s="22"/>
      <c r="E675" s="113"/>
      <c r="F675" s="113"/>
      <c r="G675" s="113"/>
    </row>
    <row r="676" spans="2:7" x14ac:dyDescent="0.35">
      <c r="B676" s="22"/>
      <c r="E676" s="113"/>
      <c r="F676" s="113"/>
      <c r="G676" s="113"/>
    </row>
    <row r="677" spans="2:7" x14ac:dyDescent="0.35">
      <c r="B677" s="22"/>
      <c r="E677" s="113"/>
      <c r="F677" s="113"/>
      <c r="G677" s="113"/>
    </row>
    <row r="678" spans="2:7" x14ac:dyDescent="0.35">
      <c r="B678" s="22"/>
      <c r="E678" s="113"/>
      <c r="F678" s="113"/>
      <c r="G678" s="113"/>
    </row>
    <row r="679" spans="2:7" x14ac:dyDescent="0.35">
      <c r="B679" s="22"/>
      <c r="E679" s="113"/>
      <c r="F679" s="113"/>
      <c r="G679" s="113"/>
    </row>
    <row r="680" spans="2:7" x14ac:dyDescent="0.35">
      <c r="B680" s="22"/>
      <c r="E680" s="113"/>
      <c r="F680" s="113"/>
      <c r="G680" s="113"/>
    </row>
    <row r="681" spans="2:7" x14ac:dyDescent="0.35">
      <c r="B681" s="22"/>
      <c r="E681" s="113"/>
      <c r="F681" s="113"/>
      <c r="G681" s="113"/>
    </row>
    <row r="682" spans="2:7" x14ac:dyDescent="0.35">
      <c r="B682" s="22"/>
      <c r="E682" s="113"/>
      <c r="F682" s="113"/>
      <c r="G682" s="113"/>
    </row>
    <row r="683" spans="2:7" x14ac:dyDescent="0.35">
      <c r="B683" s="22"/>
      <c r="E683" s="113"/>
      <c r="F683" s="113"/>
      <c r="G683" s="113"/>
    </row>
    <row r="684" spans="2:7" x14ac:dyDescent="0.35">
      <c r="B684" s="22"/>
      <c r="E684" s="113"/>
      <c r="F684" s="113"/>
      <c r="G684" s="113"/>
    </row>
    <row r="685" spans="2:7" x14ac:dyDescent="0.35">
      <c r="B685" s="22"/>
      <c r="E685" s="113"/>
      <c r="F685" s="113"/>
      <c r="G685" s="113"/>
    </row>
    <row r="686" spans="2:7" x14ac:dyDescent="0.35">
      <c r="B686" s="22"/>
      <c r="E686" s="113"/>
      <c r="F686" s="113"/>
      <c r="G686" s="113"/>
    </row>
    <row r="687" spans="2:7" x14ac:dyDescent="0.35">
      <c r="B687" s="22"/>
      <c r="E687" s="113"/>
      <c r="F687" s="113"/>
      <c r="G687" s="113"/>
    </row>
    <row r="688" spans="2:7" x14ac:dyDescent="0.35">
      <c r="B688" s="22"/>
      <c r="E688" s="113"/>
      <c r="F688" s="113"/>
      <c r="G688" s="113"/>
    </row>
    <row r="689" spans="2:7" x14ac:dyDescent="0.35">
      <c r="B689" s="22"/>
      <c r="E689" s="113"/>
      <c r="F689" s="113"/>
      <c r="G689" s="113"/>
    </row>
    <row r="690" spans="2:7" x14ac:dyDescent="0.35">
      <c r="B690" s="22"/>
      <c r="E690" s="113"/>
      <c r="F690" s="113"/>
      <c r="G690" s="113"/>
    </row>
    <row r="691" spans="2:7" x14ac:dyDescent="0.35">
      <c r="B691" s="22"/>
      <c r="E691" s="113"/>
      <c r="F691" s="113"/>
      <c r="G691" s="113"/>
    </row>
    <row r="692" spans="2:7" x14ac:dyDescent="0.35">
      <c r="B692" s="22"/>
      <c r="E692" s="113"/>
      <c r="F692" s="113"/>
      <c r="G692" s="113"/>
    </row>
    <row r="693" spans="2:7" x14ac:dyDescent="0.35">
      <c r="B693" s="22"/>
      <c r="E693" s="113"/>
      <c r="F693" s="113"/>
      <c r="G693" s="113"/>
    </row>
    <row r="694" spans="2:7" x14ac:dyDescent="0.35">
      <c r="B694" s="22"/>
      <c r="E694" s="113"/>
      <c r="F694" s="113"/>
      <c r="G694" s="113"/>
    </row>
    <row r="695" spans="2:7" x14ac:dyDescent="0.35">
      <c r="B695" s="22"/>
      <c r="E695" s="113"/>
      <c r="F695" s="113"/>
      <c r="G695" s="113"/>
    </row>
    <row r="696" spans="2:7" x14ac:dyDescent="0.35">
      <c r="B696" s="22"/>
      <c r="E696" s="113"/>
      <c r="F696" s="113"/>
      <c r="G696" s="113"/>
    </row>
    <row r="697" spans="2:7" x14ac:dyDescent="0.35">
      <c r="B697" s="22"/>
      <c r="E697" s="113"/>
      <c r="F697" s="113"/>
      <c r="G697" s="113"/>
    </row>
    <row r="698" spans="2:7" x14ac:dyDescent="0.35">
      <c r="B698" s="22"/>
      <c r="E698" s="113"/>
      <c r="F698" s="113"/>
      <c r="G698" s="113"/>
    </row>
    <row r="699" spans="2:7" x14ac:dyDescent="0.35">
      <c r="B699" s="22"/>
      <c r="E699" s="113"/>
      <c r="F699" s="113"/>
      <c r="G699" s="113"/>
    </row>
    <row r="700" spans="2:7" x14ac:dyDescent="0.35">
      <c r="B700" s="22"/>
      <c r="E700" s="113"/>
      <c r="F700" s="113"/>
      <c r="G700" s="113"/>
    </row>
    <row r="701" spans="2:7" x14ac:dyDescent="0.35">
      <c r="B701" s="22"/>
      <c r="E701" s="113"/>
      <c r="F701" s="113"/>
      <c r="G701" s="113"/>
    </row>
    <row r="702" spans="2:7" x14ac:dyDescent="0.35">
      <c r="B702" s="22"/>
      <c r="E702" s="113"/>
      <c r="F702" s="113"/>
      <c r="G702" s="113"/>
    </row>
    <row r="703" spans="2:7" x14ac:dyDescent="0.35">
      <c r="B703" s="22"/>
      <c r="E703" s="113"/>
      <c r="F703" s="113"/>
      <c r="G703" s="113"/>
    </row>
    <row r="704" spans="2:7" x14ac:dyDescent="0.35">
      <c r="B704" s="22"/>
      <c r="E704" s="113"/>
      <c r="F704" s="113"/>
      <c r="G704" s="113"/>
    </row>
    <row r="705" spans="2:7" x14ac:dyDescent="0.35">
      <c r="B705" s="22"/>
      <c r="E705" s="113"/>
      <c r="F705" s="113"/>
      <c r="G705" s="113"/>
    </row>
    <row r="706" spans="2:7" x14ac:dyDescent="0.35">
      <c r="B706" s="22"/>
      <c r="E706" s="113"/>
      <c r="F706" s="113"/>
      <c r="G706" s="113"/>
    </row>
    <row r="707" spans="2:7" x14ac:dyDescent="0.35">
      <c r="B707" s="22"/>
      <c r="E707" s="113"/>
      <c r="F707" s="113"/>
      <c r="G707" s="113"/>
    </row>
    <row r="708" spans="2:7" x14ac:dyDescent="0.35">
      <c r="B708" s="22"/>
      <c r="E708" s="113"/>
      <c r="F708" s="113"/>
      <c r="G708" s="113"/>
    </row>
    <row r="709" spans="2:7" x14ac:dyDescent="0.35">
      <c r="B709" s="22"/>
      <c r="E709" s="113"/>
      <c r="F709" s="113"/>
      <c r="G709" s="113"/>
    </row>
    <row r="710" spans="2:7" x14ac:dyDescent="0.35">
      <c r="B710" s="22"/>
      <c r="E710" s="113"/>
      <c r="F710" s="113"/>
      <c r="G710" s="113"/>
    </row>
    <row r="711" spans="2:7" x14ac:dyDescent="0.35">
      <c r="B711" s="22"/>
      <c r="E711" s="113"/>
      <c r="F711" s="113"/>
      <c r="G711" s="113"/>
    </row>
    <row r="712" spans="2:7" x14ac:dyDescent="0.35">
      <c r="B712" s="22"/>
      <c r="E712" s="113"/>
      <c r="F712" s="113"/>
      <c r="G712" s="113"/>
    </row>
    <row r="713" spans="2:7" x14ac:dyDescent="0.35">
      <c r="B713" s="22"/>
      <c r="E713" s="113"/>
      <c r="F713" s="113"/>
      <c r="G713" s="113"/>
    </row>
    <row r="714" spans="2:7" x14ac:dyDescent="0.35">
      <c r="B714" s="22"/>
      <c r="E714" s="113"/>
      <c r="F714" s="113"/>
      <c r="G714" s="113"/>
    </row>
    <row r="715" spans="2:7" x14ac:dyDescent="0.35">
      <c r="B715" s="22"/>
      <c r="E715" s="113"/>
      <c r="F715" s="113"/>
      <c r="G715" s="113"/>
    </row>
    <row r="716" spans="2:7" x14ac:dyDescent="0.35">
      <c r="B716" s="22"/>
      <c r="E716" s="113"/>
      <c r="F716" s="113"/>
      <c r="G716" s="113"/>
    </row>
    <row r="717" spans="2:7" x14ac:dyDescent="0.35">
      <c r="B717" s="22"/>
      <c r="E717" s="113"/>
      <c r="F717" s="113"/>
      <c r="G717" s="113"/>
    </row>
    <row r="718" spans="2:7" x14ac:dyDescent="0.35">
      <c r="B718" s="22"/>
      <c r="E718" s="113"/>
      <c r="F718" s="113"/>
      <c r="G718" s="113"/>
    </row>
    <row r="719" spans="2:7" x14ac:dyDescent="0.35">
      <c r="B719" s="22"/>
      <c r="E719" s="113"/>
      <c r="F719" s="113"/>
      <c r="G719" s="113"/>
    </row>
    <row r="720" spans="2:7" x14ac:dyDescent="0.35">
      <c r="B720" s="22"/>
      <c r="E720" s="113"/>
      <c r="F720" s="113"/>
      <c r="G720" s="113"/>
    </row>
    <row r="721" spans="2:7" x14ac:dyDescent="0.35">
      <c r="B721" s="22"/>
      <c r="E721" s="113"/>
      <c r="F721" s="113"/>
      <c r="G721" s="113"/>
    </row>
    <row r="722" spans="2:7" x14ac:dyDescent="0.35">
      <c r="B722" s="22"/>
      <c r="E722" s="113"/>
      <c r="F722" s="113"/>
      <c r="G722" s="113"/>
    </row>
    <row r="723" spans="2:7" x14ac:dyDescent="0.35">
      <c r="B723" s="22"/>
      <c r="E723" s="113"/>
      <c r="F723" s="113"/>
      <c r="G723" s="113"/>
    </row>
    <row r="724" spans="2:7" x14ac:dyDescent="0.35">
      <c r="B724" s="22"/>
      <c r="E724" s="113"/>
      <c r="F724" s="113"/>
      <c r="G724" s="113"/>
    </row>
    <row r="725" spans="2:7" x14ac:dyDescent="0.35">
      <c r="B725" s="22"/>
      <c r="E725" s="113"/>
      <c r="F725" s="113"/>
      <c r="G725" s="113"/>
    </row>
    <row r="726" spans="2:7" x14ac:dyDescent="0.35">
      <c r="B726" s="22"/>
      <c r="E726" s="113"/>
      <c r="F726" s="113"/>
      <c r="G726" s="113"/>
    </row>
    <row r="727" spans="2:7" x14ac:dyDescent="0.35">
      <c r="B727" s="22"/>
      <c r="E727" s="113"/>
      <c r="F727" s="113"/>
      <c r="G727" s="113"/>
    </row>
    <row r="728" spans="2:7" x14ac:dyDescent="0.35">
      <c r="B728" s="22"/>
      <c r="E728" s="113"/>
      <c r="F728" s="113"/>
      <c r="G728" s="113"/>
    </row>
    <row r="729" spans="2:7" x14ac:dyDescent="0.35">
      <c r="B729" s="22"/>
      <c r="E729" s="113"/>
      <c r="F729" s="113"/>
      <c r="G729" s="113"/>
    </row>
    <row r="730" spans="2:7" x14ac:dyDescent="0.35">
      <c r="B730" s="22"/>
      <c r="E730" s="113"/>
      <c r="F730" s="113"/>
      <c r="G730" s="113"/>
    </row>
    <row r="731" spans="2:7" x14ac:dyDescent="0.35">
      <c r="B731" s="22"/>
      <c r="E731" s="113"/>
      <c r="F731" s="113"/>
      <c r="G731" s="113"/>
    </row>
    <row r="732" spans="2:7" x14ac:dyDescent="0.35">
      <c r="B732" s="22"/>
      <c r="E732" s="113"/>
      <c r="F732" s="113"/>
      <c r="G732" s="113"/>
    </row>
    <row r="733" spans="2:7" x14ac:dyDescent="0.35">
      <c r="B733" s="22"/>
      <c r="E733" s="113"/>
      <c r="F733" s="113"/>
      <c r="G733" s="113"/>
    </row>
    <row r="734" spans="2:7" x14ac:dyDescent="0.35">
      <c r="B734" s="22"/>
      <c r="E734" s="113"/>
      <c r="F734" s="113"/>
      <c r="G734" s="113"/>
    </row>
    <row r="735" spans="2:7" x14ac:dyDescent="0.35">
      <c r="B735" s="22"/>
      <c r="E735" s="113"/>
      <c r="F735" s="113"/>
      <c r="G735" s="113"/>
    </row>
    <row r="736" spans="2:7" x14ac:dyDescent="0.35">
      <c r="B736" s="22"/>
      <c r="E736" s="113"/>
      <c r="F736" s="113"/>
      <c r="G736" s="113"/>
    </row>
    <row r="737" spans="2:7" x14ac:dyDescent="0.35">
      <c r="B737" s="22"/>
      <c r="E737" s="113"/>
      <c r="F737" s="113"/>
      <c r="G737" s="113"/>
    </row>
    <row r="738" spans="2:7" x14ac:dyDescent="0.35">
      <c r="B738" s="22"/>
      <c r="E738" s="113"/>
      <c r="F738" s="113"/>
      <c r="G738" s="113"/>
    </row>
    <row r="739" spans="2:7" x14ac:dyDescent="0.35">
      <c r="B739" s="22"/>
      <c r="E739" s="113"/>
      <c r="F739" s="113"/>
      <c r="G739" s="113"/>
    </row>
    <row r="740" spans="2:7" x14ac:dyDescent="0.35">
      <c r="B740" s="22"/>
      <c r="E740" s="113"/>
      <c r="F740" s="113"/>
      <c r="G740" s="113"/>
    </row>
    <row r="741" spans="2:7" x14ac:dyDescent="0.35">
      <c r="B741" s="22"/>
      <c r="E741" s="113"/>
      <c r="F741" s="113"/>
      <c r="G741" s="113"/>
    </row>
    <row r="742" spans="2:7" x14ac:dyDescent="0.35">
      <c r="B742" s="22"/>
      <c r="E742" s="113"/>
      <c r="F742" s="113"/>
      <c r="G742" s="113"/>
    </row>
    <row r="743" spans="2:7" x14ac:dyDescent="0.35">
      <c r="B743" s="22"/>
      <c r="E743" s="113"/>
      <c r="F743" s="113"/>
      <c r="G743" s="113"/>
    </row>
    <row r="744" spans="2:7" x14ac:dyDescent="0.35">
      <c r="B744" s="22"/>
      <c r="E744" s="113"/>
      <c r="F744" s="113"/>
      <c r="G744" s="113"/>
    </row>
    <row r="745" spans="2:7" x14ac:dyDescent="0.35">
      <c r="B745" s="22"/>
      <c r="E745" s="113"/>
      <c r="F745" s="113"/>
      <c r="G745" s="113"/>
    </row>
    <row r="746" spans="2:7" x14ac:dyDescent="0.35">
      <c r="B746" s="22"/>
      <c r="E746" s="113"/>
      <c r="F746" s="113"/>
      <c r="G746" s="113"/>
    </row>
    <row r="747" spans="2:7" x14ac:dyDescent="0.35">
      <c r="B747" s="22"/>
      <c r="E747" s="113"/>
      <c r="F747" s="113"/>
      <c r="G747" s="113"/>
    </row>
    <row r="748" spans="2:7" x14ac:dyDescent="0.35">
      <c r="B748" s="22"/>
      <c r="E748" s="113"/>
      <c r="F748" s="113"/>
      <c r="G748" s="113"/>
    </row>
    <row r="749" spans="2:7" x14ac:dyDescent="0.35">
      <c r="B749" s="22"/>
      <c r="E749" s="113"/>
      <c r="F749" s="113"/>
      <c r="G749" s="113"/>
    </row>
    <row r="750" spans="2:7" x14ac:dyDescent="0.35">
      <c r="B750" s="22"/>
      <c r="E750" s="113"/>
      <c r="F750" s="113"/>
      <c r="G750" s="113"/>
    </row>
    <row r="751" spans="2:7" x14ac:dyDescent="0.35">
      <c r="B751" s="22"/>
      <c r="E751" s="113"/>
      <c r="F751" s="113"/>
      <c r="G751" s="113"/>
    </row>
    <row r="752" spans="2:7" x14ac:dyDescent="0.35">
      <c r="B752" s="22"/>
      <c r="E752" s="113"/>
      <c r="F752" s="113"/>
      <c r="G752" s="113"/>
    </row>
    <row r="753" spans="2:7" x14ac:dyDescent="0.35">
      <c r="B753" s="22"/>
      <c r="E753" s="113"/>
      <c r="F753" s="113"/>
      <c r="G753" s="113"/>
    </row>
    <row r="754" spans="2:7" x14ac:dyDescent="0.35">
      <c r="B754" s="22"/>
      <c r="E754" s="113"/>
      <c r="F754" s="113"/>
      <c r="G754" s="113"/>
    </row>
    <row r="755" spans="2:7" x14ac:dyDescent="0.35">
      <c r="B755" s="22"/>
      <c r="E755" s="113"/>
      <c r="F755" s="113"/>
      <c r="G755" s="113"/>
    </row>
    <row r="756" spans="2:7" x14ac:dyDescent="0.35">
      <c r="B756" s="22"/>
      <c r="E756" s="113"/>
      <c r="F756" s="113"/>
      <c r="G756" s="113"/>
    </row>
    <row r="757" spans="2:7" x14ac:dyDescent="0.35">
      <c r="B757" s="22"/>
      <c r="E757" s="113"/>
      <c r="F757" s="113"/>
      <c r="G757" s="113"/>
    </row>
    <row r="758" spans="2:7" x14ac:dyDescent="0.35">
      <c r="B758" s="22"/>
      <c r="E758" s="113"/>
      <c r="F758" s="113"/>
      <c r="G758" s="113"/>
    </row>
    <row r="759" spans="2:7" x14ac:dyDescent="0.35">
      <c r="B759" s="22"/>
      <c r="E759" s="113"/>
      <c r="F759" s="113"/>
      <c r="G759" s="113"/>
    </row>
    <row r="760" spans="2:7" x14ac:dyDescent="0.35">
      <c r="B760" s="22"/>
      <c r="E760" s="113"/>
      <c r="F760" s="113"/>
      <c r="G760" s="113"/>
    </row>
    <row r="761" spans="2:7" x14ac:dyDescent="0.35">
      <c r="B761" s="22"/>
      <c r="E761" s="113"/>
      <c r="F761" s="113"/>
      <c r="G761" s="113"/>
    </row>
    <row r="762" spans="2:7" x14ac:dyDescent="0.35">
      <c r="B762" s="22"/>
      <c r="E762" s="113"/>
      <c r="F762" s="113"/>
      <c r="G762" s="113"/>
    </row>
    <row r="763" spans="2:7" x14ac:dyDescent="0.35">
      <c r="B763" s="22"/>
      <c r="E763" s="113"/>
      <c r="F763" s="113"/>
      <c r="G763" s="113"/>
    </row>
    <row r="764" spans="2:7" x14ac:dyDescent="0.35">
      <c r="B764" s="22"/>
      <c r="E764" s="113"/>
      <c r="F764" s="113"/>
      <c r="G764" s="113"/>
    </row>
    <row r="765" spans="2:7" x14ac:dyDescent="0.35">
      <c r="B765" s="22"/>
      <c r="E765" s="113"/>
      <c r="F765" s="113"/>
      <c r="G765" s="113"/>
    </row>
    <row r="766" spans="2:7" x14ac:dyDescent="0.35">
      <c r="B766" s="22"/>
      <c r="E766" s="113"/>
      <c r="F766" s="113"/>
      <c r="G766" s="113"/>
    </row>
    <row r="767" spans="2:7" x14ac:dyDescent="0.35">
      <c r="B767" s="22"/>
      <c r="E767" s="113"/>
      <c r="F767" s="113"/>
      <c r="G767" s="113"/>
    </row>
    <row r="768" spans="2:7" x14ac:dyDescent="0.35">
      <c r="B768" s="22"/>
      <c r="E768" s="113"/>
      <c r="F768" s="113"/>
      <c r="G768" s="113"/>
    </row>
    <row r="769" spans="2:7" x14ac:dyDescent="0.35">
      <c r="B769" s="22"/>
      <c r="E769" s="113"/>
      <c r="F769" s="113"/>
      <c r="G769" s="113"/>
    </row>
    <row r="770" spans="2:7" x14ac:dyDescent="0.35">
      <c r="B770" s="22"/>
      <c r="E770" s="113"/>
      <c r="F770" s="113"/>
      <c r="G770" s="113"/>
    </row>
    <row r="771" spans="2:7" x14ac:dyDescent="0.35">
      <c r="B771" s="22"/>
      <c r="E771" s="113"/>
      <c r="F771" s="113"/>
      <c r="G771" s="113"/>
    </row>
    <row r="772" spans="2:7" x14ac:dyDescent="0.35">
      <c r="B772" s="22"/>
      <c r="E772" s="113"/>
      <c r="F772" s="113"/>
      <c r="G772" s="113"/>
    </row>
    <row r="773" spans="2:7" x14ac:dyDescent="0.35">
      <c r="B773" s="22"/>
      <c r="E773" s="113"/>
      <c r="F773" s="113"/>
      <c r="G773" s="113"/>
    </row>
    <row r="774" spans="2:7" x14ac:dyDescent="0.35">
      <c r="B774" s="22"/>
      <c r="E774" s="113"/>
      <c r="F774" s="113"/>
      <c r="G774" s="113"/>
    </row>
    <row r="775" spans="2:7" x14ac:dyDescent="0.35">
      <c r="B775" s="22"/>
      <c r="E775" s="113"/>
      <c r="F775" s="113"/>
      <c r="G775" s="113"/>
    </row>
    <row r="776" spans="2:7" x14ac:dyDescent="0.35">
      <c r="B776" s="22"/>
      <c r="E776" s="113"/>
      <c r="F776" s="113"/>
      <c r="G776" s="113"/>
    </row>
    <row r="777" spans="2:7" x14ac:dyDescent="0.35">
      <c r="B777" s="22"/>
      <c r="E777" s="113"/>
      <c r="F777" s="113"/>
      <c r="G777" s="113"/>
    </row>
    <row r="778" spans="2:7" x14ac:dyDescent="0.35">
      <c r="B778" s="22"/>
      <c r="E778" s="113"/>
      <c r="F778" s="113"/>
      <c r="G778" s="113"/>
    </row>
    <row r="779" spans="2:7" x14ac:dyDescent="0.35">
      <c r="B779" s="22"/>
      <c r="E779" s="113"/>
      <c r="F779" s="113"/>
      <c r="G779" s="113"/>
    </row>
    <row r="780" spans="2:7" x14ac:dyDescent="0.35">
      <c r="B780" s="22"/>
      <c r="E780" s="113"/>
      <c r="F780" s="113"/>
      <c r="G780" s="113"/>
    </row>
    <row r="781" spans="2:7" x14ac:dyDescent="0.35">
      <c r="B781" s="22"/>
      <c r="E781" s="113"/>
      <c r="F781" s="113"/>
      <c r="G781" s="113"/>
    </row>
    <row r="782" spans="2:7" x14ac:dyDescent="0.35">
      <c r="B782" s="22"/>
      <c r="E782" s="113"/>
      <c r="F782" s="113"/>
      <c r="G782" s="113"/>
    </row>
    <row r="783" spans="2:7" x14ac:dyDescent="0.35">
      <c r="B783" s="22"/>
      <c r="E783" s="113"/>
      <c r="F783" s="113"/>
      <c r="G783" s="113"/>
    </row>
    <row r="784" spans="2:7" x14ac:dyDescent="0.35">
      <c r="B784" s="22"/>
      <c r="E784" s="113"/>
      <c r="F784" s="113"/>
      <c r="G784" s="113"/>
    </row>
    <row r="785" spans="2:7" x14ac:dyDescent="0.35">
      <c r="B785" s="22"/>
      <c r="E785" s="113"/>
      <c r="F785" s="113"/>
      <c r="G785" s="113"/>
    </row>
    <row r="786" spans="2:7" x14ac:dyDescent="0.35">
      <c r="B786" s="22"/>
      <c r="E786" s="113"/>
      <c r="F786" s="113"/>
      <c r="G786" s="113"/>
    </row>
    <row r="787" spans="2:7" x14ac:dyDescent="0.35">
      <c r="B787" s="22"/>
      <c r="E787" s="113"/>
      <c r="F787" s="113"/>
      <c r="G787" s="113"/>
    </row>
    <row r="788" spans="2:7" x14ac:dyDescent="0.35">
      <c r="B788" s="22"/>
      <c r="E788" s="113"/>
      <c r="F788" s="113"/>
      <c r="G788" s="113"/>
    </row>
    <row r="789" spans="2:7" x14ac:dyDescent="0.35">
      <c r="B789" s="22"/>
      <c r="E789" s="113"/>
      <c r="F789" s="113"/>
      <c r="G789" s="113"/>
    </row>
    <row r="790" spans="2:7" x14ac:dyDescent="0.35">
      <c r="B790" s="22"/>
      <c r="E790" s="113"/>
      <c r="F790" s="113"/>
      <c r="G790" s="113"/>
    </row>
    <row r="791" spans="2:7" x14ac:dyDescent="0.35">
      <c r="B791" s="22"/>
      <c r="E791" s="113"/>
      <c r="F791" s="113"/>
      <c r="G791" s="113"/>
    </row>
    <row r="792" spans="2:7" x14ac:dyDescent="0.35">
      <c r="B792" s="22"/>
      <c r="E792" s="113"/>
      <c r="F792" s="113"/>
      <c r="G792" s="113"/>
    </row>
    <row r="793" spans="2:7" x14ac:dyDescent="0.35">
      <c r="B793" s="22"/>
      <c r="E793" s="113"/>
      <c r="F793" s="113"/>
      <c r="G793" s="113"/>
    </row>
    <row r="794" spans="2:7" x14ac:dyDescent="0.35">
      <c r="B794" s="22"/>
      <c r="E794" s="113"/>
      <c r="F794" s="113"/>
      <c r="G794" s="113"/>
    </row>
    <row r="795" spans="2:7" x14ac:dyDescent="0.35">
      <c r="B795" s="22"/>
      <c r="E795" s="113"/>
      <c r="F795" s="113"/>
      <c r="G795" s="113"/>
    </row>
    <row r="796" spans="2:7" x14ac:dyDescent="0.35">
      <c r="B796" s="22"/>
      <c r="E796" s="113"/>
      <c r="F796" s="113"/>
      <c r="G796" s="113"/>
    </row>
    <row r="797" spans="2:7" x14ac:dyDescent="0.35">
      <c r="B797" s="22"/>
      <c r="E797" s="113"/>
      <c r="F797" s="113"/>
      <c r="G797" s="113"/>
    </row>
    <row r="798" spans="2:7" x14ac:dyDescent="0.35">
      <c r="B798" s="22"/>
      <c r="E798" s="113"/>
      <c r="F798" s="113"/>
      <c r="G798" s="113"/>
    </row>
    <row r="799" spans="2:7" x14ac:dyDescent="0.35">
      <c r="B799" s="22"/>
      <c r="E799" s="113"/>
      <c r="F799" s="113"/>
      <c r="G799" s="113"/>
    </row>
    <row r="800" spans="2:7" x14ac:dyDescent="0.35">
      <c r="B800" s="22"/>
      <c r="E800" s="113"/>
      <c r="F800" s="113"/>
      <c r="G800" s="113"/>
    </row>
    <row r="801" spans="2:7" x14ac:dyDescent="0.35">
      <c r="B801" s="22"/>
      <c r="E801" s="113"/>
      <c r="F801" s="113"/>
      <c r="G801" s="113"/>
    </row>
    <row r="802" spans="2:7" x14ac:dyDescent="0.35">
      <c r="B802" s="22"/>
      <c r="E802" s="113"/>
      <c r="F802" s="113"/>
      <c r="G802" s="113"/>
    </row>
    <row r="803" spans="2:7" x14ac:dyDescent="0.35">
      <c r="B803" s="22"/>
      <c r="E803" s="113"/>
      <c r="F803" s="113"/>
      <c r="G803" s="113"/>
    </row>
    <row r="804" spans="2:7" x14ac:dyDescent="0.35">
      <c r="B804" s="22"/>
      <c r="E804" s="113"/>
      <c r="F804" s="113"/>
      <c r="G804" s="113"/>
    </row>
    <row r="805" spans="2:7" x14ac:dyDescent="0.35">
      <c r="B805" s="22"/>
      <c r="E805" s="113"/>
      <c r="F805" s="113"/>
      <c r="G805" s="113"/>
    </row>
    <row r="806" spans="2:7" x14ac:dyDescent="0.35">
      <c r="B806" s="22"/>
      <c r="E806" s="113"/>
      <c r="F806" s="113"/>
      <c r="G806" s="113"/>
    </row>
    <row r="807" spans="2:7" x14ac:dyDescent="0.35">
      <c r="B807" s="22"/>
      <c r="E807" s="113"/>
      <c r="F807" s="113"/>
      <c r="G807" s="113"/>
    </row>
    <row r="808" spans="2:7" x14ac:dyDescent="0.35">
      <c r="B808" s="22"/>
      <c r="E808" s="113"/>
      <c r="F808" s="113"/>
      <c r="G808" s="113"/>
    </row>
    <row r="809" spans="2:7" x14ac:dyDescent="0.35">
      <c r="B809" s="22"/>
      <c r="E809" s="113"/>
      <c r="F809" s="113"/>
      <c r="G809" s="113"/>
    </row>
    <row r="810" spans="2:7" x14ac:dyDescent="0.35">
      <c r="B810" s="22"/>
      <c r="E810" s="113"/>
      <c r="F810" s="113"/>
      <c r="G810" s="113"/>
    </row>
    <row r="811" spans="2:7" x14ac:dyDescent="0.35">
      <c r="B811" s="22"/>
      <c r="E811" s="113"/>
      <c r="F811" s="113"/>
      <c r="G811" s="113"/>
    </row>
    <row r="812" spans="2:7" x14ac:dyDescent="0.35">
      <c r="B812" s="22"/>
      <c r="E812" s="113"/>
      <c r="F812" s="113"/>
      <c r="G812" s="113"/>
    </row>
    <row r="813" spans="2:7" x14ac:dyDescent="0.35">
      <c r="B813" s="22"/>
      <c r="E813" s="113"/>
      <c r="F813" s="113"/>
      <c r="G813" s="113"/>
    </row>
    <row r="814" spans="2:7" x14ac:dyDescent="0.35">
      <c r="B814" s="22"/>
      <c r="E814" s="113"/>
      <c r="F814" s="113"/>
      <c r="G814" s="113"/>
    </row>
    <row r="815" spans="2:7" x14ac:dyDescent="0.35">
      <c r="B815" s="22"/>
      <c r="E815" s="113"/>
      <c r="F815" s="113"/>
      <c r="G815" s="113"/>
    </row>
    <row r="816" spans="2:7" x14ac:dyDescent="0.35">
      <c r="B816" s="22"/>
      <c r="E816" s="113"/>
      <c r="F816" s="113"/>
      <c r="G816" s="113"/>
    </row>
    <row r="817" spans="2:7" x14ac:dyDescent="0.35">
      <c r="B817" s="22"/>
      <c r="E817" s="113"/>
      <c r="F817" s="113"/>
      <c r="G817" s="113"/>
    </row>
    <row r="818" spans="2:7" x14ac:dyDescent="0.35">
      <c r="B818" s="22"/>
      <c r="E818" s="113"/>
      <c r="F818" s="113"/>
      <c r="G818" s="113"/>
    </row>
    <row r="819" spans="2:7" x14ac:dyDescent="0.35">
      <c r="B819" s="22"/>
      <c r="E819" s="113"/>
      <c r="F819" s="113"/>
      <c r="G819" s="113"/>
    </row>
    <row r="820" spans="2:7" x14ac:dyDescent="0.35">
      <c r="B820" s="22"/>
      <c r="E820" s="113"/>
      <c r="F820" s="113"/>
      <c r="G820" s="113"/>
    </row>
    <row r="821" spans="2:7" x14ac:dyDescent="0.35">
      <c r="B821" s="22"/>
      <c r="E821" s="113"/>
      <c r="F821" s="113"/>
      <c r="G821" s="113"/>
    </row>
    <row r="822" spans="2:7" x14ac:dyDescent="0.35">
      <c r="B822" s="22"/>
      <c r="E822" s="113"/>
      <c r="F822" s="113"/>
      <c r="G822" s="113"/>
    </row>
    <row r="823" spans="2:7" x14ac:dyDescent="0.35">
      <c r="B823" s="22"/>
      <c r="E823" s="113"/>
      <c r="F823" s="113"/>
      <c r="G823" s="113"/>
    </row>
    <row r="824" spans="2:7" x14ac:dyDescent="0.35">
      <c r="B824" s="22"/>
      <c r="E824" s="113"/>
      <c r="F824" s="113"/>
      <c r="G824" s="113"/>
    </row>
    <row r="825" spans="2:7" x14ac:dyDescent="0.35">
      <c r="B825" s="22"/>
      <c r="E825" s="113"/>
      <c r="F825" s="113"/>
      <c r="G825" s="113"/>
    </row>
    <row r="826" spans="2:7" x14ac:dyDescent="0.35">
      <c r="B826" s="22"/>
      <c r="E826" s="113"/>
      <c r="F826" s="113"/>
      <c r="G826" s="113"/>
    </row>
    <row r="827" spans="2:7" x14ac:dyDescent="0.35">
      <c r="B827" s="22"/>
      <c r="E827" s="113"/>
      <c r="F827" s="113"/>
      <c r="G827" s="113"/>
    </row>
    <row r="828" spans="2:7" x14ac:dyDescent="0.35">
      <c r="B828" s="22"/>
      <c r="E828" s="113"/>
      <c r="F828" s="113"/>
      <c r="G828" s="113"/>
    </row>
    <row r="829" spans="2:7" x14ac:dyDescent="0.35">
      <c r="B829" s="22"/>
      <c r="E829" s="113"/>
      <c r="F829" s="113"/>
      <c r="G829" s="113"/>
    </row>
    <row r="830" spans="2:7" x14ac:dyDescent="0.35">
      <c r="B830" s="22"/>
      <c r="E830" s="113"/>
      <c r="F830" s="113"/>
      <c r="G830" s="113"/>
    </row>
    <row r="831" spans="2:7" x14ac:dyDescent="0.35">
      <c r="B831" s="22"/>
      <c r="E831" s="113"/>
      <c r="F831" s="113"/>
      <c r="G831" s="113"/>
    </row>
    <row r="832" spans="2:7" x14ac:dyDescent="0.35">
      <c r="B832" s="22"/>
      <c r="E832" s="113"/>
      <c r="F832" s="113"/>
      <c r="G832" s="113"/>
    </row>
    <row r="833" spans="2:7" x14ac:dyDescent="0.35">
      <c r="B833" s="22"/>
      <c r="E833" s="113"/>
      <c r="F833" s="113"/>
      <c r="G833" s="113"/>
    </row>
    <row r="834" spans="2:7" x14ac:dyDescent="0.35">
      <c r="B834" s="22"/>
      <c r="E834" s="113"/>
      <c r="F834" s="113"/>
      <c r="G834" s="113"/>
    </row>
    <row r="835" spans="2:7" x14ac:dyDescent="0.35">
      <c r="B835" s="22"/>
      <c r="E835" s="113"/>
      <c r="F835" s="113"/>
      <c r="G835" s="113"/>
    </row>
    <row r="836" spans="2:7" x14ac:dyDescent="0.35">
      <c r="B836" s="22"/>
      <c r="E836" s="113"/>
      <c r="F836" s="113"/>
      <c r="G836" s="113"/>
    </row>
    <row r="837" spans="2:7" x14ac:dyDescent="0.35">
      <c r="B837" s="22"/>
      <c r="E837" s="113"/>
      <c r="F837" s="113"/>
      <c r="G837" s="113"/>
    </row>
    <row r="838" spans="2:7" x14ac:dyDescent="0.35">
      <c r="B838" s="22"/>
      <c r="E838" s="113"/>
      <c r="F838" s="113"/>
      <c r="G838" s="113"/>
    </row>
    <row r="839" spans="2:7" x14ac:dyDescent="0.35">
      <c r="B839" s="22"/>
      <c r="E839" s="113"/>
      <c r="F839" s="113"/>
      <c r="G839" s="113"/>
    </row>
    <row r="840" spans="2:7" x14ac:dyDescent="0.35">
      <c r="B840" s="22"/>
      <c r="E840" s="113"/>
      <c r="F840" s="113"/>
      <c r="G840" s="113"/>
    </row>
    <row r="841" spans="2:7" x14ac:dyDescent="0.35">
      <c r="B841" s="22"/>
      <c r="E841" s="113"/>
      <c r="F841" s="113"/>
      <c r="G841" s="113"/>
    </row>
    <row r="842" spans="2:7" x14ac:dyDescent="0.35">
      <c r="B842" s="22"/>
      <c r="E842" s="113"/>
      <c r="F842" s="113"/>
      <c r="G842" s="113"/>
    </row>
    <row r="843" spans="2:7" x14ac:dyDescent="0.35">
      <c r="B843" s="22"/>
      <c r="E843" s="113"/>
      <c r="F843" s="113"/>
      <c r="G843" s="113"/>
    </row>
    <row r="844" spans="2:7" x14ac:dyDescent="0.35">
      <c r="B844" s="22"/>
      <c r="E844" s="113"/>
      <c r="F844" s="113"/>
      <c r="G844" s="113"/>
    </row>
    <row r="845" spans="2:7" x14ac:dyDescent="0.35">
      <c r="B845" s="22"/>
      <c r="E845" s="113"/>
      <c r="F845" s="113"/>
      <c r="G845" s="113"/>
    </row>
    <row r="846" spans="2:7" x14ac:dyDescent="0.35">
      <c r="B846" s="22"/>
      <c r="E846" s="113"/>
      <c r="F846" s="113"/>
      <c r="G846" s="113"/>
    </row>
    <row r="847" spans="2:7" x14ac:dyDescent="0.35">
      <c r="B847" s="22"/>
      <c r="E847" s="113"/>
      <c r="F847" s="113"/>
      <c r="G847" s="113"/>
    </row>
    <row r="848" spans="2:7" x14ac:dyDescent="0.35">
      <c r="B848" s="22"/>
      <c r="E848" s="113"/>
      <c r="F848" s="113"/>
      <c r="G848" s="113"/>
    </row>
    <row r="849" spans="2:7" x14ac:dyDescent="0.35">
      <c r="B849" s="22"/>
      <c r="E849" s="113"/>
      <c r="F849" s="113"/>
      <c r="G849" s="113"/>
    </row>
    <row r="850" spans="2:7" x14ac:dyDescent="0.35">
      <c r="B850" s="22"/>
      <c r="E850" s="113"/>
      <c r="F850" s="113"/>
      <c r="G850" s="113"/>
    </row>
    <row r="851" spans="2:7" x14ac:dyDescent="0.35">
      <c r="B851" s="22"/>
      <c r="E851" s="113"/>
      <c r="F851" s="113"/>
      <c r="G851" s="113"/>
    </row>
    <row r="852" spans="2:7" x14ac:dyDescent="0.35">
      <c r="B852" s="22"/>
      <c r="E852" s="113"/>
      <c r="F852" s="113"/>
      <c r="G852" s="113"/>
    </row>
    <row r="853" spans="2:7" x14ac:dyDescent="0.35">
      <c r="B853" s="22"/>
      <c r="E853" s="113"/>
      <c r="F853" s="113"/>
      <c r="G853" s="113"/>
    </row>
    <row r="854" spans="2:7" x14ac:dyDescent="0.35">
      <c r="B854" s="22"/>
      <c r="E854" s="113"/>
      <c r="F854" s="113"/>
      <c r="G854" s="113"/>
    </row>
    <row r="855" spans="2:7" x14ac:dyDescent="0.35">
      <c r="B855" s="22"/>
      <c r="E855" s="113"/>
      <c r="F855" s="113"/>
      <c r="G855" s="113"/>
    </row>
    <row r="856" spans="2:7" x14ac:dyDescent="0.35">
      <c r="B856" s="22"/>
      <c r="E856" s="113"/>
      <c r="F856" s="113"/>
      <c r="G856" s="113"/>
    </row>
    <row r="857" spans="2:7" x14ac:dyDescent="0.35">
      <c r="B857" s="22"/>
      <c r="E857" s="113"/>
      <c r="F857" s="113"/>
      <c r="G857" s="113"/>
    </row>
    <row r="858" spans="2:7" x14ac:dyDescent="0.35">
      <c r="B858" s="22"/>
      <c r="E858" s="113"/>
      <c r="F858" s="113"/>
      <c r="G858" s="113"/>
    </row>
    <row r="859" spans="2:7" x14ac:dyDescent="0.35">
      <c r="B859" s="22"/>
      <c r="E859" s="113"/>
      <c r="F859" s="113"/>
      <c r="G859" s="113"/>
    </row>
    <row r="860" spans="2:7" x14ac:dyDescent="0.35">
      <c r="B860" s="22"/>
      <c r="E860" s="113"/>
      <c r="F860" s="113"/>
      <c r="G860" s="113"/>
    </row>
    <row r="861" spans="2:7" x14ac:dyDescent="0.35">
      <c r="B861" s="22"/>
      <c r="E861" s="113"/>
      <c r="F861" s="113"/>
      <c r="G861" s="113"/>
    </row>
    <row r="862" spans="2:7" x14ac:dyDescent="0.35">
      <c r="B862" s="22"/>
      <c r="E862" s="113"/>
      <c r="F862" s="113"/>
      <c r="G862" s="113"/>
    </row>
    <row r="863" spans="2:7" x14ac:dyDescent="0.35">
      <c r="B863" s="22"/>
      <c r="E863" s="113"/>
      <c r="F863" s="113"/>
      <c r="G863" s="113"/>
    </row>
    <row r="864" spans="2:7" x14ac:dyDescent="0.35">
      <c r="B864" s="22"/>
      <c r="E864" s="113"/>
      <c r="F864" s="113"/>
      <c r="G864" s="113"/>
    </row>
    <row r="865" spans="2:7" x14ac:dyDescent="0.35">
      <c r="B865" s="22"/>
      <c r="E865" s="113"/>
      <c r="F865" s="113"/>
      <c r="G865" s="113"/>
    </row>
    <row r="866" spans="2:7" x14ac:dyDescent="0.35">
      <c r="B866" s="22"/>
      <c r="E866" s="113"/>
      <c r="F866" s="113"/>
      <c r="G866" s="113"/>
    </row>
    <row r="867" spans="2:7" x14ac:dyDescent="0.35">
      <c r="B867" s="22"/>
      <c r="E867" s="113"/>
      <c r="F867" s="113"/>
      <c r="G867" s="113"/>
    </row>
    <row r="868" spans="2:7" x14ac:dyDescent="0.35">
      <c r="B868" s="22"/>
      <c r="E868" s="113"/>
      <c r="F868" s="113"/>
      <c r="G868" s="113"/>
    </row>
    <row r="869" spans="2:7" x14ac:dyDescent="0.35">
      <c r="B869" s="22"/>
      <c r="E869" s="113"/>
      <c r="F869" s="113"/>
      <c r="G869" s="113"/>
    </row>
    <row r="870" spans="2:7" x14ac:dyDescent="0.35">
      <c r="B870" s="22"/>
      <c r="E870" s="113"/>
      <c r="F870" s="113"/>
      <c r="G870" s="113"/>
    </row>
    <row r="871" spans="2:7" x14ac:dyDescent="0.35">
      <c r="B871" s="22"/>
      <c r="E871" s="113"/>
      <c r="F871" s="113"/>
      <c r="G871" s="113"/>
    </row>
    <row r="872" spans="2:7" x14ac:dyDescent="0.35">
      <c r="B872" s="22"/>
      <c r="E872" s="113"/>
      <c r="F872" s="113"/>
      <c r="G872" s="113"/>
    </row>
    <row r="873" spans="2:7" x14ac:dyDescent="0.35">
      <c r="B873" s="22"/>
      <c r="E873" s="113"/>
      <c r="F873" s="113"/>
      <c r="G873" s="113"/>
    </row>
    <row r="874" spans="2:7" x14ac:dyDescent="0.35">
      <c r="B874" s="22"/>
      <c r="E874" s="113"/>
      <c r="F874" s="113"/>
      <c r="G874" s="113"/>
    </row>
    <row r="875" spans="2:7" x14ac:dyDescent="0.35">
      <c r="B875" s="22"/>
      <c r="E875" s="113"/>
      <c r="F875" s="113"/>
      <c r="G875" s="113"/>
    </row>
    <row r="876" spans="2:7" x14ac:dyDescent="0.35">
      <c r="B876" s="22"/>
      <c r="E876" s="113"/>
      <c r="F876" s="113"/>
      <c r="G876" s="113"/>
    </row>
    <row r="877" spans="2:7" x14ac:dyDescent="0.35">
      <c r="B877" s="22"/>
      <c r="E877" s="113"/>
      <c r="F877" s="113"/>
      <c r="G877" s="113"/>
    </row>
    <row r="878" spans="2:7" x14ac:dyDescent="0.35">
      <c r="B878" s="22"/>
      <c r="E878" s="113"/>
      <c r="F878" s="113"/>
      <c r="G878" s="113"/>
    </row>
    <row r="879" spans="2:7" x14ac:dyDescent="0.35">
      <c r="B879" s="22"/>
      <c r="E879" s="113"/>
      <c r="F879" s="113"/>
      <c r="G879" s="113"/>
    </row>
    <row r="880" spans="2:7" x14ac:dyDescent="0.35">
      <c r="B880" s="22"/>
      <c r="E880" s="113"/>
      <c r="F880" s="113"/>
      <c r="G880" s="113"/>
    </row>
    <row r="881" spans="2:7" x14ac:dyDescent="0.35">
      <c r="B881" s="22"/>
      <c r="E881" s="113"/>
      <c r="F881" s="113"/>
      <c r="G881" s="113"/>
    </row>
    <row r="882" spans="2:7" x14ac:dyDescent="0.35">
      <c r="B882" s="22"/>
      <c r="E882" s="113"/>
      <c r="F882" s="113"/>
      <c r="G882" s="113"/>
    </row>
    <row r="883" spans="2:7" x14ac:dyDescent="0.35">
      <c r="B883" s="22"/>
      <c r="E883" s="113"/>
      <c r="F883" s="113"/>
      <c r="G883" s="113"/>
    </row>
    <row r="884" spans="2:7" x14ac:dyDescent="0.35">
      <c r="B884" s="22"/>
      <c r="E884" s="113"/>
      <c r="F884" s="113"/>
      <c r="G884" s="113"/>
    </row>
    <row r="885" spans="2:7" x14ac:dyDescent="0.35">
      <c r="B885" s="22"/>
      <c r="E885" s="113"/>
      <c r="F885" s="113"/>
      <c r="G885" s="113"/>
    </row>
    <row r="886" spans="2:7" x14ac:dyDescent="0.35">
      <c r="B886" s="22"/>
      <c r="E886" s="113"/>
      <c r="F886" s="113"/>
      <c r="G886" s="113"/>
    </row>
    <row r="887" spans="2:7" x14ac:dyDescent="0.35">
      <c r="B887" s="22"/>
      <c r="E887" s="113"/>
      <c r="F887" s="113"/>
      <c r="G887" s="113"/>
    </row>
    <row r="888" spans="2:7" x14ac:dyDescent="0.35">
      <c r="B888" s="22"/>
      <c r="E888" s="113"/>
      <c r="F888" s="113"/>
      <c r="G888" s="113"/>
    </row>
    <row r="889" spans="2:7" x14ac:dyDescent="0.35">
      <c r="B889" s="22"/>
      <c r="E889" s="113"/>
      <c r="F889" s="113"/>
      <c r="G889" s="113"/>
    </row>
    <row r="890" spans="2:7" x14ac:dyDescent="0.35">
      <c r="B890" s="22"/>
      <c r="E890" s="113"/>
      <c r="F890" s="113"/>
      <c r="G890" s="113"/>
    </row>
    <row r="891" spans="2:7" x14ac:dyDescent="0.35">
      <c r="B891" s="22"/>
      <c r="E891" s="113"/>
      <c r="F891" s="113"/>
      <c r="G891" s="113"/>
    </row>
    <row r="892" spans="2:7" x14ac:dyDescent="0.35">
      <c r="B892" s="22"/>
      <c r="E892" s="113"/>
      <c r="F892" s="113"/>
      <c r="G892" s="113"/>
    </row>
    <row r="893" spans="2:7" x14ac:dyDescent="0.35">
      <c r="B893" s="22"/>
      <c r="E893" s="113"/>
      <c r="F893" s="113"/>
      <c r="G893" s="113"/>
    </row>
    <row r="894" spans="2:7" x14ac:dyDescent="0.35">
      <c r="B894" s="22"/>
      <c r="E894" s="113"/>
      <c r="F894" s="113"/>
      <c r="G894" s="113"/>
    </row>
    <row r="895" spans="2:7" x14ac:dyDescent="0.35">
      <c r="B895" s="22"/>
      <c r="E895" s="113"/>
      <c r="F895" s="113"/>
      <c r="G895" s="113"/>
    </row>
    <row r="896" spans="2:7" x14ac:dyDescent="0.35">
      <c r="B896" s="22"/>
      <c r="E896" s="113"/>
      <c r="F896" s="113"/>
      <c r="G896" s="113"/>
    </row>
    <row r="897" spans="2:7" x14ac:dyDescent="0.35">
      <c r="B897" s="22"/>
      <c r="E897" s="113"/>
      <c r="F897" s="113"/>
      <c r="G897" s="113"/>
    </row>
    <row r="898" spans="2:7" x14ac:dyDescent="0.35">
      <c r="B898" s="22"/>
      <c r="E898" s="113"/>
      <c r="F898" s="113"/>
      <c r="G898" s="113"/>
    </row>
    <row r="899" spans="2:7" x14ac:dyDescent="0.35">
      <c r="B899" s="22"/>
      <c r="E899" s="113"/>
      <c r="F899" s="113"/>
      <c r="G899" s="113"/>
    </row>
    <row r="900" spans="2:7" x14ac:dyDescent="0.35">
      <c r="B900" s="22"/>
      <c r="E900" s="113"/>
      <c r="F900" s="113"/>
      <c r="G900" s="113"/>
    </row>
    <row r="901" spans="2:7" x14ac:dyDescent="0.35">
      <c r="B901" s="22"/>
      <c r="E901" s="113"/>
      <c r="F901" s="113"/>
      <c r="G901" s="113"/>
    </row>
    <row r="902" spans="2:7" x14ac:dyDescent="0.35">
      <c r="B902" s="22"/>
      <c r="E902" s="113"/>
      <c r="F902" s="113"/>
      <c r="G902" s="113"/>
    </row>
    <row r="903" spans="2:7" x14ac:dyDescent="0.35">
      <c r="B903" s="22"/>
      <c r="E903" s="113"/>
      <c r="F903" s="113"/>
      <c r="G903" s="113"/>
    </row>
    <row r="904" spans="2:7" x14ac:dyDescent="0.35">
      <c r="B904" s="22"/>
      <c r="E904" s="113"/>
      <c r="F904" s="113"/>
      <c r="G904" s="113"/>
    </row>
    <row r="905" spans="2:7" x14ac:dyDescent="0.35">
      <c r="B905" s="22"/>
      <c r="E905" s="113"/>
      <c r="F905" s="113"/>
      <c r="G905" s="113"/>
    </row>
    <row r="906" spans="2:7" x14ac:dyDescent="0.35">
      <c r="B906" s="22"/>
      <c r="E906" s="113"/>
      <c r="F906" s="113"/>
      <c r="G906" s="113"/>
    </row>
    <row r="907" spans="2:7" x14ac:dyDescent="0.35">
      <c r="B907" s="22"/>
      <c r="E907" s="113"/>
      <c r="F907" s="113"/>
      <c r="G907" s="113"/>
    </row>
    <row r="908" spans="2:7" x14ac:dyDescent="0.35">
      <c r="B908" s="22"/>
      <c r="E908" s="113"/>
      <c r="F908" s="113"/>
      <c r="G908" s="113"/>
    </row>
    <row r="909" spans="2:7" x14ac:dyDescent="0.35">
      <c r="B909" s="22"/>
      <c r="E909" s="113"/>
      <c r="F909" s="113"/>
      <c r="G909" s="113"/>
    </row>
    <row r="910" spans="2:7" x14ac:dyDescent="0.35">
      <c r="B910" s="22"/>
      <c r="E910" s="113"/>
      <c r="F910" s="113"/>
      <c r="G910" s="113"/>
    </row>
    <row r="911" spans="2:7" x14ac:dyDescent="0.35">
      <c r="B911" s="22"/>
      <c r="E911" s="113"/>
      <c r="F911" s="113"/>
      <c r="G911" s="113"/>
    </row>
    <row r="912" spans="2:7" x14ac:dyDescent="0.35">
      <c r="B912" s="22"/>
      <c r="E912" s="113"/>
      <c r="F912" s="113"/>
      <c r="G912" s="113"/>
    </row>
    <row r="913" spans="2:7" x14ac:dyDescent="0.35">
      <c r="B913" s="22"/>
      <c r="E913" s="113"/>
      <c r="F913" s="113"/>
      <c r="G913" s="113"/>
    </row>
    <row r="914" spans="2:7" x14ac:dyDescent="0.35">
      <c r="B914" s="22"/>
      <c r="E914" s="113"/>
      <c r="F914" s="113"/>
      <c r="G914" s="113"/>
    </row>
    <row r="915" spans="2:7" x14ac:dyDescent="0.35">
      <c r="B915" s="22"/>
      <c r="E915" s="113"/>
      <c r="F915" s="113"/>
      <c r="G915" s="113"/>
    </row>
    <row r="916" spans="2:7" x14ac:dyDescent="0.35">
      <c r="B916" s="22"/>
      <c r="E916" s="113"/>
      <c r="F916" s="113"/>
      <c r="G916" s="113"/>
    </row>
    <row r="917" spans="2:7" x14ac:dyDescent="0.35">
      <c r="B917" s="22"/>
      <c r="E917" s="113"/>
      <c r="F917" s="113"/>
      <c r="G917" s="113"/>
    </row>
    <row r="918" spans="2:7" x14ac:dyDescent="0.35">
      <c r="B918" s="22"/>
      <c r="E918" s="113"/>
      <c r="F918" s="113"/>
      <c r="G918" s="113"/>
    </row>
    <row r="919" spans="2:7" x14ac:dyDescent="0.35">
      <c r="B919" s="22"/>
      <c r="E919" s="113"/>
      <c r="F919" s="113"/>
      <c r="G919" s="113"/>
    </row>
    <row r="920" spans="2:7" x14ac:dyDescent="0.35">
      <c r="B920" s="22"/>
      <c r="E920" s="113"/>
      <c r="F920" s="113"/>
      <c r="G920" s="113"/>
    </row>
    <row r="921" spans="2:7" x14ac:dyDescent="0.35">
      <c r="B921" s="22"/>
      <c r="E921" s="113"/>
      <c r="F921" s="113"/>
      <c r="G921" s="113"/>
    </row>
    <row r="922" spans="2:7" x14ac:dyDescent="0.35">
      <c r="B922" s="22"/>
      <c r="E922" s="113"/>
      <c r="F922" s="113"/>
      <c r="G922" s="113"/>
    </row>
    <row r="923" spans="2:7" x14ac:dyDescent="0.35">
      <c r="B923" s="22"/>
      <c r="E923" s="113"/>
      <c r="F923" s="113"/>
      <c r="G923" s="113"/>
    </row>
    <row r="924" spans="2:7" x14ac:dyDescent="0.35">
      <c r="B924" s="22"/>
      <c r="E924" s="113"/>
      <c r="F924" s="113"/>
      <c r="G924" s="113"/>
    </row>
    <row r="925" spans="2:7" x14ac:dyDescent="0.35">
      <c r="B925" s="22"/>
      <c r="E925" s="113"/>
      <c r="F925" s="113"/>
      <c r="G925" s="113"/>
    </row>
    <row r="926" spans="2:7" x14ac:dyDescent="0.35">
      <c r="B926" s="22"/>
      <c r="E926" s="113"/>
      <c r="F926" s="113"/>
      <c r="G926" s="113"/>
    </row>
    <row r="927" spans="2:7" x14ac:dyDescent="0.35">
      <c r="B927" s="22"/>
      <c r="E927" s="113"/>
      <c r="F927" s="113"/>
      <c r="G927" s="113"/>
    </row>
    <row r="928" spans="2:7" x14ac:dyDescent="0.35">
      <c r="B928" s="22"/>
      <c r="E928" s="113"/>
      <c r="F928" s="113"/>
      <c r="G928" s="113"/>
    </row>
    <row r="929" spans="2:7" x14ac:dyDescent="0.35">
      <c r="B929" s="22"/>
      <c r="E929" s="113"/>
      <c r="F929" s="113"/>
      <c r="G929" s="113"/>
    </row>
    <row r="930" spans="2:7" x14ac:dyDescent="0.35">
      <c r="B930" s="22"/>
      <c r="E930" s="113"/>
      <c r="F930" s="113"/>
      <c r="G930" s="113"/>
    </row>
    <row r="931" spans="2:7" x14ac:dyDescent="0.35">
      <c r="B931" s="22"/>
      <c r="E931" s="113"/>
      <c r="F931" s="113"/>
      <c r="G931" s="113"/>
    </row>
    <row r="932" spans="2:7" x14ac:dyDescent="0.35">
      <c r="B932" s="22"/>
      <c r="E932" s="113"/>
      <c r="F932" s="113"/>
      <c r="G932" s="113"/>
    </row>
    <row r="933" spans="2:7" x14ac:dyDescent="0.35">
      <c r="B933" s="22"/>
      <c r="E933" s="113"/>
      <c r="F933" s="113"/>
      <c r="G933" s="113"/>
    </row>
    <row r="934" spans="2:7" x14ac:dyDescent="0.35">
      <c r="B934" s="22"/>
      <c r="E934" s="113"/>
      <c r="F934" s="113"/>
      <c r="G934" s="113"/>
    </row>
    <row r="935" spans="2:7" x14ac:dyDescent="0.35">
      <c r="B935" s="22"/>
      <c r="E935" s="113"/>
      <c r="F935" s="113"/>
      <c r="G935" s="113"/>
    </row>
    <row r="936" spans="2:7" x14ac:dyDescent="0.35">
      <c r="B936" s="22"/>
      <c r="E936" s="113"/>
      <c r="F936" s="113"/>
      <c r="G936" s="113"/>
    </row>
    <row r="937" spans="2:7" x14ac:dyDescent="0.35">
      <c r="B937" s="22"/>
      <c r="E937" s="113"/>
      <c r="F937" s="113"/>
      <c r="G937" s="113"/>
    </row>
    <row r="938" spans="2:7" x14ac:dyDescent="0.35">
      <c r="B938" s="22"/>
      <c r="E938" s="113"/>
      <c r="F938" s="113"/>
      <c r="G938" s="113"/>
    </row>
    <row r="939" spans="2:7" x14ac:dyDescent="0.35">
      <c r="B939" s="22"/>
      <c r="E939" s="113"/>
      <c r="F939" s="113"/>
      <c r="G939" s="113"/>
    </row>
    <row r="940" spans="2:7" x14ac:dyDescent="0.35">
      <c r="B940" s="22"/>
      <c r="E940" s="113"/>
      <c r="F940" s="113"/>
      <c r="G940" s="113"/>
    </row>
    <row r="941" spans="2:7" x14ac:dyDescent="0.35">
      <c r="B941" s="22"/>
      <c r="E941" s="113"/>
      <c r="F941" s="113"/>
      <c r="G941" s="113"/>
    </row>
    <row r="942" spans="2:7" x14ac:dyDescent="0.35">
      <c r="B942" s="22"/>
      <c r="E942" s="113"/>
      <c r="F942" s="113"/>
      <c r="G942" s="113"/>
    </row>
    <row r="943" spans="2:7" x14ac:dyDescent="0.35">
      <c r="B943" s="22"/>
      <c r="E943" s="113"/>
      <c r="F943" s="113"/>
      <c r="G943" s="113"/>
    </row>
    <row r="944" spans="2:7" x14ac:dyDescent="0.35">
      <c r="B944" s="22"/>
      <c r="E944" s="113"/>
      <c r="F944" s="113"/>
      <c r="G944" s="113"/>
    </row>
    <row r="945" spans="2:7" x14ac:dyDescent="0.35">
      <c r="B945" s="22"/>
      <c r="E945" s="113"/>
      <c r="F945" s="113"/>
      <c r="G945" s="113"/>
    </row>
    <row r="946" spans="2:7" x14ac:dyDescent="0.35">
      <c r="B946" s="22"/>
      <c r="E946" s="113"/>
      <c r="F946" s="113"/>
      <c r="G946" s="113"/>
    </row>
    <row r="947" spans="2:7" x14ac:dyDescent="0.35">
      <c r="B947" s="22"/>
      <c r="E947" s="113"/>
      <c r="F947" s="113"/>
      <c r="G947" s="113"/>
    </row>
    <row r="948" spans="2:7" x14ac:dyDescent="0.35">
      <c r="B948" s="22"/>
      <c r="E948" s="113"/>
      <c r="F948" s="113"/>
      <c r="G948" s="113"/>
    </row>
    <row r="949" spans="2:7" x14ac:dyDescent="0.35">
      <c r="B949" s="22"/>
      <c r="E949" s="113"/>
      <c r="F949" s="113"/>
      <c r="G949" s="113"/>
    </row>
    <row r="950" spans="2:7" x14ac:dyDescent="0.35">
      <c r="B950" s="22"/>
      <c r="E950" s="113"/>
      <c r="F950" s="113"/>
      <c r="G950" s="113"/>
    </row>
    <row r="951" spans="2:7" x14ac:dyDescent="0.35">
      <c r="B951" s="22"/>
      <c r="E951" s="113"/>
      <c r="F951" s="113"/>
      <c r="G951" s="113"/>
    </row>
    <row r="952" spans="2:7" x14ac:dyDescent="0.35">
      <c r="B952" s="22"/>
      <c r="E952" s="113"/>
      <c r="F952" s="113"/>
      <c r="G952" s="113"/>
    </row>
    <row r="953" spans="2:7" x14ac:dyDescent="0.35">
      <c r="B953" s="22"/>
      <c r="E953" s="113"/>
      <c r="F953" s="113"/>
      <c r="G953" s="113"/>
    </row>
    <row r="954" spans="2:7" x14ac:dyDescent="0.35">
      <c r="B954" s="22"/>
      <c r="E954" s="113"/>
      <c r="F954" s="113"/>
      <c r="G954" s="113"/>
    </row>
    <row r="955" spans="2:7" x14ac:dyDescent="0.35">
      <c r="B955" s="22"/>
      <c r="E955" s="113"/>
      <c r="F955" s="113"/>
      <c r="G955" s="113"/>
    </row>
    <row r="956" spans="2:7" x14ac:dyDescent="0.35">
      <c r="B956" s="22"/>
      <c r="E956" s="113"/>
      <c r="F956" s="113"/>
      <c r="G956" s="113"/>
    </row>
    <row r="957" spans="2:7" x14ac:dyDescent="0.35">
      <c r="B957" s="22"/>
      <c r="E957" s="113"/>
      <c r="F957" s="113"/>
      <c r="G957" s="113"/>
    </row>
    <row r="958" spans="2:7" x14ac:dyDescent="0.35">
      <c r="B958" s="22"/>
      <c r="E958" s="113"/>
      <c r="F958" s="113"/>
      <c r="G958" s="113"/>
    </row>
    <row r="959" spans="2:7" x14ac:dyDescent="0.35">
      <c r="B959" s="22"/>
      <c r="E959" s="113"/>
      <c r="F959" s="113"/>
      <c r="G959" s="113"/>
    </row>
    <row r="960" spans="2:7" x14ac:dyDescent="0.35">
      <c r="B960" s="22"/>
      <c r="E960" s="113"/>
      <c r="F960" s="113"/>
      <c r="G960" s="113"/>
    </row>
    <row r="961" spans="2:7" x14ac:dyDescent="0.35">
      <c r="B961" s="22"/>
      <c r="E961" s="113"/>
      <c r="F961" s="113"/>
      <c r="G961" s="113"/>
    </row>
    <row r="962" spans="2:7" x14ac:dyDescent="0.35">
      <c r="B962" s="22"/>
      <c r="E962" s="113"/>
      <c r="F962" s="113"/>
      <c r="G962" s="113"/>
    </row>
    <row r="963" spans="2:7" x14ac:dyDescent="0.35">
      <c r="B963" s="22"/>
      <c r="E963" s="113"/>
      <c r="F963" s="113"/>
      <c r="G963" s="113"/>
    </row>
    <row r="964" spans="2:7" x14ac:dyDescent="0.35">
      <c r="B964" s="22"/>
      <c r="E964" s="113"/>
      <c r="F964" s="113"/>
      <c r="G964" s="113"/>
    </row>
    <row r="965" spans="2:7" x14ac:dyDescent="0.35">
      <c r="B965" s="22"/>
      <c r="E965" s="113"/>
      <c r="F965" s="113"/>
      <c r="G965" s="113"/>
    </row>
    <row r="966" spans="2:7" x14ac:dyDescent="0.35">
      <c r="B966" s="22"/>
      <c r="E966" s="113"/>
      <c r="F966" s="113"/>
      <c r="G966" s="113"/>
    </row>
    <row r="967" spans="2:7" x14ac:dyDescent="0.35">
      <c r="B967" s="22"/>
      <c r="E967" s="113"/>
      <c r="F967" s="113"/>
      <c r="G967" s="113"/>
    </row>
    <row r="968" spans="2:7" x14ac:dyDescent="0.35">
      <c r="B968" s="22"/>
      <c r="E968" s="113"/>
      <c r="F968" s="113"/>
      <c r="G968" s="113"/>
    </row>
    <row r="969" spans="2:7" x14ac:dyDescent="0.35">
      <c r="B969" s="22"/>
      <c r="E969" s="113"/>
      <c r="F969" s="113"/>
      <c r="G969" s="113"/>
    </row>
    <row r="970" spans="2:7" x14ac:dyDescent="0.35">
      <c r="B970" s="22"/>
      <c r="E970" s="113"/>
      <c r="F970" s="113"/>
      <c r="G970" s="113"/>
    </row>
    <row r="971" spans="2:7" x14ac:dyDescent="0.35">
      <c r="B971" s="22"/>
      <c r="E971" s="113"/>
      <c r="F971" s="113"/>
      <c r="G971" s="113"/>
    </row>
    <row r="972" spans="2:7" x14ac:dyDescent="0.35">
      <c r="B972" s="22"/>
      <c r="E972" s="113"/>
      <c r="F972" s="113"/>
      <c r="G972" s="113"/>
    </row>
    <row r="973" spans="2:7" x14ac:dyDescent="0.35">
      <c r="B973" s="22"/>
      <c r="E973" s="113"/>
      <c r="F973" s="113"/>
      <c r="G973" s="113"/>
    </row>
    <row r="974" spans="2:7" x14ac:dyDescent="0.35">
      <c r="B974" s="22"/>
      <c r="E974" s="113"/>
      <c r="F974" s="113"/>
      <c r="G974" s="113"/>
    </row>
    <row r="975" spans="2:7" x14ac:dyDescent="0.35">
      <c r="B975" s="22"/>
      <c r="E975" s="113"/>
      <c r="F975" s="113"/>
      <c r="G975" s="113"/>
    </row>
    <row r="976" spans="2:7" x14ac:dyDescent="0.35">
      <c r="B976" s="22"/>
      <c r="E976" s="113"/>
      <c r="F976" s="113"/>
      <c r="G976" s="113"/>
    </row>
    <row r="977" spans="2:7" x14ac:dyDescent="0.35">
      <c r="B977" s="22"/>
      <c r="E977" s="113"/>
      <c r="F977" s="113"/>
      <c r="G977" s="113"/>
    </row>
    <row r="978" spans="2:7" x14ac:dyDescent="0.35">
      <c r="B978" s="22"/>
      <c r="E978" s="113"/>
      <c r="F978" s="113"/>
      <c r="G978" s="113"/>
    </row>
    <row r="979" spans="2:7" x14ac:dyDescent="0.35">
      <c r="B979" s="22"/>
      <c r="E979" s="113"/>
      <c r="F979" s="113"/>
      <c r="G979" s="113"/>
    </row>
    <row r="980" spans="2:7" x14ac:dyDescent="0.35">
      <c r="B980" s="22"/>
      <c r="E980" s="113"/>
      <c r="F980" s="113"/>
      <c r="G980" s="113"/>
    </row>
    <row r="981" spans="2:7" x14ac:dyDescent="0.35">
      <c r="B981" s="22"/>
      <c r="E981" s="113"/>
      <c r="F981" s="113"/>
      <c r="G981" s="113"/>
    </row>
    <row r="982" spans="2:7" x14ac:dyDescent="0.35">
      <c r="B982" s="22"/>
      <c r="E982" s="113"/>
      <c r="F982" s="113"/>
      <c r="G982" s="113"/>
    </row>
    <row r="983" spans="2:7" x14ac:dyDescent="0.35">
      <c r="B983" s="22"/>
      <c r="E983" s="113"/>
      <c r="F983" s="113"/>
      <c r="G983" s="113"/>
    </row>
    <row r="984" spans="2:7" x14ac:dyDescent="0.35">
      <c r="B984" s="22"/>
      <c r="E984" s="113"/>
      <c r="F984" s="113"/>
      <c r="G984" s="113"/>
    </row>
    <row r="985" spans="2:7" x14ac:dyDescent="0.35">
      <c r="B985" s="22"/>
      <c r="E985" s="113"/>
      <c r="F985" s="113"/>
      <c r="G985" s="113"/>
    </row>
    <row r="986" spans="2:7" x14ac:dyDescent="0.35">
      <c r="B986" s="22"/>
      <c r="E986" s="113"/>
      <c r="F986" s="113"/>
      <c r="G986" s="113"/>
    </row>
    <row r="987" spans="2:7" x14ac:dyDescent="0.35">
      <c r="B987" s="22"/>
      <c r="E987" s="113"/>
      <c r="F987" s="113"/>
      <c r="G987" s="113"/>
    </row>
    <row r="988" spans="2:7" x14ac:dyDescent="0.35">
      <c r="B988" s="22"/>
      <c r="E988" s="113"/>
      <c r="F988" s="113"/>
      <c r="G988" s="113"/>
    </row>
    <row r="989" spans="2:7" x14ac:dyDescent="0.35">
      <c r="B989" s="22"/>
      <c r="E989" s="113"/>
      <c r="F989" s="113"/>
      <c r="G989" s="113"/>
    </row>
    <row r="990" spans="2:7" x14ac:dyDescent="0.35">
      <c r="B990" s="22"/>
      <c r="E990" s="113"/>
      <c r="F990" s="113"/>
      <c r="G990" s="113"/>
    </row>
    <row r="991" spans="2:7" x14ac:dyDescent="0.35">
      <c r="B991" s="22"/>
      <c r="E991" s="113"/>
      <c r="F991" s="113"/>
      <c r="G991" s="113"/>
    </row>
    <row r="992" spans="2:7" x14ac:dyDescent="0.35">
      <c r="B992" s="22"/>
      <c r="E992" s="113"/>
      <c r="F992" s="113"/>
      <c r="G992" s="113"/>
    </row>
    <row r="993" spans="2:7" x14ac:dyDescent="0.35">
      <c r="B993" s="22"/>
      <c r="E993" s="113"/>
      <c r="F993" s="113"/>
      <c r="G993" s="113"/>
    </row>
    <row r="994" spans="2:7" x14ac:dyDescent="0.35">
      <c r="B994" s="22"/>
      <c r="E994" s="113"/>
      <c r="F994" s="113"/>
      <c r="G994" s="113"/>
    </row>
    <row r="995" spans="2:7" x14ac:dyDescent="0.35">
      <c r="B995" s="22"/>
      <c r="E995" s="113"/>
      <c r="F995" s="113"/>
      <c r="G995" s="113"/>
    </row>
    <row r="996" spans="2:7" x14ac:dyDescent="0.35">
      <c r="B996" s="22"/>
      <c r="E996" s="113"/>
      <c r="F996" s="113"/>
      <c r="G996" s="113"/>
    </row>
    <row r="997" spans="2:7" x14ac:dyDescent="0.35">
      <c r="B997" s="22"/>
      <c r="E997" s="113"/>
      <c r="F997" s="113"/>
      <c r="G997" s="113"/>
    </row>
    <row r="998" spans="2:7" x14ac:dyDescent="0.35">
      <c r="B998" s="22"/>
      <c r="E998" s="113"/>
      <c r="F998" s="113"/>
      <c r="G998" s="113"/>
    </row>
    <row r="999" spans="2:7" x14ac:dyDescent="0.35">
      <c r="B999" s="22"/>
      <c r="E999" s="113"/>
      <c r="F999" s="113"/>
      <c r="G999" s="113"/>
    </row>
    <row r="1000" spans="2:7" x14ac:dyDescent="0.35">
      <c r="B1000" s="22"/>
      <c r="E1000" s="113"/>
      <c r="F1000" s="113"/>
      <c r="G1000" s="113"/>
    </row>
    <row r="1001" spans="2:7" x14ac:dyDescent="0.35">
      <c r="B1001" s="22"/>
      <c r="E1001" s="113"/>
      <c r="F1001" s="113"/>
      <c r="G1001" s="113"/>
    </row>
    <row r="1002" spans="2:7" x14ac:dyDescent="0.35">
      <c r="B1002" s="22"/>
      <c r="E1002" s="113"/>
      <c r="F1002" s="113"/>
      <c r="G1002" s="113"/>
    </row>
    <row r="1003" spans="2:7" x14ac:dyDescent="0.35">
      <c r="B1003" s="22"/>
      <c r="E1003" s="113"/>
      <c r="F1003" s="113"/>
      <c r="G1003" s="113"/>
    </row>
    <row r="1004" spans="2:7" x14ac:dyDescent="0.35">
      <c r="B1004" s="22"/>
      <c r="E1004" s="113"/>
      <c r="F1004" s="113"/>
      <c r="G1004" s="113"/>
    </row>
    <row r="1005" spans="2:7" x14ac:dyDescent="0.35">
      <c r="B1005" s="22"/>
      <c r="E1005" s="113"/>
      <c r="F1005" s="113"/>
      <c r="G1005" s="113"/>
    </row>
    <row r="1006" spans="2:7" x14ac:dyDescent="0.35">
      <c r="B1006" s="22"/>
      <c r="E1006" s="113"/>
      <c r="F1006" s="113"/>
      <c r="G1006" s="113"/>
    </row>
    <row r="1007" spans="2:7" x14ac:dyDescent="0.35">
      <c r="B1007" s="22"/>
      <c r="E1007" s="113"/>
      <c r="F1007" s="113"/>
      <c r="G1007" s="113"/>
    </row>
    <row r="1008" spans="2:7" x14ac:dyDescent="0.35">
      <c r="B1008" s="22"/>
      <c r="E1008" s="113"/>
      <c r="F1008" s="113"/>
      <c r="G1008" s="113"/>
    </row>
    <row r="1009" spans="2:7" x14ac:dyDescent="0.35">
      <c r="B1009" s="22"/>
      <c r="E1009" s="113"/>
      <c r="F1009" s="113"/>
      <c r="G1009" s="113"/>
    </row>
    <row r="1010" spans="2:7" x14ac:dyDescent="0.35">
      <c r="B1010" s="22"/>
      <c r="E1010" s="113"/>
      <c r="F1010" s="113"/>
      <c r="G1010" s="113"/>
    </row>
    <row r="1011" spans="2:7" x14ac:dyDescent="0.35">
      <c r="B1011" s="22"/>
      <c r="E1011" s="113"/>
      <c r="F1011" s="113"/>
      <c r="G1011" s="113"/>
    </row>
    <row r="1012" spans="2:7" x14ac:dyDescent="0.35">
      <c r="B1012" s="22"/>
      <c r="E1012" s="113"/>
      <c r="F1012" s="113"/>
      <c r="G1012" s="113"/>
    </row>
    <row r="1013" spans="2:7" x14ac:dyDescent="0.35">
      <c r="B1013" s="22"/>
      <c r="E1013" s="113"/>
      <c r="F1013" s="113"/>
      <c r="G1013" s="113"/>
    </row>
    <row r="1014" spans="2:7" x14ac:dyDescent="0.35">
      <c r="B1014" s="22"/>
      <c r="E1014" s="113"/>
      <c r="F1014" s="113"/>
      <c r="G1014" s="113"/>
    </row>
    <row r="1015" spans="2:7" x14ac:dyDescent="0.35">
      <c r="B1015" s="22"/>
      <c r="E1015" s="113"/>
      <c r="F1015" s="113"/>
      <c r="G1015" s="113"/>
    </row>
    <row r="1016" spans="2:7" x14ac:dyDescent="0.35">
      <c r="B1016" s="22"/>
      <c r="E1016" s="113"/>
      <c r="F1016" s="113"/>
      <c r="G1016" s="113"/>
    </row>
    <row r="1017" spans="2:7" x14ac:dyDescent="0.35">
      <c r="B1017" s="22"/>
      <c r="E1017" s="113"/>
      <c r="F1017" s="113"/>
      <c r="G1017" s="113"/>
    </row>
    <row r="1018" spans="2:7" x14ac:dyDescent="0.35">
      <c r="B1018" s="22"/>
      <c r="E1018" s="113"/>
      <c r="F1018" s="113"/>
      <c r="G1018" s="113"/>
    </row>
    <row r="1019" spans="2:7" x14ac:dyDescent="0.35">
      <c r="B1019" s="22"/>
      <c r="E1019" s="113"/>
      <c r="F1019" s="113"/>
      <c r="G1019" s="113"/>
    </row>
    <row r="1020" spans="2:7" x14ac:dyDescent="0.35">
      <c r="B1020" s="22"/>
      <c r="E1020" s="113"/>
      <c r="F1020" s="113"/>
      <c r="G1020" s="113"/>
    </row>
    <row r="1021" spans="2:7" x14ac:dyDescent="0.35">
      <c r="B1021" s="22"/>
      <c r="E1021" s="113"/>
      <c r="F1021" s="113"/>
      <c r="G1021" s="113"/>
    </row>
    <row r="1022" spans="2:7" x14ac:dyDescent="0.35">
      <c r="B1022" s="22"/>
      <c r="E1022" s="113"/>
      <c r="F1022" s="113"/>
      <c r="G1022" s="113"/>
    </row>
    <row r="1023" spans="2:7" x14ac:dyDescent="0.35">
      <c r="B1023" s="22"/>
      <c r="E1023" s="113"/>
      <c r="F1023" s="113"/>
      <c r="G1023" s="113"/>
    </row>
    <row r="1024" spans="2:7" x14ac:dyDescent="0.35">
      <c r="B1024" s="22"/>
      <c r="E1024" s="113"/>
      <c r="F1024" s="113"/>
      <c r="G1024" s="113"/>
    </row>
    <row r="1025" spans="2:7" x14ac:dyDescent="0.35">
      <c r="B1025" s="22"/>
      <c r="E1025" s="113"/>
      <c r="F1025" s="113"/>
      <c r="G1025" s="113"/>
    </row>
    <row r="1026" spans="2:7" x14ac:dyDescent="0.35">
      <c r="B1026" s="22"/>
      <c r="E1026" s="113"/>
      <c r="F1026" s="113"/>
      <c r="G1026" s="113"/>
    </row>
    <row r="1027" spans="2:7" x14ac:dyDescent="0.35">
      <c r="B1027" s="22"/>
      <c r="E1027" s="113"/>
      <c r="F1027" s="113"/>
      <c r="G1027" s="113"/>
    </row>
    <row r="1028" spans="2:7" x14ac:dyDescent="0.35">
      <c r="B1028" s="22"/>
      <c r="E1028" s="113"/>
      <c r="F1028" s="113"/>
      <c r="G1028" s="113"/>
    </row>
    <row r="1029" spans="2:7" x14ac:dyDescent="0.35">
      <c r="B1029" s="22"/>
      <c r="E1029" s="113"/>
      <c r="F1029" s="113"/>
      <c r="G1029" s="113"/>
    </row>
    <row r="1030" spans="2:7" x14ac:dyDescent="0.35">
      <c r="B1030" s="22"/>
      <c r="E1030" s="113"/>
      <c r="F1030" s="113"/>
      <c r="G1030" s="113"/>
    </row>
    <row r="1031" spans="2:7" x14ac:dyDescent="0.35">
      <c r="B1031" s="22"/>
      <c r="E1031" s="113"/>
      <c r="F1031" s="113"/>
      <c r="G1031" s="113"/>
    </row>
    <row r="1032" spans="2:7" x14ac:dyDescent="0.35">
      <c r="B1032" s="22"/>
      <c r="E1032" s="113"/>
      <c r="F1032" s="113"/>
      <c r="G1032" s="113"/>
    </row>
    <row r="1033" spans="2:7" x14ac:dyDescent="0.35">
      <c r="B1033" s="22"/>
      <c r="E1033" s="113"/>
      <c r="F1033" s="113"/>
      <c r="G1033" s="113"/>
    </row>
    <row r="1034" spans="2:7" x14ac:dyDescent="0.35">
      <c r="B1034" s="22"/>
      <c r="E1034" s="113"/>
      <c r="F1034" s="113"/>
      <c r="G1034" s="113"/>
    </row>
    <row r="1035" spans="2:7" x14ac:dyDescent="0.35">
      <c r="B1035" s="22"/>
      <c r="E1035" s="113"/>
      <c r="F1035" s="113"/>
      <c r="G1035" s="113"/>
    </row>
    <row r="1036" spans="2:7" x14ac:dyDescent="0.35">
      <c r="B1036" s="22"/>
      <c r="E1036" s="113"/>
      <c r="F1036" s="113"/>
      <c r="G1036" s="113"/>
    </row>
    <row r="1037" spans="2:7" x14ac:dyDescent="0.35">
      <c r="B1037" s="22"/>
      <c r="E1037" s="113"/>
      <c r="F1037" s="113"/>
      <c r="G1037" s="113"/>
    </row>
    <row r="1038" spans="2:7" x14ac:dyDescent="0.35">
      <c r="B1038" s="22"/>
      <c r="E1038" s="113"/>
      <c r="F1038" s="113"/>
      <c r="G1038" s="113"/>
    </row>
    <row r="1039" spans="2:7" x14ac:dyDescent="0.35">
      <c r="B1039" s="22"/>
      <c r="E1039" s="113"/>
      <c r="F1039" s="113"/>
      <c r="G1039" s="113"/>
    </row>
    <row r="1040" spans="2:7" x14ac:dyDescent="0.35">
      <c r="B1040" s="22"/>
      <c r="E1040" s="113"/>
      <c r="F1040" s="113"/>
      <c r="G1040" s="113"/>
    </row>
    <row r="1041" spans="2:7" x14ac:dyDescent="0.35">
      <c r="B1041" s="22"/>
      <c r="E1041" s="113"/>
      <c r="F1041" s="113"/>
      <c r="G1041" s="113"/>
    </row>
    <row r="1042" spans="2:7" x14ac:dyDescent="0.35">
      <c r="B1042" s="22"/>
      <c r="E1042" s="113"/>
      <c r="F1042" s="113"/>
      <c r="G1042" s="113"/>
    </row>
    <row r="1043" spans="2:7" x14ac:dyDescent="0.35">
      <c r="B1043" s="22"/>
      <c r="E1043" s="113"/>
      <c r="F1043" s="113"/>
      <c r="G1043" s="113"/>
    </row>
    <row r="1044" spans="2:7" x14ac:dyDescent="0.35">
      <c r="B1044" s="22"/>
      <c r="E1044" s="113"/>
      <c r="F1044" s="113"/>
      <c r="G1044" s="113"/>
    </row>
    <row r="1045" spans="2:7" x14ac:dyDescent="0.35">
      <c r="B1045" s="22"/>
      <c r="E1045" s="113"/>
      <c r="F1045" s="113"/>
      <c r="G1045" s="113"/>
    </row>
    <row r="1046" spans="2:7" x14ac:dyDescent="0.35">
      <c r="B1046" s="22"/>
      <c r="E1046" s="113"/>
      <c r="F1046" s="113"/>
      <c r="G1046" s="113"/>
    </row>
    <row r="1047" spans="2:7" x14ac:dyDescent="0.35">
      <c r="B1047" s="22"/>
      <c r="E1047" s="113"/>
      <c r="F1047" s="113"/>
      <c r="G1047" s="113"/>
    </row>
    <row r="1048" spans="2:7" x14ac:dyDescent="0.35">
      <c r="B1048" s="22"/>
      <c r="E1048" s="113"/>
      <c r="F1048" s="113"/>
      <c r="G1048" s="113"/>
    </row>
    <row r="1049" spans="2:7" x14ac:dyDescent="0.35">
      <c r="B1049" s="22"/>
      <c r="E1049" s="113"/>
      <c r="F1049" s="113"/>
      <c r="G1049" s="113"/>
    </row>
    <row r="1050" spans="2:7" x14ac:dyDescent="0.35">
      <c r="B1050" s="22"/>
      <c r="E1050" s="113"/>
      <c r="F1050" s="113"/>
      <c r="G1050" s="113"/>
    </row>
    <row r="1051" spans="2:7" x14ac:dyDescent="0.35">
      <c r="B1051" s="22"/>
      <c r="E1051" s="113"/>
      <c r="F1051" s="113"/>
      <c r="G1051" s="113"/>
    </row>
    <row r="1052" spans="2:7" x14ac:dyDescent="0.35">
      <c r="B1052" s="22"/>
      <c r="E1052" s="113"/>
      <c r="F1052" s="113"/>
      <c r="G1052" s="113"/>
    </row>
    <row r="1053" spans="2:7" x14ac:dyDescent="0.35">
      <c r="B1053" s="22"/>
      <c r="E1053" s="113"/>
      <c r="F1053" s="113"/>
      <c r="G1053" s="113"/>
    </row>
    <row r="1054" spans="2:7" x14ac:dyDescent="0.35">
      <c r="B1054" s="22"/>
      <c r="E1054" s="113"/>
      <c r="F1054" s="113"/>
      <c r="G1054" s="113"/>
    </row>
    <row r="1055" spans="2:7" x14ac:dyDescent="0.35">
      <c r="B1055" s="22"/>
      <c r="E1055" s="113"/>
      <c r="F1055" s="113"/>
      <c r="G1055" s="113"/>
    </row>
    <row r="1056" spans="2:7" x14ac:dyDescent="0.35">
      <c r="B1056" s="22"/>
      <c r="E1056" s="113"/>
      <c r="F1056" s="113"/>
      <c r="G1056" s="113"/>
    </row>
    <row r="1057" spans="2:7" x14ac:dyDescent="0.35">
      <c r="B1057" s="22"/>
      <c r="E1057" s="113"/>
      <c r="F1057" s="113"/>
      <c r="G1057" s="113"/>
    </row>
    <row r="1058" spans="2:7" x14ac:dyDescent="0.35">
      <c r="B1058" s="22"/>
      <c r="E1058" s="113"/>
      <c r="F1058" s="113"/>
      <c r="G1058" s="113"/>
    </row>
    <row r="1059" spans="2:7" x14ac:dyDescent="0.35">
      <c r="B1059" s="22"/>
      <c r="E1059" s="113"/>
      <c r="F1059" s="113"/>
      <c r="G1059" s="113"/>
    </row>
    <row r="1060" spans="2:7" x14ac:dyDescent="0.35">
      <c r="B1060" s="22"/>
      <c r="E1060" s="113"/>
      <c r="F1060" s="113"/>
      <c r="G1060" s="113"/>
    </row>
    <row r="1061" spans="2:7" x14ac:dyDescent="0.35">
      <c r="B1061" s="22"/>
      <c r="E1061" s="113"/>
      <c r="F1061" s="113"/>
      <c r="G1061" s="113"/>
    </row>
    <row r="1062" spans="2:7" x14ac:dyDescent="0.35">
      <c r="B1062" s="22"/>
      <c r="E1062" s="113"/>
      <c r="F1062" s="113"/>
      <c r="G1062" s="113"/>
    </row>
    <row r="1063" spans="2:7" x14ac:dyDescent="0.35">
      <c r="B1063" s="22"/>
      <c r="E1063" s="113"/>
      <c r="F1063" s="113"/>
      <c r="G1063" s="113"/>
    </row>
    <row r="1064" spans="2:7" x14ac:dyDescent="0.35">
      <c r="B1064" s="22"/>
      <c r="E1064" s="113"/>
      <c r="F1064" s="113"/>
      <c r="G1064" s="113"/>
    </row>
    <row r="1065" spans="2:7" x14ac:dyDescent="0.35">
      <c r="B1065" s="22"/>
      <c r="E1065" s="113"/>
      <c r="F1065" s="113"/>
      <c r="G1065" s="113"/>
    </row>
    <row r="1066" spans="2:7" x14ac:dyDescent="0.35">
      <c r="B1066" s="22"/>
      <c r="E1066" s="113"/>
      <c r="F1066" s="113"/>
      <c r="G1066" s="113"/>
    </row>
    <row r="1067" spans="2:7" x14ac:dyDescent="0.35">
      <c r="B1067" s="22"/>
      <c r="E1067" s="113"/>
      <c r="F1067" s="113"/>
      <c r="G1067" s="113"/>
    </row>
    <row r="1068" spans="2:7" x14ac:dyDescent="0.35">
      <c r="B1068" s="22"/>
      <c r="E1068" s="113"/>
      <c r="F1068" s="113"/>
      <c r="G1068" s="113"/>
    </row>
    <row r="1069" spans="2:7" x14ac:dyDescent="0.35">
      <c r="B1069" s="22"/>
      <c r="E1069" s="113"/>
      <c r="F1069" s="113"/>
      <c r="G1069" s="113"/>
    </row>
    <row r="1070" spans="2:7" x14ac:dyDescent="0.35">
      <c r="B1070" s="22"/>
      <c r="E1070" s="113"/>
      <c r="F1070" s="113"/>
      <c r="G1070" s="113"/>
    </row>
    <row r="1071" spans="2:7" x14ac:dyDescent="0.35">
      <c r="B1071" s="22"/>
      <c r="E1071" s="113"/>
      <c r="F1071" s="113"/>
      <c r="G1071" s="113"/>
    </row>
    <row r="1072" spans="2:7" x14ac:dyDescent="0.35">
      <c r="B1072" s="22"/>
      <c r="E1072" s="113"/>
      <c r="F1072" s="113"/>
      <c r="G1072" s="113"/>
    </row>
    <row r="1073" spans="2:7" x14ac:dyDescent="0.35">
      <c r="B1073" s="22"/>
      <c r="E1073" s="113"/>
      <c r="F1073" s="113"/>
      <c r="G1073" s="113"/>
    </row>
    <row r="1074" spans="2:7" x14ac:dyDescent="0.35">
      <c r="B1074" s="22"/>
      <c r="E1074" s="113"/>
      <c r="F1074" s="113"/>
      <c r="G1074" s="113"/>
    </row>
    <row r="1075" spans="2:7" x14ac:dyDescent="0.35">
      <c r="B1075" s="22"/>
      <c r="E1075" s="113"/>
      <c r="F1075" s="113"/>
      <c r="G1075" s="113"/>
    </row>
    <row r="1076" spans="2:7" x14ac:dyDescent="0.35">
      <c r="B1076" s="22"/>
      <c r="E1076" s="113"/>
      <c r="F1076" s="113"/>
      <c r="G1076" s="113"/>
    </row>
    <row r="1077" spans="2:7" x14ac:dyDescent="0.35">
      <c r="B1077" s="22"/>
      <c r="E1077" s="113"/>
      <c r="F1077" s="113"/>
      <c r="G1077" s="113"/>
    </row>
    <row r="1078" spans="2:7" x14ac:dyDescent="0.35">
      <c r="B1078" s="22"/>
      <c r="E1078" s="113"/>
      <c r="F1078" s="113"/>
      <c r="G1078" s="113"/>
    </row>
    <row r="1079" spans="2:7" x14ac:dyDescent="0.35">
      <c r="B1079" s="22"/>
      <c r="E1079" s="113"/>
      <c r="F1079" s="113"/>
      <c r="G1079" s="113"/>
    </row>
    <row r="1080" spans="2:7" x14ac:dyDescent="0.35">
      <c r="B1080" s="22"/>
      <c r="E1080" s="113"/>
      <c r="F1080" s="113"/>
      <c r="G1080" s="113"/>
    </row>
    <row r="1081" spans="2:7" x14ac:dyDescent="0.35">
      <c r="B1081" s="22"/>
      <c r="E1081" s="113"/>
      <c r="F1081" s="113"/>
      <c r="G1081" s="113"/>
    </row>
    <row r="1082" spans="2:7" x14ac:dyDescent="0.35">
      <c r="B1082" s="22"/>
      <c r="E1082" s="113"/>
      <c r="F1082" s="113"/>
      <c r="G1082" s="113"/>
    </row>
    <row r="1083" spans="2:7" x14ac:dyDescent="0.35">
      <c r="B1083" s="22"/>
      <c r="E1083" s="113"/>
      <c r="F1083" s="113"/>
      <c r="G1083" s="113"/>
    </row>
    <row r="1084" spans="2:7" x14ac:dyDescent="0.35">
      <c r="B1084" s="22"/>
      <c r="E1084" s="113"/>
      <c r="F1084" s="113"/>
      <c r="G1084" s="113"/>
    </row>
    <row r="1085" spans="2:7" x14ac:dyDescent="0.35">
      <c r="B1085" s="22"/>
      <c r="E1085" s="113"/>
      <c r="F1085" s="113"/>
      <c r="G1085" s="113"/>
    </row>
    <row r="1086" spans="2:7" x14ac:dyDescent="0.35">
      <c r="B1086" s="22"/>
      <c r="E1086" s="113"/>
      <c r="F1086" s="113"/>
      <c r="G1086" s="113"/>
    </row>
    <row r="1087" spans="2:7" x14ac:dyDescent="0.35">
      <c r="B1087" s="22"/>
      <c r="E1087" s="113"/>
      <c r="F1087" s="113"/>
      <c r="G1087" s="113"/>
    </row>
    <row r="1088" spans="2:7" x14ac:dyDescent="0.35">
      <c r="B1088" s="22"/>
      <c r="E1088" s="113"/>
      <c r="F1088" s="113"/>
      <c r="G1088" s="113"/>
    </row>
    <row r="1089" spans="2:7" x14ac:dyDescent="0.35">
      <c r="B1089" s="22"/>
      <c r="E1089" s="113"/>
      <c r="F1089" s="113"/>
      <c r="G1089" s="113"/>
    </row>
    <row r="1090" spans="2:7" x14ac:dyDescent="0.35">
      <c r="B1090" s="22"/>
      <c r="E1090" s="113"/>
      <c r="F1090" s="113"/>
      <c r="G1090" s="113"/>
    </row>
    <row r="1091" spans="2:7" x14ac:dyDescent="0.35">
      <c r="B1091" s="22"/>
      <c r="E1091" s="113"/>
      <c r="F1091" s="113"/>
      <c r="G1091" s="113"/>
    </row>
    <row r="1092" spans="2:7" x14ac:dyDescent="0.35">
      <c r="B1092" s="22"/>
      <c r="E1092" s="113"/>
      <c r="F1092" s="113"/>
      <c r="G1092" s="113"/>
    </row>
    <row r="1093" spans="2:7" x14ac:dyDescent="0.35">
      <c r="B1093" s="22"/>
      <c r="E1093" s="113"/>
      <c r="F1093" s="113"/>
      <c r="G1093" s="113"/>
    </row>
    <row r="1094" spans="2:7" x14ac:dyDescent="0.35">
      <c r="B1094" s="22"/>
      <c r="E1094" s="113"/>
      <c r="F1094" s="113"/>
      <c r="G1094" s="113"/>
    </row>
    <row r="1095" spans="2:7" x14ac:dyDescent="0.35">
      <c r="B1095" s="22"/>
      <c r="E1095" s="113"/>
      <c r="F1095" s="113"/>
      <c r="G1095" s="113"/>
    </row>
    <row r="1096" spans="2:7" x14ac:dyDescent="0.35">
      <c r="B1096" s="22"/>
      <c r="E1096" s="113"/>
      <c r="F1096" s="113"/>
      <c r="G1096" s="113"/>
    </row>
    <row r="1097" spans="2:7" x14ac:dyDescent="0.35">
      <c r="B1097" s="22"/>
      <c r="E1097" s="113"/>
      <c r="F1097" s="113"/>
      <c r="G1097" s="113"/>
    </row>
    <row r="1098" spans="2:7" x14ac:dyDescent="0.35">
      <c r="B1098" s="22"/>
      <c r="E1098" s="113"/>
      <c r="F1098" s="113"/>
      <c r="G1098" s="113"/>
    </row>
    <row r="1099" spans="2:7" x14ac:dyDescent="0.35">
      <c r="B1099" s="22"/>
      <c r="E1099" s="113"/>
      <c r="F1099" s="113"/>
      <c r="G1099" s="113"/>
    </row>
    <row r="1100" spans="2:7" x14ac:dyDescent="0.35">
      <c r="B1100" s="22"/>
      <c r="E1100" s="113"/>
      <c r="F1100" s="113"/>
      <c r="G1100" s="113"/>
    </row>
    <row r="1101" spans="2:7" x14ac:dyDescent="0.35">
      <c r="B1101" s="22"/>
      <c r="E1101" s="113"/>
      <c r="F1101" s="113"/>
      <c r="G1101" s="113"/>
    </row>
    <row r="1102" spans="2:7" x14ac:dyDescent="0.35">
      <c r="B1102" s="22"/>
      <c r="E1102" s="113"/>
      <c r="F1102" s="113"/>
      <c r="G1102" s="113"/>
    </row>
    <row r="1103" spans="2:7" x14ac:dyDescent="0.35">
      <c r="B1103" s="22"/>
      <c r="E1103" s="113"/>
      <c r="F1103" s="113"/>
      <c r="G1103" s="113"/>
    </row>
    <row r="1104" spans="2:7" x14ac:dyDescent="0.35">
      <c r="B1104" s="22"/>
      <c r="E1104" s="113"/>
      <c r="F1104" s="113"/>
      <c r="G1104" s="113"/>
    </row>
    <row r="1105" spans="2:7" x14ac:dyDescent="0.35">
      <c r="B1105" s="22"/>
      <c r="E1105" s="113"/>
      <c r="F1105" s="113"/>
      <c r="G1105" s="113"/>
    </row>
    <row r="1106" spans="2:7" x14ac:dyDescent="0.35">
      <c r="B1106" s="22"/>
      <c r="E1106" s="113"/>
      <c r="F1106" s="113"/>
      <c r="G1106" s="113"/>
    </row>
    <row r="1107" spans="2:7" x14ac:dyDescent="0.35">
      <c r="B1107" s="22"/>
      <c r="E1107" s="113"/>
      <c r="F1107" s="113"/>
      <c r="G1107" s="113"/>
    </row>
    <row r="1108" spans="2:7" x14ac:dyDescent="0.35">
      <c r="B1108" s="22"/>
      <c r="E1108" s="113"/>
      <c r="F1108" s="113"/>
      <c r="G1108" s="113"/>
    </row>
    <row r="1109" spans="2:7" x14ac:dyDescent="0.35">
      <c r="B1109" s="22"/>
      <c r="E1109" s="113"/>
      <c r="F1109" s="113"/>
      <c r="G1109" s="113"/>
    </row>
    <row r="1110" spans="2:7" x14ac:dyDescent="0.35">
      <c r="B1110" s="22"/>
      <c r="E1110" s="113"/>
      <c r="F1110" s="113"/>
      <c r="G1110" s="113"/>
    </row>
    <row r="1111" spans="2:7" x14ac:dyDescent="0.35">
      <c r="B1111" s="22"/>
      <c r="E1111" s="113"/>
      <c r="F1111" s="113"/>
      <c r="G1111" s="113"/>
    </row>
    <row r="1112" spans="2:7" x14ac:dyDescent="0.35">
      <c r="B1112" s="22"/>
      <c r="E1112" s="113"/>
      <c r="F1112" s="113"/>
      <c r="G1112" s="113"/>
    </row>
    <row r="1113" spans="2:7" x14ac:dyDescent="0.35">
      <c r="B1113" s="22"/>
      <c r="E1113" s="113"/>
      <c r="F1113" s="113"/>
      <c r="G1113" s="113"/>
    </row>
    <row r="1114" spans="2:7" x14ac:dyDescent="0.35">
      <c r="B1114" s="22"/>
      <c r="E1114" s="113"/>
      <c r="F1114" s="113"/>
      <c r="G1114" s="113"/>
    </row>
    <row r="1115" spans="2:7" x14ac:dyDescent="0.35">
      <c r="B1115" s="22"/>
      <c r="E1115" s="113"/>
      <c r="F1115" s="113"/>
      <c r="G1115" s="113"/>
    </row>
    <row r="1116" spans="2:7" x14ac:dyDescent="0.35">
      <c r="B1116" s="22"/>
      <c r="E1116" s="113"/>
      <c r="F1116" s="113"/>
      <c r="G1116" s="113"/>
    </row>
    <row r="1117" spans="2:7" x14ac:dyDescent="0.35">
      <c r="B1117" s="22"/>
      <c r="E1117" s="113"/>
      <c r="F1117" s="113"/>
      <c r="G1117" s="113"/>
    </row>
    <row r="1118" spans="2:7" x14ac:dyDescent="0.35">
      <c r="B1118" s="22"/>
      <c r="E1118" s="113"/>
      <c r="F1118" s="113"/>
      <c r="G1118" s="113"/>
    </row>
    <row r="1119" spans="2:7" x14ac:dyDescent="0.35">
      <c r="B1119" s="22"/>
      <c r="E1119" s="113"/>
      <c r="F1119" s="113"/>
      <c r="G1119" s="113"/>
    </row>
    <row r="1120" spans="2:7" x14ac:dyDescent="0.35">
      <c r="B1120" s="22"/>
      <c r="E1120" s="113"/>
      <c r="F1120" s="113"/>
      <c r="G1120" s="113"/>
    </row>
    <row r="1121" spans="2:7" x14ac:dyDescent="0.35">
      <c r="B1121" s="22"/>
      <c r="E1121" s="113"/>
      <c r="F1121" s="113"/>
      <c r="G1121" s="113"/>
    </row>
    <row r="1122" spans="2:7" x14ac:dyDescent="0.35">
      <c r="B1122" s="22"/>
      <c r="E1122" s="113"/>
      <c r="F1122" s="113"/>
      <c r="G1122" s="113"/>
    </row>
    <row r="1123" spans="2:7" x14ac:dyDescent="0.35">
      <c r="B1123" s="22"/>
      <c r="E1123" s="113"/>
      <c r="F1123" s="113"/>
      <c r="G1123" s="113"/>
    </row>
    <row r="1124" spans="2:7" x14ac:dyDescent="0.35">
      <c r="B1124" s="22"/>
      <c r="E1124" s="113"/>
      <c r="F1124" s="113"/>
      <c r="G1124" s="113"/>
    </row>
    <row r="1125" spans="2:7" x14ac:dyDescent="0.35">
      <c r="B1125" s="22"/>
      <c r="E1125" s="113"/>
      <c r="F1125" s="113"/>
      <c r="G1125" s="113"/>
    </row>
    <row r="1126" spans="2:7" x14ac:dyDescent="0.35">
      <c r="B1126" s="22"/>
      <c r="E1126" s="113"/>
      <c r="F1126" s="113"/>
      <c r="G1126" s="113"/>
    </row>
    <row r="1127" spans="2:7" x14ac:dyDescent="0.35">
      <c r="B1127" s="22"/>
      <c r="E1127" s="113"/>
      <c r="F1127" s="113"/>
      <c r="G1127" s="113"/>
    </row>
    <row r="1128" spans="2:7" x14ac:dyDescent="0.35">
      <c r="B1128" s="22"/>
      <c r="E1128" s="113"/>
      <c r="F1128" s="113"/>
      <c r="G1128" s="113"/>
    </row>
    <row r="1129" spans="2:7" x14ac:dyDescent="0.35">
      <c r="B1129" s="22"/>
      <c r="E1129" s="113"/>
      <c r="F1129" s="113"/>
      <c r="G1129" s="113"/>
    </row>
    <row r="1130" spans="2:7" x14ac:dyDescent="0.35">
      <c r="B1130" s="22"/>
      <c r="E1130" s="113"/>
      <c r="F1130" s="113"/>
      <c r="G1130" s="113"/>
    </row>
    <row r="1131" spans="2:7" x14ac:dyDescent="0.35">
      <c r="B1131" s="22"/>
      <c r="E1131" s="113"/>
      <c r="F1131" s="113"/>
      <c r="G1131" s="113"/>
    </row>
    <row r="1132" spans="2:7" x14ac:dyDescent="0.35">
      <c r="B1132" s="22"/>
      <c r="E1132" s="113"/>
      <c r="F1132" s="113"/>
      <c r="G1132" s="113"/>
    </row>
    <row r="1133" spans="2:7" x14ac:dyDescent="0.35">
      <c r="B1133" s="22"/>
      <c r="E1133" s="113"/>
      <c r="F1133" s="113"/>
      <c r="G1133" s="113"/>
    </row>
    <row r="1134" spans="2:7" x14ac:dyDescent="0.35">
      <c r="B1134" s="22"/>
      <c r="E1134" s="113"/>
      <c r="F1134" s="113"/>
      <c r="G1134" s="113"/>
    </row>
    <row r="1135" spans="2:7" x14ac:dyDescent="0.35">
      <c r="B1135" s="22"/>
      <c r="E1135" s="113"/>
      <c r="F1135" s="113"/>
      <c r="G1135" s="113"/>
    </row>
    <row r="1136" spans="2:7" x14ac:dyDescent="0.35">
      <c r="B1136" s="22"/>
      <c r="E1136" s="113"/>
      <c r="F1136" s="113"/>
      <c r="G1136" s="113"/>
    </row>
    <row r="1137" spans="2:7" x14ac:dyDescent="0.35">
      <c r="B1137" s="22"/>
      <c r="E1137" s="113"/>
      <c r="F1137" s="113"/>
      <c r="G1137" s="113"/>
    </row>
    <row r="1138" spans="2:7" x14ac:dyDescent="0.35">
      <c r="B1138" s="22"/>
      <c r="E1138" s="113"/>
      <c r="F1138" s="113"/>
      <c r="G1138" s="113"/>
    </row>
    <row r="1139" spans="2:7" x14ac:dyDescent="0.35">
      <c r="B1139" s="22"/>
      <c r="E1139" s="113"/>
      <c r="F1139" s="113"/>
      <c r="G1139" s="113"/>
    </row>
    <row r="1140" spans="2:7" x14ac:dyDescent="0.35">
      <c r="B1140" s="22"/>
      <c r="E1140" s="113"/>
      <c r="F1140" s="113"/>
      <c r="G1140" s="113"/>
    </row>
    <row r="1141" spans="2:7" x14ac:dyDescent="0.35">
      <c r="B1141" s="22"/>
      <c r="E1141" s="113"/>
      <c r="F1141" s="113"/>
      <c r="G1141" s="113"/>
    </row>
    <row r="1142" spans="2:7" x14ac:dyDescent="0.35">
      <c r="B1142" s="22"/>
      <c r="E1142" s="113"/>
      <c r="F1142" s="113"/>
      <c r="G1142" s="113"/>
    </row>
    <row r="1143" spans="2:7" x14ac:dyDescent="0.35">
      <c r="B1143" s="22"/>
      <c r="E1143" s="113"/>
      <c r="F1143" s="113"/>
      <c r="G1143" s="113"/>
    </row>
    <row r="1144" spans="2:7" x14ac:dyDescent="0.35">
      <c r="B1144" s="22"/>
      <c r="E1144" s="113"/>
      <c r="F1144" s="113"/>
      <c r="G1144" s="113"/>
    </row>
    <row r="1145" spans="2:7" x14ac:dyDescent="0.35">
      <c r="B1145" s="22"/>
      <c r="E1145" s="113"/>
      <c r="F1145" s="113"/>
      <c r="G1145" s="113"/>
    </row>
    <row r="1146" spans="2:7" x14ac:dyDescent="0.35">
      <c r="B1146" s="22"/>
      <c r="E1146" s="113"/>
      <c r="F1146" s="113"/>
      <c r="G1146" s="113"/>
    </row>
    <row r="1147" spans="2:7" x14ac:dyDescent="0.35">
      <c r="B1147" s="22"/>
      <c r="E1147" s="113"/>
      <c r="F1147" s="113"/>
      <c r="G1147" s="113"/>
    </row>
    <row r="1148" spans="2:7" x14ac:dyDescent="0.35">
      <c r="B1148" s="22"/>
      <c r="E1148" s="113"/>
      <c r="F1148" s="113"/>
      <c r="G1148" s="113"/>
    </row>
    <row r="1149" spans="2:7" x14ac:dyDescent="0.35">
      <c r="B1149" s="22"/>
      <c r="E1149" s="113"/>
      <c r="F1149" s="113"/>
      <c r="G1149" s="113"/>
    </row>
    <row r="1150" spans="2:7" x14ac:dyDescent="0.35">
      <c r="B1150" s="22"/>
      <c r="E1150" s="113"/>
      <c r="F1150" s="113"/>
      <c r="G1150" s="113"/>
    </row>
    <row r="1151" spans="2:7" x14ac:dyDescent="0.35">
      <c r="B1151" s="22"/>
      <c r="E1151" s="113"/>
      <c r="F1151" s="113"/>
      <c r="G1151" s="113"/>
    </row>
    <row r="1152" spans="2:7" x14ac:dyDescent="0.35">
      <c r="B1152" s="22"/>
      <c r="E1152" s="113"/>
      <c r="F1152" s="113"/>
      <c r="G1152" s="113"/>
    </row>
    <row r="1153" spans="2:7" x14ac:dyDescent="0.35">
      <c r="B1153" s="22"/>
      <c r="E1153" s="113"/>
      <c r="F1153" s="113"/>
      <c r="G1153" s="113"/>
    </row>
    <row r="1154" spans="2:7" x14ac:dyDescent="0.35">
      <c r="B1154" s="22"/>
      <c r="E1154" s="113"/>
      <c r="F1154" s="113"/>
      <c r="G1154" s="113"/>
    </row>
    <row r="1155" spans="2:7" x14ac:dyDescent="0.35">
      <c r="B1155" s="22"/>
      <c r="E1155" s="113"/>
      <c r="F1155" s="113"/>
      <c r="G1155" s="113"/>
    </row>
    <row r="1156" spans="2:7" x14ac:dyDescent="0.35">
      <c r="B1156" s="22"/>
      <c r="E1156" s="113"/>
      <c r="F1156" s="113"/>
      <c r="G1156" s="113"/>
    </row>
    <row r="1157" spans="2:7" x14ac:dyDescent="0.35">
      <c r="B1157" s="22"/>
      <c r="E1157" s="113"/>
      <c r="F1157" s="113"/>
      <c r="G1157" s="113"/>
    </row>
    <row r="1158" spans="2:7" x14ac:dyDescent="0.35">
      <c r="B1158" s="22"/>
      <c r="E1158" s="113"/>
      <c r="F1158" s="113"/>
      <c r="G1158" s="113"/>
    </row>
    <row r="1159" spans="2:7" x14ac:dyDescent="0.35">
      <c r="B1159" s="22"/>
      <c r="E1159" s="113"/>
      <c r="F1159" s="113"/>
      <c r="G1159" s="113"/>
    </row>
    <row r="1160" spans="2:7" x14ac:dyDescent="0.35">
      <c r="B1160" s="22"/>
      <c r="E1160" s="113"/>
      <c r="F1160" s="113"/>
      <c r="G1160" s="113"/>
    </row>
    <row r="1161" spans="2:7" x14ac:dyDescent="0.35">
      <c r="B1161" s="22"/>
      <c r="E1161" s="113"/>
      <c r="F1161" s="113"/>
      <c r="G1161" s="113"/>
    </row>
    <row r="1162" spans="2:7" x14ac:dyDescent="0.35">
      <c r="B1162" s="22"/>
      <c r="E1162" s="113"/>
      <c r="F1162" s="113"/>
      <c r="G1162" s="113"/>
    </row>
    <row r="1163" spans="2:7" x14ac:dyDescent="0.35">
      <c r="B1163" s="22"/>
      <c r="E1163" s="113"/>
      <c r="F1163" s="113"/>
      <c r="G1163" s="113"/>
    </row>
    <row r="1164" spans="2:7" x14ac:dyDescent="0.35">
      <c r="B1164" s="22"/>
      <c r="E1164" s="113"/>
      <c r="F1164" s="113"/>
      <c r="G1164" s="113"/>
    </row>
    <row r="1165" spans="2:7" x14ac:dyDescent="0.35">
      <c r="B1165" s="22"/>
      <c r="E1165" s="113"/>
      <c r="F1165" s="113"/>
      <c r="G1165" s="113"/>
    </row>
    <row r="1166" spans="2:7" x14ac:dyDescent="0.35">
      <c r="B1166" s="22"/>
      <c r="E1166" s="113"/>
      <c r="F1166" s="113"/>
      <c r="G1166" s="113"/>
    </row>
    <row r="1167" spans="2:7" x14ac:dyDescent="0.35">
      <c r="B1167" s="22"/>
      <c r="E1167" s="113"/>
      <c r="F1167" s="113"/>
      <c r="G1167" s="113"/>
    </row>
    <row r="1168" spans="2:7" x14ac:dyDescent="0.35">
      <c r="B1168" s="22"/>
      <c r="E1168" s="113"/>
      <c r="F1168" s="113"/>
      <c r="G1168" s="113"/>
    </row>
    <row r="1169" spans="2:7" x14ac:dyDescent="0.35">
      <c r="B1169" s="22"/>
      <c r="E1169" s="113"/>
      <c r="F1169" s="113"/>
      <c r="G1169" s="113"/>
    </row>
    <row r="1170" spans="2:7" x14ac:dyDescent="0.35">
      <c r="B1170" s="22"/>
      <c r="E1170" s="113"/>
      <c r="F1170" s="113"/>
      <c r="G1170" s="113"/>
    </row>
    <row r="1171" spans="2:7" x14ac:dyDescent="0.35">
      <c r="B1171" s="22"/>
      <c r="E1171" s="113"/>
      <c r="F1171" s="113"/>
      <c r="G1171" s="113"/>
    </row>
    <row r="1172" spans="2:7" x14ac:dyDescent="0.35">
      <c r="B1172" s="22"/>
      <c r="E1172" s="113"/>
      <c r="F1172" s="113"/>
      <c r="G1172" s="113"/>
    </row>
    <row r="1173" spans="2:7" x14ac:dyDescent="0.35">
      <c r="B1173" s="22"/>
      <c r="E1173" s="113"/>
      <c r="F1173" s="113"/>
      <c r="G1173" s="113"/>
    </row>
    <row r="1174" spans="2:7" x14ac:dyDescent="0.35">
      <c r="B1174" s="22"/>
      <c r="E1174" s="113"/>
      <c r="F1174" s="113"/>
      <c r="G1174" s="113"/>
    </row>
    <row r="1175" spans="2:7" x14ac:dyDescent="0.35">
      <c r="B1175" s="22"/>
      <c r="E1175" s="113"/>
      <c r="F1175" s="113"/>
      <c r="G1175" s="113"/>
    </row>
    <row r="1176" spans="2:7" x14ac:dyDescent="0.35">
      <c r="B1176" s="22"/>
      <c r="E1176" s="113"/>
      <c r="F1176" s="113"/>
      <c r="G1176" s="113"/>
    </row>
    <row r="1177" spans="2:7" x14ac:dyDescent="0.35">
      <c r="B1177" s="22"/>
      <c r="E1177" s="113"/>
      <c r="F1177" s="113"/>
      <c r="G1177" s="113"/>
    </row>
    <row r="1178" spans="2:7" x14ac:dyDescent="0.35">
      <c r="B1178" s="22"/>
      <c r="E1178" s="113"/>
      <c r="F1178" s="113"/>
      <c r="G1178" s="113"/>
    </row>
    <row r="1179" spans="2:7" x14ac:dyDescent="0.35">
      <c r="B1179" s="22"/>
      <c r="E1179" s="113"/>
      <c r="F1179" s="113"/>
      <c r="G1179" s="113"/>
    </row>
    <row r="1180" spans="2:7" x14ac:dyDescent="0.35">
      <c r="B1180" s="22"/>
      <c r="E1180" s="113"/>
      <c r="F1180" s="113"/>
      <c r="G1180" s="113"/>
    </row>
    <row r="1181" spans="2:7" x14ac:dyDescent="0.35">
      <c r="B1181" s="22"/>
      <c r="E1181" s="113"/>
      <c r="F1181" s="113"/>
      <c r="G1181" s="113"/>
    </row>
    <row r="1182" spans="2:7" x14ac:dyDescent="0.35">
      <c r="B1182" s="22"/>
      <c r="E1182" s="113"/>
      <c r="F1182" s="113"/>
      <c r="G1182" s="113"/>
    </row>
    <row r="1183" spans="2:7" x14ac:dyDescent="0.35">
      <c r="B1183" s="22"/>
      <c r="E1183" s="113"/>
      <c r="F1183" s="113"/>
      <c r="G1183" s="113"/>
    </row>
    <row r="1184" spans="2:7" x14ac:dyDescent="0.35">
      <c r="B1184" s="22"/>
      <c r="E1184" s="113"/>
      <c r="F1184" s="113"/>
      <c r="G1184" s="113"/>
    </row>
    <row r="1185" spans="2:7" x14ac:dyDescent="0.35">
      <c r="B1185" s="22"/>
      <c r="E1185" s="113"/>
      <c r="F1185" s="113"/>
      <c r="G1185" s="113"/>
    </row>
    <row r="1186" spans="2:7" x14ac:dyDescent="0.35">
      <c r="B1186" s="22"/>
      <c r="E1186" s="113"/>
      <c r="F1186" s="113"/>
      <c r="G1186" s="113"/>
    </row>
    <row r="1187" spans="2:7" x14ac:dyDescent="0.35">
      <c r="B1187" s="22"/>
      <c r="E1187" s="113"/>
      <c r="F1187" s="113"/>
      <c r="G1187" s="113"/>
    </row>
    <row r="1188" spans="2:7" x14ac:dyDescent="0.35">
      <c r="B1188" s="22"/>
      <c r="E1188" s="113"/>
      <c r="F1188" s="113"/>
      <c r="G1188" s="113"/>
    </row>
    <row r="1189" spans="2:7" x14ac:dyDescent="0.35">
      <c r="B1189" s="22"/>
      <c r="E1189" s="113"/>
      <c r="F1189" s="113"/>
      <c r="G1189" s="113"/>
    </row>
    <row r="1190" spans="2:7" x14ac:dyDescent="0.35">
      <c r="B1190" s="22"/>
      <c r="E1190" s="113"/>
      <c r="F1190" s="113"/>
      <c r="G1190" s="113"/>
    </row>
    <row r="1191" spans="2:7" x14ac:dyDescent="0.35">
      <c r="B1191" s="22"/>
      <c r="E1191" s="113"/>
      <c r="F1191" s="113"/>
      <c r="G1191" s="113"/>
    </row>
    <row r="1192" spans="2:7" x14ac:dyDescent="0.35">
      <c r="B1192" s="22"/>
      <c r="E1192" s="113"/>
      <c r="F1192" s="113"/>
      <c r="G1192" s="113"/>
    </row>
    <row r="1193" spans="2:7" x14ac:dyDescent="0.35">
      <c r="B1193" s="22"/>
      <c r="E1193" s="113"/>
      <c r="F1193" s="113"/>
      <c r="G1193" s="113"/>
    </row>
    <row r="1194" spans="2:7" x14ac:dyDescent="0.35">
      <c r="B1194" s="22"/>
      <c r="E1194" s="113"/>
      <c r="F1194" s="113"/>
      <c r="G1194" s="113"/>
    </row>
    <row r="1195" spans="2:7" x14ac:dyDescent="0.35">
      <c r="B1195" s="22"/>
      <c r="E1195" s="113"/>
      <c r="F1195" s="113"/>
      <c r="G1195" s="113"/>
    </row>
    <row r="1196" spans="2:7" x14ac:dyDescent="0.35">
      <c r="B1196" s="22"/>
      <c r="E1196" s="113"/>
      <c r="F1196" s="113"/>
      <c r="G1196" s="113"/>
    </row>
    <row r="1197" spans="2:7" x14ac:dyDescent="0.35">
      <c r="B1197" s="22"/>
      <c r="E1197" s="113"/>
      <c r="F1197" s="113"/>
      <c r="G1197" s="113"/>
    </row>
    <row r="1198" spans="2:7" x14ac:dyDescent="0.35">
      <c r="B1198" s="22"/>
      <c r="E1198" s="113"/>
      <c r="F1198" s="113"/>
      <c r="G1198" s="113"/>
    </row>
    <row r="1199" spans="2:7" x14ac:dyDescent="0.35">
      <c r="B1199" s="22"/>
      <c r="E1199" s="113"/>
      <c r="F1199" s="113"/>
      <c r="G1199" s="113"/>
    </row>
    <row r="1200" spans="2:7" x14ac:dyDescent="0.35">
      <c r="B1200" s="22"/>
      <c r="E1200" s="113"/>
      <c r="F1200" s="113"/>
      <c r="G1200" s="113"/>
    </row>
    <row r="1201" spans="2:7" x14ac:dyDescent="0.35">
      <c r="B1201" s="22"/>
      <c r="E1201" s="113"/>
      <c r="F1201" s="113"/>
      <c r="G1201" s="113"/>
    </row>
    <row r="1202" spans="2:7" x14ac:dyDescent="0.35">
      <c r="B1202" s="22"/>
      <c r="E1202" s="113"/>
      <c r="F1202" s="113"/>
      <c r="G1202" s="113"/>
    </row>
    <row r="1203" spans="2:7" x14ac:dyDescent="0.35">
      <c r="B1203" s="22"/>
      <c r="E1203" s="113"/>
      <c r="F1203" s="113"/>
      <c r="G1203" s="113"/>
    </row>
    <row r="1204" spans="2:7" x14ac:dyDescent="0.35">
      <c r="B1204" s="22"/>
      <c r="E1204" s="113"/>
      <c r="F1204" s="113"/>
      <c r="G1204" s="113"/>
    </row>
    <row r="1205" spans="2:7" x14ac:dyDescent="0.35">
      <c r="B1205" s="22"/>
      <c r="E1205" s="113"/>
      <c r="F1205" s="113"/>
      <c r="G1205" s="113"/>
    </row>
    <row r="1206" spans="2:7" x14ac:dyDescent="0.35">
      <c r="B1206" s="22"/>
      <c r="E1206" s="113"/>
      <c r="F1206" s="113"/>
      <c r="G1206" s="113"/>
    </row>
    <row r="1207" spans="2:7" x14ac:dyDescent="0.35">
      <c r="B1207" s="22"/>
      <c r="E1207" s="113"/>
      <c r="F1207" s="113"/>
      <c r="G1207" s="113"/>
    </row>
    <row r="1208" spans="2:7" x14ac:dyDescent="0.35">
      <c r="B1208" s="22"/>
      <c r="E1208" s="113"/>
      <c r="F1208" s="113"/>
      <c r="G1208" s="113"/>
    </row>
    <row r="1209" spans="2:7" x14ac:dyDescent="0.35">
      <c r="B1209" s="22"/>
      <c r="E1209" s="113"/>
      <c r="F1209" s="113"/>
      <c r="G1209" s="113"/>
    </row>
    <row r="1210" spans="2:7" x14ac:dyDescent="0.35">
      <c r="B1210" s="22"/>
      <c r="E1210" s="113"/>
      <c r="F1210" s="113"/>
      <c r="G1210" s="113"/>
    </row>
    <row r="1211" spans="2:7" x14ac:dyDescent="0.35">
      <c r="B1211" s="22"/>
      <c r="E1211" s="113"/>
      <c r="F1211" s="113"/>
      <c r="G1211" s="113"/>
    </row>
    <row r="1212" spans="2:7" x14ac:dyDescent="0.35">
      <c r="B1212" s="22"/>
      <c r="E1212" s="113"/>
      <c r="F1212" s="113"/>
      <c r="G1212" s="113"/>
    </row>
    <row r="1213" spans="2:7" x14ac:dyDescent="0.35">
      <c r="B1213" s="22"/>
      <c r="E1213" s="113"/>
      <c r="F1213" s="113"/>
      <c r="G1213" s="113"/>
    </row>
    <row r="1214" spans="2:7" x14ac:dyDescent="0.35">
      <c r="B1214" s="22"/>
      <c r="E1214" s="113"/>
      <c r="F1214" s="113"/>
      <c r="G1214" s="113"/>
    </row>
    <row r="1215" spans="2:7" x14ac:dyDescent="0.35">
      <c r="B1215" s="22"/>
      <c r="E1215" s="113"/>
      <c r="F1215" s="113"/>
      <c r="G1215" s="113"/>
    </row>
    <row r="1216" spans="2:7" x14ac:dyDescent="0.35">
      <c r="B1216" s="22"/>
      <c r="E1216" s="113"/>
      <c r="F1216" s="113"/>
      <c r="G1216" s="113"/>
    </row>
    <row r="1217" spans="2:7" x14ac:dyDescent="0.35">
      <c r="B1217" s="22"/>
      <c r="E1217" s="113"/>
      <c r="F1217" s="113"/>
      <c r="G1217" s="113"/>
    </row>
    <row r="1218" spans="2:7" x14ac:dyDescent="0.35">
      <c r="B1218" s="22"/>
      <c r="E1218" s="113"/>
      <c r="F1218" s="113"/>
      <c r="G1218" s="113"/>
    </row>
    <row r="1219" spans="2:7" x14ac:dyDescent="0.35">
      <c r="B1219" s="22"/>
      <c r="E1219" s="113"/>
      <c r="F1219" s="113"/>
      <c r="G1219" s="113"/>
    </row>
    <row r="1220" spans="2:7" x14ac:dyDescent="0.35">
      <c r="B1220" s="22"/>
      <c r="E1220" s="113"/>
      <c r="F1220" s="113"/>
      <c r="G1220" s="113"/>
    </row>
    <row r="1221" spans="2:7" x14ac:dyDescent="0.35">
      <c r="B1221" s="22"/>
      <c r="E1221" s="113"/>
      <c r="F1221" s="113"/>
      <c r="G1221" s="113"/>
    </row>
    <row r="1222" spans="2:7" x14ac:dyDescent="0.35">
      <c r="B1222" s="22"/>
      <c r="E1222" s="113"/>
      <c r="F1222" s="113"/>
      <c r="G1222" s="113"/>
    </row>
    <row r="1223" spans="2:7" x14ac:dyDescent="0.35">
      <c r="B1223" s="22"/>
      <c r="E1223" s="113"/>
      <c r="F1223" s="113"/>
      <c r="G1223" s="113"/>
    </row>
    <row r="1224" spans="2:7" x14ac:dyDescent="0.35">
      <c r="B1224" s="22"/>
      <c r="E1224" s="113"/>
      <c r="F1224" s="113"/>
      <c r="G1224" s="113"/>
    </row>
    <row r="1225" spans="2:7" x14ac:dyDescent="0.35">
      <c r="B1225" s="22"/>
      <c r="E1225" s="113"/>
      <c r="F1225" s="113"/>
      <c r="G1225" s="113"/>
    </row>
    <row r="1226" spans="2:7" x14ac:dyDescent="0.35">
      <c r="B1226" s="22"/>
      <c r="E1226" s="113"/>
      <c r="F1226" s="113"/>
      <c r="G1226" s="113"/>
    </row>
    <row r="1227" spans="2:7" x14ac:dyDescent="0.35">
      <c r="B1227" s="22"/>
      <c r="E1227" s="113"/>
      <c r="F1227" s="113"/>
      <c r="G1227" s="113"/>
    </row>
    <row r="1228" spans="2:7" x14ac:dyDescent="0.35">
      <c r="B1228" s="22"/>
      <c r="E1228" s="113"/>
      <c r="F1228" s="113"/>
      <c r="G1228" s="113"/>
    </row>
    <row r="1229" spans="2:7" x14ac:dyDescent="0.35">
      <c r="B1229" s="22"/>
      <c r="E1229" s="113"/>
      <c r="F1229" s="113"/>
      <c r="G1229" s="113"/>
    </row>
    <row r="1230" spans="2:7" x14ac:dyDescent="0.35">
      <c r="B1230" s="22"/>
      <c r="E1230" s="113"/>
      <c r="F1230" s="113"/>
      <c r="G1230" s="113"/>
    </row>
    <row r="1231" spans="2:7" x14ac:dyDescent="0.35">
      <c r="B1231" s="22"/>
      <c r="E1231" s="113"/>
      <c r="F1231" s="113"/>
      <c r="G1231" s="113"/>
    </row>
    <row r="1232" spans="2:7" x14ac:dyDescent="0.35">
      <c r="B1232" s="22"/>
      <c r="E1232" s="113"/>
      <c r="F1232" s="113"/>
      <c r="G1232" s="113"/>
    </row>
    <row r="1233" spans="2:7" x14ac:dyDescent="0.35">
      <c r="B1233" s="22"/>
      <c r="E1233" s="113"/>
      <c r="F1233" s="113"/>
      <c r="G1233" s="113"/>
    </row>
    <row r="1234" spans="2:7" x14ac:dyDescent="0.35">
      <c r="B1234" s="22"/>
      <c r="E1234" s="113"/>
      <c r="F1234" s="113"/>
      <c r="G1234" s="113"/>
    </row>
    <row r="1235" spans="2:7" x14ac:dyDescent="0.35">
      <c r="B1235" s="22"/>
      <c r="E1235" s="113"/>
      <c r="F1235" s="113"/>
      <c r="G1235" s="113"/>
    </row>
    <row r="1236" spans="2:7" x14ac:dyDescent="0.35">
      <c r="B1236" s="22"/>
      <c r="E1236" s="113"/>
      <c r="F1236" s="113"/>
      <c r="G1236" s="113"/>
    </row>
    <row r="1237" spans="2:7" x14ac:dyDescent="0.35">
      <c r="B1237" s="22"/>
      <c r="E1237" s="113"/>
      <c r="F1237" s="113"/>
      <c r="G1237" s="113"/>
    </row>
    <row r="1238" spans="2:7" x14ac:dyDescent="0.35">
      <c r="B1238" s="22"/>
      <c r="E1238" s="113"/>
      <c r="F1238" s="113"/>
      <c r="G1238" s="113"/>
    </row>
    <row r="1239" spans="2:7" x14ac:dyDescent="0.35">
      <c r="B1239" s="22"/>
      <c r="E1239" s="113"/>
      <c r="F1239" s="113"/>
      <c r="G1239" s="113"/>
    </row>
    <row r="1240" spans="2:7" x14ac:dyDescent="0.35">
      <c r="B1240" s="22"/>
      <c r="E1240" s="113"/>
      <c r="F1240" s="113"/>
      <c r="G1240" s="113"/>
    </row>
    <row r="1241" spans="2:7" x14ac:dyDescent="0.35">
      <c r="B1241" s="22"/>
      <c r="E1241" s="113"/>
      <c r="F1241" s="113"/>
      <c r="G1241" s="113"/>
    </row>
    <row r="1242" spans="2:7" x14ac:dyDescent="0.35">
      <c r="B1242" s="22"/>
      <c r="E1242" s="113"/>
      <c r="F1242" s="113"/>
      <c r="G1242" s="113"/>
    </row>
    <row r="1243" spans="2:7" x14ac:dyDescent="0.35">
      <c r="B1243" s="22"/>
      <c r="E1243" s="113"/>
      <c r="F1243" s="113"/>
      <c r="G1243" s="113"/>
    </row>
    <row r="1244" spans="2:7" x14ac:dyDescent="0.35">
      <c r="B1244" s="22"/>
      <c r="E1244" s="113"/>
      <c r="F1244" s="113"/>
      <c r="G1244" s="113"/>
    </row>
    <row r="1245" spans="2:7" x14ac:dyDescent="0.35">
      <c r="B1245" s="22"/>
      <c r="E1245" s="113"/>
      <c r="F1245" s="113"/>
      <c r="G1245" s="113"/>
    </row>
    <row r="1246" spans="2:7" x14ac:dyDescent="0.35">
      <c r="B1246" s="22"/>
      <c r="E1246" s="113"/>
      <c r="F1246" s="113"/>
      <c r="G1246" s="113"/>
    </row>
    <row r="1247" spans="2:7" x14ac:dyDescent="0.35">
      <c r="B1247" s="22"/>
      <c r="E1247" s="113"/>
      <c r="F1247" s="113"/>
      <c r="G1247" s="113"/>
    </row>
    <row r="1248" spans="2:7" x14ac:dyDescent="0.35">
      <c r="B1248" s="22"/>
      <c r="E1248" s="113"/>
      <c r="F1248" s="113"/>
      <c r="G1248" s="113"/>
    </row>
    <row r="1249" spans="2:7" x14ac:dyDescent="0.35">
      <c r="B1249" s="22"/>
      <c r="E1249" s="113"/>
      <c r="F1249" s="113"/>
      <c r="G1249" s="113"/>
    </row>
    <row r="1250" spans="2:7" x14ac:dyDescent="0.35">
      <c r="B1250" s="22"/>
      <c r="E1250" s="113"/>
      <c r="F1250" s="113"/>
      <c r="G1250" s="113"/>
    </row>
    <row r="1251" spans="2:7" x14ac:dyDescent="0.35">
      <c r="B1251" s="22"/>
      <c r="E1251" s="113"/>
      <c r="F1251" s="113"/>
      <c r="G1251" s="113"/>
    </row>
    <row r="1252" spans="2:7" x14ac:dyDescent="0.35">
      <c r="B1252" s="22"/>
      <c r="E1252" s="113"/>
      <c r="F1252" s="113"/>
      <c r="G1252" s="113"/>
    </row>
    <row r="1253" spans="2:7" x14ac:dyDescent="0.35">
      <c r="B1253" s="22"/>
      <c r="E1253" s="113"/>
      <c r="F1253" s="113"/>
      <c r="G1253" s="113"/>
    </row>
    <row r="1254" spans="2:7" x14ac:dyDescent="0.35">
      <c r="B1254" s="22"/>
      <c r="E1254" s="113"/>
      <c r="F1254" s="113"/>
      <c r="G1254" s="113"/>
    </row>
    <row r="1255" spans="2:7" x14ac:dyDescent="0.35">
      <c r="B1255" s="22"/>
      <c r="E1255" s="113"/>
      <c r="F1255" s="113"/>
      <c r="G1255" s="113"/>
    </row>
    <row r="1256" spans="2:7" x14ac:dyDescent="0.35">
      <c r="B1256" s="22"/>
      <c r="E1256" s="113"/>
      <c r="F1256" s="113"/>
      <c r="G1256" s="113"/>
    </row>
    <row r="1257" spans="2:7" x14ac:dyDescent="0.35">
      <c r="B1257" s="22"/>
      <c r="E1257" s="113"/>
      <c r="F1257" s="113"/>
      <c r="G1257" s="113"/>
    </row>
    <row r="1258" spans="2:7" x14ac:dyDescent="0.35">
      <c r="B1258" s="22"/>
      <c r="E1258" s="113"/>
      <c r="F1258" s="113"/>
      <c r="G1258" s="113"/>
    </row>
    <row r="1259" spans="2:7" x14ac:dyDescent="0.35">
      <c r="B1259" s="22"/>
      <c r="E1259" s="113"/>
      <c r="F1259" s="113"/>
      <c r="G1259" s="113"/>
    </row>
    <row r="1260" spans="2:7" x14ac:dyDescent="0.35">
      <c r="B1260" s="22"/>
      <c r="E1260" s="113"/>
      <c r="F1260" s="113"/>
      <c r="G1260" s="113"/>
    </row>
    <row r="1261" spans="2:7" x14ac:dyDescent="0.35">
      <c r="B1261" s="22"/>
      <c r="E1261" s="113"/>
      <c r="F1261" s="113"/>
      <c r="G1261" s="113"/>
    </row>
    <row r="1262" spans="2:7" x14ac:dyDescent="0.35">
      <c r="B1262" s="22"/>
      <c r="E1262" s="113"/>
      <c r="F1262" s="113"/>
      <c r="G1262" s="113"/>
    </row>
    <row r="1263" spans="2:7" x14ac:dyDescent="0.35">
      <c r="B1263" s="22"/>
      <c r="E1263" s="113"/>
      <c r="F1263" s="113"/>
      <c r="G1263" s="113"/>
    </row>
    <row r="1264" spans="2:7" x14ac:dyDescent="0.35">
      <c r="B1264" s="22"/>
      <c r="E1264" s="113"/>
      <c r="F1264" s="113"/>
      <c r="G1264" s="113"/>
    </row>
    <row r="1265" spans="2:7" x14ac:dyDescent="0.35">
      <c r="B1265" s="22"/>
      <c r="E1265" s="113"/>
      <c r="F1265" s="113"/>
      <c r="G1265" s="113"/>
    </row>
    <row r="1266" spans="2:7" x14ac:dyDescent="0.35">
      <c r="B1266" s="22"/>
      <c r="E1266" s="113"/>
      <c r="F1266" s="113"/>
      <c r="G1266" s="113"/>
    </row>
    <row r="1267" spans="2:7" x14ac:dyDescent="0.35">
      <c r="B1267" s="22"/>
      <c r="E1267" s="113"/>
      <c r="F1267" s="113"/>
      <c r="G1267" s="113"/>
    </row>
    <row r="1268" spans="2:7" x14ac:dyDescent="0.35">
      <c r="B1268" s="22"/>
      <c r="E1268" s="113"/>
      <c r="F1268" s="113"/>
      <c r="G1268" s="113"/>
    </row>
    <row r="1269" spans="2:7" x14ac:dyDescent="0.35">
      <c r="B1269" s="22"/>
      <c r="E1269" s="113"/>
      <c r="F1269" s="113"/>
      <c r="G1269" s="113"/>
    </row>
    <row r="1270" spans="2:7" x14ac:dyDescent="0.35">
      <c r="B1270" s="22"/>
      <c r="E1270" s="113"/>
      <c r="F1270" s="113"/>
      <c r="G1270" s="113"/>
    </row>
    <row r="1271" spans="2:7" x14ac:dyDescent="0.35">
      <c r="B1271" s="22"/>
      <c r="E1271" s="113"/>
      <c r="F1271" s="113"/>
      <c r="G1271" s="113"/>
    </row>
    <row r="1272" spans="2:7" x14ac:dyDescent="0.35">
      <c r="B1272" s="22"/>
      <c r="E1272" s="113"/>
      <c r="F1272" s="113"/>
      <c r="G1272" s="113"/>
    </row>
    <row r="1273" spans="2:7" x14ac:dyDescent="0.35">
      <c r="B1273" s="22"/>
      <c r="E1273" s="113"/>
      <c r="F1273" s="113"/>
      <c r="G1273" s="113"/>
    </row>
    <row r="1274" spans="2:7" x14ac:dyDescent="0.35">
      <c r="B1274" s="22"/>
      <c r="E1274" s="113"/>
      <c r="F1274" s="113"/>
      <c r="G1274" s="113"/>
    </row>
    <row r="1275" spans="2:7" x14ac:dyDescent="0.35">
      <c r="B1275" s="22"/>
      <c r="E1275" s="113"/>
      <c r="F1275" s="113"/>
      <c r="G1275" s="113"/>
    </row>
    <row r="1276" spans="2:7" x14ac:dyDescent="0.35">
      <c r="B1276" s="22"/>
      <c r="E1276" s="113"/>
      <c r="F1276" s="113"/>
      <c r="G1276" s="113"/>
    </row>
    <row r="1277" spans="2:7" x14ac:dyDescent="0.35">
      <c r="B1277" s="22"/>
      <c r="E1277" s="113"/>
      <c r="F1277" s="113"/>
      <c r="G1277" s="113"/>
    </row>
    <row r="1278" spans="2:7" x14ac:dyDescent="0.35">
      <c r="B1278" s="22"/>
      <c r="E1278" s="113"/>
      <c r="F1278" s="113"/>
      <c r="G1278" s="113"/>
    </row>
    <row r="1279" spans="2:7" x14ac:dyDescent="0.35">
      <c r="B1279" s="22"/>
      <c r="E1279" s="113"/>
      <c r="F1279" s="113"/>
      <c r="G1279" s="113"/>
    </row>
    <row r="1280" spans="2:7" x14ac:dyDescent="0.35">
      <c r="B1280" s="22"/>
      <c r="E1280" s="113"/>
      <c r="F1280" s="113"/>
      <c r="G1280" s="113"/>
    </row>
    <row r="1281" spans="2:7" x14ac:dyDescent="0.35">
      <c r="B1281" s="22"/>
      <c r="E1281" s="113"/>
      <c r="F1281" s="113"/>
      <c r="G1281" s="113"/>
    </row>
    <row r="1282" spans="2:7" x14ac:dyDescent="0.35">
      <c r="B1282" s="22"/>
      <c r="E1282" s="113"/>
      <c r="F1282" s="113"/>
      <c r="G1282" s="113"/>
    </row>
    <row r="1283" spans="2:7" x14ac:dyDescent="0.35">
      <c r="B1283" s="22"/>
      <c r="E1283" s="113"/>
      <c r="F1283" s="113"/>
      <c r="G1283" s="113"/>
    </row>
    <row r="1284" spans="2:7" x14ac:dyDescent="0.35">
      <c r="B1284" s="22"/>
      <c r="E1284" s="113"/>
      <c r="F1284" s="113"/>
      <c r="G1284" s="113"/>
    </row>
    <row r="1285" spans="2:7" x14ac:dyDescent="0.35">
      <c r="B1285" s="22"/>
      <c r="E1285" s="113"/>
      <c r="F1285" s="113"/>
      <c r="G1285" s="113"/>
    </row>
    <row r="1286" spans="2:7" x14ac:dyDescent="0.35">
      <c r="B1286" s="22"/>
      <c r="E1286" s="113"/>
      <c r="F1286" s="113"/>
      <c r="G1286" s="113"/>
    </row>
    <row r="1287" spans="2:7" x14ac:dyDescent="0.35">
      <c r="B1287" s="22"/>
      <c r="E1287" s="113"/>
      <c r="F1287" s="113"/>
      <c r="G1287" s="113"/>
    </row>
    <row r="1288" spans="2:7" x14ac:dyDescent="0.35">
      <c r="B1288" s="22"/>
      <c r="E1288" s="113"/>
      <c r="F1288" s="113"/>
      <c r="G1288" s="113"/>
    </row>
    <row r="1289" spans="2:7" x14ac:dyDescent="0.35">
      <c r="B1289" s="22"/>
      <c r="E1289" s="113"/>
      <c r="F1289" s="113"/>
      <c r="G1289" s="113"/>
    </row>
    <row r="1290" spans="2:7" x14ac:dyDescent="0.35">
      <c r="B1290" s="22"/>
      <c r="E1290" s="113"/>
      <c r="F1290" s="113"/>
      <c r="G1290" s="113"/>
    </row>
    <row r="1291" spans="2:7" x14ac:dyDescent="0.35">
      <c r="B1291" s="22"/>
      <c r="E1291" s="113"/>
      <c r="F1291" s="113"/>
      <c r="G1291" s="113"/>
    </row>
    <row r="1292" spans="2:7" x14ac:dyDescent="0.35">
      <c r="B1292" s="22"/>
      <c r="E1292" s="113"/>
      <c r="F1292" s="113"/>
      <c r="G1292" s="113"/>
    </row>
    <row r="1293" spans="2:7" x14ac:dyDescent="0.35">
      <c r="B1293" s="22"/>
      <c r="E1293" s="113"/>
      <c r="F1293" s="113"/>
      <c r="G1293" s="113"/>
    </row>
    <row r="1294" spans="2:7" x14ac:dyDescent="0.35">
      <c r="B1294" s="22"/>
      <c r="E1294" s="113"/>
      <c r="F1294" s="113"/>
      <c r="G1294" s="113"/>
    </row>
    <row r="1295" spans="2:7" x14ac:dyDescent="0.35">
      <c r="B1295" s="22"/>
      <c r="E1295" s="113"/>
      <c r="F1295" s="113"/>
      <c r="G1295" s="113"/>
    </row>
    <row r="1296" spans="2:7" x14ac:dyDescent="0.35">
      <c r="B1296" s="22"/>
      <c r="E1296" s="113"/>
      <c r="F1296" s="113"/>
      <c r="G1296" s="113"/>
    </row>
    <row r="1297" spans="2:7" x14ac:dyDescent="0.35">
      <c r="B1297" s="22"/>
      <c r="E1297" s="113"/>
      <c r="F1297" s="113"/>
      <c r="G1297" s="113"/>
    </row>
    <row r="1298" spans="2:7" x14ac:dyDescent="0.35">
      <c r="B1298" s="22"/>
      <c r="E1298" s="113"/>
      <c r="F1298" s="113"/>
      <c r="G1298" s="113"/>
    </row>
    <row r="1299" spans="2:7" x14ac:dyDescent="0.35">
      <c r="B1299" s="22"/>
      <c r="E1299" s="113"/>
      <c r="F1299" s="113"/>
      <c r="G1299" s="113"/>
    </row>
    <row r="1300" spans="2:7" x14ac:dyDescent="0.35">
      <c r="B1300" s="22"/>
      <c r="E1300" s="113"/>
      <c r="F1300" s="113"/>
      <c r="G1300" s="113"/>
    </row>
    <row r="1301" spans="2:7" x14ac:dyDescent="0.35">
      <c r="B1301" s="22"/>
      <c r="E1301" s="113"/>
      <c r="F1301" s="113"/>
      <c r="G1301" s="113"/>
    </row>
    <row r="1302" spans="2:7" x14ac:dyDescent="0.35">
      <c r="B1302" s="22"/>
      <c r="E1302" s="113"/>
      <c r="F1302" s="113"/>
      <c r="G1302" s="113"/>
    </row>
    <row r="1303" spans="2:7" x14ac:dyDescent="0.35">
      <c r="B1303" s="22"/>
      <c r="E1303" s="113"/>
      <c r="F1303" s="113"/>
      <c r="G1303" s="113"/>
    </row>
    <row r="1304" spans="2:7" x14ac:dyDescent="0.35">
      <c r="B1304" s="22"/>
      <c r="E1304" s="113"/>
      <c r="F1304" s="113"/>
      <c r="G1304" s="113"/>
    </row>
    <row r="1305" spans="2:7" x14ac:dyDescent="0.35">
      <c r="B1305" s="22"/>
      <c r="E1305" s="113"/>
      <c r="F1305" s="113"/>
      <c r="G1305" s="113"/>
    </row>
    <row r="1306" spans="2:7" x14ac:dyDescent="0.35">
      <c r="B1306" s="22"/>
      <c r="E1306" s="113"/>
      <c r="F1306" s="113"/>
      <c r="G1306" s="113"/>
    </row>
    <row r="1307" spans="2:7" x14ac:dyDescent="0.35">
      <c r="B1307" s="22"/>
      <c r="E1307" s="113"/>
      <c r="F1307" s="113"/>
      <c r="G1307" s="113"/>
    </row>
    <row r="1308" spans="2:7" x14ac:dyDescent="0.35">
      <c r="B1308" s="22"/>
      <c r="E1308" s="113"/>
      <c r="F1308" s="113"/>
      <c r="G1308" s="113"/>
    </row>
    <row r="1309" spans="2:7" x14ac:dyDescent="0.35">
      <c r="B1309" s="22"/>
      <c r="E1309" s="113"/>
      <c r="F1309" s="113"/>
      <c r="G1309" s="113"/>
    </row>
    <row r="1310" spans="2:7" x14ac:dyDescent="0.35">
      <c r="B1310" s="22"/>
      <c r="E1310" s="113"/>
      <c r="F1310" s="113"/>
      <c r="G1310" s="113"/>
    </row>
    <row r="1311" spans="2:7" x14ac:dyDescent="0.35">
      <c r="B1311" s="22"/>
      <c r="E1311" s="113"/>
      <c r="F1311" s="113"/>
      <c r="G1311" s="113"/>
    </row>
    <row r="1312" spans="2:7" x14ac:dyDescent="0.35">
      <c r="B1312" s="22"/>
      <c r="E1312" s="113"/>
      <c r="F1312" s="113"/>
      <c r="G1312" s="113"/>
    </row>
    <row r="1313" spans="2:7" x14ac:dyDescent="0.35">
      <c r="B1313" s="22"/>
      <c r="E1313" s="113"/>
      <c r="F1313" s="113"/>
      <c r="G1313" s="113"/>
    </row>
    <row r="1314" spans="2:7" x14ac:dyDescent="0.35">
      <c r="B1314" s="22"/>
      <c r="E1314" s="113"/>
      <c r="F1314" s="113"/>
      <c r="G1314" s="113"/>
    </row>
    <row r="1315" spans="2:7" x14ac:dyDescent="0.35">
      <c r="B1315" s="22"/>
      <c r="E1315" s="113"/>
      <c r="F1315" s="113"/>
      <c r="G1315" s="113"/>
    </row>
    <row r="1316" spans="2:7" x14ac:dyDescent="0.35">
      <c r="B1316" s="22"/>
      <c r="E1316" s="113"/>
      <c r="F1316" s="113"/>
      <c r="G1316" s="113"/>
    </row>
    <row r="1317" spans="2:7" x14ac:dyDescent="0.35">
      <c r="B1317" s="22"/>
      <c r="E1317" s="113"/>
      <c r="F1317" s="113"/>
      <c r="G1317" s="113"/>
    </row>
    <row r="1318" spans="2:7" x14ac:dyDescent="0.35">
      <c r="B1318" s="22"/>
      <c r="E1318" s="113"/>
      <c r="F1318" s="113"/>
      <c r="G1318" s="113"/>
    </row>
    <row r="1319" spans="2:7" x14ac:dyDescent="0.35">
      <c r="B1319" s="22"/>
      <c r="E1319" s="113"/>
      <c r="F1319" s="113"/>
      <c r="G1319" s="113"/>
    </row>
    <row r="1320" spans="2:7" x14ac:dyDescent="0.35">
      <c r="B1320" s="22"/>
      <c r="E1320" s="113"/>
      <c r="F1320" s="113"/>
      <c r="G1320" s="113"/>
    </row>
    <row r="1321" spans="2:7" x14ac:dyDescent="0.35">
      <c r="B1321" s="22"/>
      <c r="E1321" s="113"/>
      <c r="F1321" s="113"/>
      <c r="G1321" s="113"/>
    </row>
    <row r="1322" spans="2:7" x14ac:dyDescent="0.35">
      <c r="B1322" s="22"/>
      <c r="E1322" s="113"/>
      <c r="F1322" s="113"/>
      <c r="G1322" s="113"/>
    </row>
    <row r="1323" spans="2:7" x14ac:dyDescent="0.35">
      <c r="B1323" s="22"/>
      <c r="E1323" s="113"/>
      <c r="F1323" s="113"/>
      <c r="G1323" s="113"/>
    </row>
    <row r="1324" spans="2:7" x14ac:dyDescent="0.35">
      <c r="B1324" s="22"/>
      <c r="E1324" s="113"/>
      <c r="F1324" s="113"/>
      <c r="G1324" s="113"/>
    </row>
    <row r="1325" spans="2:7" x14ac:dyDescent="0.35">
      <c r="B1325" s="22"/>
      <c r="E1325" s="113"/>
      <c r="F1325" s="113"/>
      <c r="G1325" s="113"/>
    </row>
    <row r="1326" spans="2:7" x14ac:dyDescent="0.35">
      <c r="B1326" s="22"/>
      <c r="E1326" s="113"/>
      <c r="F1326" s="113"/>
      <c r="G1326" s="113"/>
    </row>
    <row r="1327" spans="2:7" x14ac:dyDescent="0.35">
      <c r="B1327" s="22"/>
      <c r="E1327" s="113"/>
      <c r="F1327" s="113"/>
      <c r="G1327" s="113"/>
    </row>
    <row r="1328" spans="2:7" x14ac:dyDescent="0.35">
      <c r="B1328" s="22"/>
      <c r="E1328" s="113"/>
      <c r="F1328" s="113"/>
      <c r="G1328" s="113"/>
    </row>
    <row r="1329" spans="2:7" x14ac:dyDescent="0.35">
      <c r="B1329" s="22"/>
      <c r="E1329" s="113"/>
      <c r="F1329" s="113"/>
      <c r="G1329" s="113"/>
    </row>
    <row r="1330" spans="2:7" x14ac:dyDescent="0.35">
      <c r="B1330" s="22"/>
      <c r="E1330" s="113"/>
      <c r="F1330" s="113"/>
      <c r="G1330" s="113"/>
    </row>
    <row r="1331" spans="2:7" x14ac:dyDescent="0.35">
      <c r="B1331" s="22"/>
      <c r="E1331" s="113"/>
      <c r="F1331" s="113"/>
      <c r="G1331" s="113"/>
    </row>
    <row r="1332" spans="2:7" x14ac:dyDescent="0.35">
      <c r="B1332" s="22"/>
      <c r="E1332" s="113"/>
      <c r="F1332" s="113"/>
      <c r="G1332" s="113"/>
    </row>
    <row r="1333" spans="2:7" x14ac:dyDescent="0.35">
      <c r="B1333" s="22"/>
      <c r="E1333" s="113"/>
      <c r="F1333" s="113"/>
      <c r="G1333" s="113"/>
    </row>
    <row r="1334" spans="2:7" x14ac:dyDescent="0.35">
      <c r="B1334" s="22"/>
      <c r="E1334" s="113"/>
      <c r="F1334" s="113"/>
      <c r="G1334" s="113"/>
    </row>
    <row r="1335" spans="2:7" x14ac:dyDescent="0.35">
      <c r="B1335" s="22"/>
      <c r="E1335" s="113"/>
      <c r="F1335" s="113"/>
      <c r="G1335" s="113"/>
    </row>
    <row r="1336" spans="2:7" x14ac:dyDescent="0.35">
      <c r="B1336" s="22"/>
      <c r="E1336" s="113"/>
      <c r="F1336" s="113"/>
      <c r="G1336" s="113"/>
    </row>
    <row r="1337" spans="2:7" x14ac:dyDescent="0.35">
      <c r="B1337" s="22"/>
      <c r="E1337" s="113"/>
      <c r="F1337" s="113"/>
      <c r="G1337" s="113"/>
    </row>
    <row r="1338" spans="2:7" x14ac:dyDescent="0.35">
      <c r="B1338" s="22"/>
      <c r="E1338" s="113"/>
      <c r="F1338" s="113"/>
      <c r="G1338" s="113"/>
    </row>
    <row r="1339" spans="2:7" x14ac:dyDescent="0.35">
      <c r="B1339" s="22"/>
      <c r="E1339" s="113"/>
      <c r="F1339" s="113"/>
      <c r="G1339" s="113"/>
    </row>
    <row r="1340" spans="2:7" x14ac:dyDescent="0.35">
      <c r="B1340" s="22"/>
      <c r="E1340" s="113"/>
      <c r="F1340" s="113"/>
      <c r="G1340" s="113"/>
    </row>
    <row r="1341" spans="2:7" x14ac:dyDescent="0.35">
      <c r="B1341" s="22"/>
      <c r="E1341" s="113"/>
      <c r="F1341" s="113"/>
      <c r="G1341" s="113"/>
    </row>
    <row r="1342" spans="2:7" x14ac:dyDescent="0.35">
      <c r="B1342" s="22"/>
      <c r="E1342" s="113"/>
      <c r="F1342" s="113"/>
      <c r="G1342" s="113"/>
    </row>
    <row r="1343" spans="2:7" x14ac:dyDescent="0.35">
      <c r="B1343" s="22"/>
      <c r="E1343" s="113"/>
      <c r="F1343" s="113"/>
      <c r="G1343" s="113"/>
    </row>
    <row r="1344" spans="2:7" x14ac:dyDescent="0.35">
      <c r="B1344" s="22"/>
      <c r="E1344" s="113"/>
      <c r="F1344" s="113"/>
      <c r="G1344" s="113"/>
    </row>
    <row r="1345" spans="2:7" x14ac:dyDescent="0.35">
      <c r="B1345" s="22"/>
      <c r="E1345" s="113"/>
      <c r="F1345" s="113"/>
      <c r="G1345" s="113"/>
    </row>
    <row r="1346" spans="2:7" x14ac:dyDescent="0.35">
      <c r="B1346" s="22"/>
      <c r="E1346" s="113"/>
      <c r="F1346" s="113"/>
      <c r="G1346" s="113"/>
    </row>
    <row r="1347" spans="2:7" x14ac:dyDescent="0.35">
      <c r="B1347" s="22"/>
      <c r="E1347" s="113"/>
      <c r="F1347" s="113"/>
      <c r="G1347" s="113"/>
    </row>
    <row r="1348" spans="2:7" x14ac:dyDescent="0.35">
      <c r="B1348" s="22"/>
      <c r="E1348" s="113"/>
      <c r="F1348" s="113"/>
      <c r="G1348" s="113"/>
    </row>
    <row r="1349" spans="2:7" x14ac:dyDescent="0.35">
      <c r="B1349" s="22"/>
      <c r="E1349" s="113"/>
      <c r="F1349" s="113"/>
      <c r="G1349" s="113"/>
    </row>
    <row r="1350" spans="2:7" x14ac:dyDescent="0.35">
      <c r="B1350" s="22"/>
      <c r="E1350" s="113"/>
      <c r="F1350" s="113"/>
      <c r="G1350" s="113"/>
    </row>
    <row r="1351" spans="2:7" x14ac:dyDescent="0.35">
      <c r="B1351" s="22"/>
      <c r="E1351" s="113"/>
      <c r="F1351" s="113"/>
      <c r="G1351" s="113"/>
    </row>
    <row r="1352" spans="2:7" x14ac:dyDescent="0.35">
      <c r="B1352" s="22"/>
      <c r="E1352" s="113"/>
      <c r="F1352" s="113"/>
      <c r="G1352" s="113"/>
    </row>
    <row r="1353" spans="2:7" x14ac:dyDescent="0.35">
      <c r="B1353" s="22"/>
      <c r="E1353" s="113"/>
      <c r="F1353" s="113"/>
      <c r="G1353" s="113"/>
    </row>
    <row r="1354" spans="2:7" x14ac:dyDescent="0.35">
      <c r="B1354" s="22"/>
      <c r="E1354" s="113"/>
      <c r="F1354" s="113"/>
      <c r="G1354" s="113"/>
    </row>
    <row r="1355" spans="2:7" x14ac:dyDescent="0.35">
      <c r="B1355" s="22"/>
      <c r="E1355" s="113"/>
      <c r="F1355" s="113"/>
      <c r="G1355" s="113"/>
    </row>
    <row r="1356" spans="2:7" x14ac:dyDescent="0.35">
      <c r="B1356" s="22"/>
      <c r="E1356" s="113"/>
      <c r="F1356" s="113"/>
      <c r="G1356" s="113"/>
    </row>
    <row r="1357" spans="2:7" x14ac:dyDescent="0.35">
      <c r="B1357" s="22"/>
      <c r="E1357" s="113"/>
      <c r="F1357" s="113"/>
      <c r="G1357" s="113"/>
    </row>
    <row r="1358" spans="2:7" x14ac:dyDescent="0.35">
      <c r="B1358" s="22"/>
      <c r="E1358" s="113"/>
      <c r="F1358" s="113"/>
      <c r="G1358" s="113"/>
    </row>
    <row r="1359" spans="2:7" x14ac:dyDescent="0.35">
      <c r="B1359" s="22"/>
      <c r="E1359" s="113"/>
      <c r="F1359" s="113"/>
      <c r="G1359" s="113"/>
    </row>
    <row r="1360" spans="2:7" x14ac:dyDescent="0.35">
      <c r="B1360" s="22"/>
      <c r="E1360" s="113"/>
      <c r="F1360" s="113"/>
      <c r="G1360" s="113"/>
    </row>
    <row r="1361" spans="2:7" x14ac:dyDescent="0.35">
      <c r="B1361" s="22"/>
      <c r="E1361" s="113"/>
      <c r="F1361" s="113"/>
      <c r="G1361" s="113"/>
    </row>
    <row r="1362" spans="2:7" x14ac:dyDescent="0.35">
      <c r="B1362" s="22"/>
      <c r="E1362" s="113"/>
      <c r="F1362" s="113"/>
      <c r="G1362" s="113"/>
    </row>
    <row r="1363" spans="2:7" x14ac:dyDescent="0.35">
      <c r="B1363" s="22"/>
      <c r="E1363" s="113"/>
      <c r="F1363" s="113"/>
      <c r="G1363" s="113"/>
    </row>
    <row r="1364" spans="2:7" x14ac:dyDescent="0.35">
      <c r="B1364" s="22"/>
      <c r="E1364" s="113"/>
      <c r="F1364" s="113"/>
      <c r="G1364" s="113"/>
    </row>
    <row r="1365" spans="2:7" x14ac:dyDescent="0.35">
      <c r="B1365" s="22"/>
      <c r="E1365" s="113"/>
      <c r="F1365" s="113"/>
      <c r="G1365" s="113"/>
    </row>
    <row r="1366" spans="2:7" x14ac:dyDescent="0.35">
      <c r="B1366" s="22"/>
      <c r="E1366" s="113"/>
      <c r="F1366" s="113"/>
      <c r="G1366" s="113"/>
    </row>
    <row r="1367" spans="2:7" x14ac:dyDescent="0.35">
      <c r="B1367" s="22"/>
      <c r="E1367" s="113"/>
      <c r="F1367" s="113"/>
      <c r="G1367" s="113"/>
    </row>
    <row r="1368" spans="2:7" x14ac:dyDescent="0.35">
      <c r="B1368" s="22"/>
      <c r="E1368" s="113"/>
      <c r="F1368" s="113"/>
      <c r="G1368" s="113"/>
    </row>
    <row r="1369" spans="2:7" x14ac:dyDescent="0.35">
      <c r="B1369" s="22"/>
      <c r="E1369" s="113"/>
      <c r="F1369" s="113"/>
      <c r="G1369" s="113"/>
    </row>
    <row r="1370" spans="2:7" x14ac:dyDescent="0.35">
      <c r="B1370" s="22"/>
      <c r="E1370" s="113"/>
      <c r="F1370" s="113"/>
      <c r="G1370" s="113"/>
    </row>
    <row r="1371" spans="2:7" x14ac:dyDescent="0.35">
      <c r="B1371" s="22"/>
      <c r="E1371" s="113"/>
      <c r="F1371" s="113"/>
      <c r="G1371" s="113"/>
    </row>
    <row r="1372" spans="2:7" x14ac:dyDescent="0.35">
      <c r="B1372" s="22"/>
      <c r="E1372" s="113"/>
      <c r="F1372" s="113"/>
      <c r="G1372" s="113"/>
    </row>
    <row r="1373" spans="2:7" x14ac:dyDescent="0.35">
      <c r="B1373" s="22"/>
      <c r="E1373" s="113"/>
      <c r="F1373" s="113"/>
      <c r="G1373" s="113"/>
    </row>
    <row r="1374" spans="2:7" x14ac:dyDescent="0.35">
      <c r="B1374" s="22"/>
      <c r="E1374" s="113"/>
      <c r="F1374" s="113"/>
      <c r="G1374" s="113"/>
    </row>
    <row r="1375" spans="2:7" x14ac:dyDescent="0.35">
      <c r="B1375" s="22"/>
      <c r="E1375" s="113"/>
      <c r="F1375" s="113"/>
      <c r="G1375" s="113"/>
    </row>
    <row r="1376" spans="2:7" x14ac:dyDescent="0.35">
      <c r="B1376" s="22"/>
      <c r="E1376" s="113"/>
      <c r="F1376" s="113"/>
      <c r="G1376" s="113"/>
    </row>
    <row r="1377" spans="2:7" x14ac:dyDescent="0.35">
      <c r="B1377" s="22"/>
      <c r="E1377" s="113"/>
      <c r="F1377" s="113"/>
      <c r="G1377" s="113"/>
    </row>
    <row r="1378" spans="2:7" x14ac:dyDescent="0.35">
      <c r="B1378" s="22"/>
      <c r="E1378" s="113"/>
      <c r="F1378" s="113"/>
      <c r="G1378" s="113"/>
    </row>
    <row r="1379" spans="2:7" x14ac:dyDescent="0.35">
      <c r="B1379" s="22"/>
      <c r="E1379" s="113"/>
      <c r="F1379" s="113"/>
      <c r="G1379" s="113"/>
    </row>
    <row r="1380" spans="2:7" x14ac:dyDescent="0.35">
      <c r="B1380" s="22"/>
      <c r="E1380" s="113"/>
      <c r="F1380" s="113"/>
      <c r="G1380" s="113"/>
    </row>
    <row r="1381" spans="2:7" x14ac:dyDescent="0.35">
      <c r="B1381" s="22"/>
      <c r="E1381" s="113"/>
      <c r="F1381" s="113"/>
      <c r="G1381" s="113"/>
    </row>
    <row r="1382" spans="2:7" x14ac:dyDescent="0.35">
      <c r="B1382" s="22"/>
      <c r="E1382" s="113"/>
      <c r="F1382" s="113"/>
      <c r="G1382" s="113"/>
    </row>
    <row r="1383" spans="2:7" x14ac:dyDescent="0.35">
      <c r="B1383" s="22"/>
      <c r="E1383" s="113"/>
      <c r="F1383" s="113"/>
      <c r="G1383" s="113"/>
    </row>
    <row r="1384" spans="2:7" x14ac:dyDescent="0.35">
      <c r="B1384" s="22"/>
      <c r="E1384" s="113"/>
      <c r="F1384" s="113"/>
      <c r="G1384" s="113"/>
    </row>
    <row r="1385" spans="2:7" x14ac:dyDescent="0.35">
      <c r="B1385" s="22"/>
      <c r="E1385" s="113"/>
      <c r="F1385" s="113"/>
      <c r="G1385" s="113"/>
    </row>
    <row r="1386" spans="2:7" x14ac:dyDescent="0.35">
      <c r="B1386" s="22"/>
      <c r="E1386" s="113"/>
      <c r="F1386" s="113"/>
      <c r="G1386" s="113"/>
    </row>
    <row r="1387" spans="2:7" x14ac:dyDescent="0.35">
      <c r="B1387" s="22"/>
      <c r="E1387" s="113"/>
      <c r="F1387" s="113"/>
      <c r="G1387" s="113"/>
    </row>
    <row r="1388" spans="2:7" x14ac:dyDescent="0.35">
      <c r="B1388" s="22"/>
      <c r="E1388" s="113"/>
      <c r="F1388" s="113"/>
      <c r="G1388" s="113"/>
    </row>
    <row r="1389" spans="2:7" x14ac:dyDescent="0.35">
      <c r="B1389" s="22"/>
      <c r="E1389" s="113"/>
      <c r="F1389" s="113"/>
      <c r="G1389" s="113"/>
    </row>
    <row r="1390" spans="2:7" x14ac:dyDescent="0.35">
      <c r="B1390" s="22"/>
      <c r="E1390" s="113"/>
      <c r="F1390" s="113"/>
      <c r="G1390" s="113"/>
    </row>
    <row r="1391" spans="2:7" x14ac:dyDescent="0.35">
      <c r="B1391" s="22"/>
      <c r="E1391" s="113"/>
      <c r="F1391" s="113"/>
      <c r="G1391" s="113"/>
    </row>
    <row r="1392" spans="2:7" x14ac:dyDescent="0.35">
      <c r="B1392" s="22"/>
      <c r="E1392" s="113"/>
      <c r="F1392" s="113"/>
      <c r="G1392" s="113"/>
    </row>
    <row r="1393" spans="2:7" x14ac:dyDescent="0.35">
      <c r="B1393" s="22"/>
      <c r="E1393" s="113"/>
      <c r="F1393" s="113"/>
      <c r="G1393" s="113"/>
    </row>
    <row r="1394" spans="2:7" x14ac:dyDescent="0.35">
      <c r="B1394" s="22"/>
      <c r="E1394" s="113"/>
      <c r="F1394" s="113"/>
      <c r="G1394" s="113"/>
    </row>
    <row r="1395" spans="2:7" x14ac:dyDescent="0.35">
      <c r="B1395" s="22"/>
      <c r="E1395" s="113"/>
      <c r="F1395" s="113"/>
      <c r="G1395" s="113"/>
    </row>
    <row r="1396" spans="2:7" x14ac:dyDescent="0.35">
      <c r="B1396" s="22"/>
      <c r="E1396" s="113"/>
      <c r="F1396" s="113"/>
      <c r="G1396" s="113"/>
    </row>
    <row r="1397" spans="2:7" x14ac:dyDescent="0.35">
      <c r="B1397" s="22"/>
      <c r="E1397" s="113"/>
      <c r="F1397" s="113"/>
      <c r="G1397" s="113"/>
    </row>
    <row r="1398" spans="2:7" x14ac:dyDescent="0.35">
      <c r="B1398" s="22"/>
      <c r="E1398" s="113"/>
      <c r="F1398" s="113"/>
      <c r="G1398" s="113"/>
    </row>
    <row r="1399" spans="2:7" x14ac:dyDescent="0.35">
      <c r="B1399" s="22"/>
      <c r="E1399" s="113"/>
      <c r="F1399" s="113"/>
      <c r="G1399" s="113"/>
    </row>
    <row r="1400" spans="2:7" x14ac:dyDescent="0.35">
      <c r="B1400" s="22"/>
      <c r="E1400" s="113"/>
      <c r="F1400" s="113"/>
      <c r="G1400" s="113"/>
    </row>
    <row r="1401" spans="2:7" x14ac:dyDescent="0.35">
      <c r="B1401" s="22"/>
      <c r="E1401" s="113"/>
      <c r="F1401" s="113"/>
      <c r="G1401" s="113"/>
    </row>
    <row r="1402" spans="2:7" x14ac:dyDescent="0.35">
      <c r="B1402" s="22"/>
      <c r="E1402" s="113"/>
      <c r="F1402" s="113"/>
      <c r="G1402" s="113"/>
    </row>
    <row r="1403" spans="2:7" x14ac:dyDescent="0.35">
      <c r="B1403" s="22"/>
      <c r="E1403" s="113"/>
      <c r="F1403" s="113"/>
      <c r="G1403" s="113"/>
    </row>
    <row r="1404" spans="2:7" x14ac:dyDescent="0.35">
      <c r="B1404" s="22"/>
      <c r="E1404" s="113"/>
      <c r="F1404" s="113"/>
      <c r="G1404" s="113"/>
    </row>
    <row r="1405" spans="2:7" x14ac:dyDescent="0.35">
      <c r="B1405" s="22"/>
      <c r="E1405" s="113"/>
      <c r="F1405" s="113"/>
      <c r="G1405" s="113"/>
    </row>
    <row r="1406" spans="2:7" x14ac:dyDescent="0.35">
      <c r="B1406" s="22"/>
      <c r="E1406" s="113"/>
      <c r="F1406" s="113"/>
      <c r="G1406" s="113"/>
    </row>
    <row r="1407" spans="2:7" x14ac:dyDescent="0.35">
      <c r="B1407" s="22"/>
      <c r="E1407" s="113"/>
      <c r="F1407" s="113"/>
      <c r="G1407" s="113"/>
    </row>
    <row r="1408" spans="2:7" x14ac:dyDescent="0.35">
      <c r="B1408" s="22"/>
      <c r="E1408" s="113"/>
      <c r="F1408" s="113"/>
      <c r="G1408" s="113"/>
    </row>
    <row r="1409" spans="2:7" x14ac:dyDescent="0.35">
      <c r="B1409" s="22"/>
      <c r="E1409" s="113"/>
      <c r="F1409" s="113"/>
      <c r="G1409" s="113"/>
    </row>
    <row r="1410" spans="2:7" x14ac:dyDescent="0.35">
      <c r="B1410" s="22"/>
      <c r="E1410" s="113"/>
      <c r="F1410" s="113"/>
      <c r="G1410" s="113"/>
    </row>
    <row r="1411" spans="2:7" x14ac:dyDescent="0.35">
      <c r="B1411" s="22"/>
      <c r="E1411" s="113"/>
      <c r="F1411" s="113"/>
      <c r="G1411" s="113"/>
    </row>
    <row r="1412" spans="2:7" x14ac:dyDescent="0.35">
      <c r="B1412" s="22"/>
      <c r="E1412" s="113"/>
      <c r="F1412" s="113"/>
      <c r="G1412" s="113"/>
    </row>
    <row r="1413" spans="2:7" x14ac:dyDescent="0.35">
      <c r="B1413" s="22"/>
      <c r="E1413" s="113"/>
      <c r="F1413" s="113"/>
      <c r="G1413" s="113"/>
    </row>
    <row r="1414" spans="2:7" x14ac:dyDescent="0.35">
      <c r="B1414" s="22"/>
      <c r="E1414" s="113"/>
      <c r="F1414" s="113"/>
      <c r="G1414" s="113"/>
    </row>
    <row r="1415" spans="2:7" x14ac:dyDescent="0.35">
      <c r="B1415" s="22"/>
      <c r="E1415" s="113"/>
      <c r="F1415" s="113"/>
      <c r="G1415" s="113"/>
    </row>
    <row r="1416" spans="2:7" x14ac:dyDescent="0.35">
      <c r="B1416" s="22"/>
      <c r="E1416" s="113"/>
      <c r="F1416" s="113"/>
      <c r="G1416" s="113"/>
    </row>
    <row r="1417" spans="2:7" x14ac:dyDescent="0.35">
      <c r="B1417" s="22"/>
      <c r="E1417" s="113"/>
      <c r="F1417" s="113"/>
      <c r="G1417" s="113"/>
    </row>
    <row r="1418" spans="2:7" x14ac:dyDescent="0.35">
      <c r="B1418" s="22"/>
      <c r="E1418" s="113"/>
      <c r="F1418" s="113"/>
      <c r="G1418" s="113"/>
    </row>
    <row r="1419" spans="2:7" x14ac:dyDescent="0.35">
      <c r="B1419" s="22"/>
      <c r="E1419" s="113"/>
      <c r="F1419" s="113"/>
      <c r="G1419" s="113"/>
    </row>
    <row r="1420" spans="2:7" x14ac:dyDescent="0.35">
      <c r="B1420" s="22"/>
      <c r="E1420" s="113"/>
      <c r="F1420" s="113"/>
      <c r="G1420" s="113"/>
    </row>
    <row r="1421" spans="2:7" x14ac:dyDescent="0.35">
      <c r="B1421" s="22"/>
      <c r="E1421" s="113"/>
      <c r="F1421" s="113"/>
      <c r="G1421" s="113"/>
    </row>
    <row r="1422" spans="2:7" x14ac:dyDescent="0.35">
      <c r="B1422" s="22"/>
      <c r="E1422" s="113"/>
      <c r="F1422" s="113"/>
      <c r="G1422" s="113"/>
    </row>
    <row r="1423" spans="2:7" x14ac:dyDescent="0.35">
      <c r="B1423" s="22"/>
      <c r="E1423" s="113"/>
      <c r="F1423" s="113"/>
      <c r="G1423" s="113"/>
    </row>
    <row r="1424" spans="2:7" x14ac:dyDescent="0.35">
      <c r="B1424" s="22"/>
      <c r="E1424" s="113"/>
      <c r="F1424" s="113"/>
      <c r="G1424" s="113"/>
    </row>
    <row r="1425" spans="2:7" x14ac:dyDescent="0.35">
      <c r="B1425" s="22"/>
      <c r="E1425" s="113"/>
      <c r="F1425" s="113"/>
      <c r="G1425" s="113"/>
    </row>
    <row r="1426" spans="2:7" x14ac:dyDescent="0.35">
      <c r="B1426" s="22"/>
      <c r="E1426" s="113"/>
      <c r="F1426" s="113"/>
      <c r="G1426" s="113"/>
    </row>
    <row r="1427" spans="2:7" x14ac:dyDescent="0.35">
      <c r="B1427" s="22"/>
      <c r="E1427" s="113"/>
      <c r="F1427" s="113"/>
      <c r="G1427" s="113"/>
    </row>
    <row r="1428" spans="2:7" x14ac:dyDescent="0.35">
      <c r="B1428" s="22"/>
      <c r="E1428" s="113"/>
      <c r="F1428" s="113"/>
      <c r="G1428" s="113"/>
    </row>
    <row r="1429" spans="2:7" x14ac:dyDescent="0.35">
      <c r="B1429" s="22"/>
      <c r="E1429" s="113"/>
      <c r="F1429" s="113"/>
      <c r="G1429" s="113"/>
    </row>
    <row r="1430" spans="2:7" x14ac:dyDescent="0.35">
      <c r="B1430" s="22"/>
      <c r="E1430" s="113"/>
      <c r="F1430" s="113"/>
      <c r="G1430" s="113"/>
    </row>
    <row r="1431" spans="2:7" x14ac:dyDescent="0.35">
      <c r="B1431" s="22"/>
      <c r="E1431" s="113"/>
      <c r="F1431" s="113"/>
      <c r="G1431" s="113"/>
    </row>
    <row r="1432" spans="2:7" x14ac:dyDescent="0.35">
      <c r="B1432" s="22"/>
      <c r="E1432" s="113"/>
      <c r="F1432" s="113"/>
      <c r="G1432" s="113"/>
    </row>
    <row r="1433" spans="2:7" x14ac:dyDescent="0.35">
      <c r="B1433" s="22"/>
      <c r="E1433" s="113"/>
      <c r="F1433" s="113"/>
      <c r="G1433" s="113"/>
    </row>
    <row r="1434" spans="2:7" x14ac:dyDescent="0.35">
      <c r="B1434" s="22"/>
      <c r="E1434" s="113"/>
      <c r="F1434" s="113"/>
      <c r="G1434" s="113"/>
    </row>
    <row r="1435" spans="2:7" x14ac:dyDescent="0.35">
      <c r="B1435" s="22"/>
      <c r="E1435" s="113"/>
      <c r="F1435" s="113"/>
      <c r="G1435" s="113"/>
    </row>
    <row r="1436" spans="2:7" x14ac:dyDescent="0.35">
      <c r="B1436" s="22"/>
      <c r="E1436" s="113"/>
      <c r="F1436" s="113"/>
      <c r="G1436" s="113"/>
    </row>
    <row r="1437" spans="2:7" x14ac:dyDescent="0.35">
      <c r="B1437" s="22"/>
      <c r="E1437" s="113"/>
      <c r="F1437" s="113"/>
      <c r="G1437" s="113"/>
    </row>
    <row r="1438" spans="2:7" x14ac:dyDescent="0.35">
      <c r="B1438" s="22"/>
      <c r="E1438" s="113"/>
      <c r="F1438" s="113"/>
      <c r="G1438" s="113"/>
    </row>
    <row r="1439" spans="2:7" x14ac:dyDescent="0.35">
      <c r="B1439" s="22"/>
      <c r="E1439" s="113"/>
      <c r="F1439" s="113"/>
      <c r="G1439" s="113"/>
    </row>
    <row r="1440" spans="2:7" x14ac:dyDescent="0.35">
      <c r="B1440" s="22"/>
      <c r="E1440" s="113"/>
      <c r="F1440" s="113"/>
      <c r="G1440" s="113"/>
    </row>
    <row r="1441" spans="2:7" x14ac:dyDescent="0.35">
      <c r="B1441" s="22"/>
      <c r="E1441" s="113"/>
      <c r="F1441" s="113"/>
      <c r="G1441" s="113"/>
    </row>
    <row r="1442" spans="2:7" x14ac:dyDescent="0.35">
      <c r="B1442" s="22"/>
      <c r="E1442" s="113"/>
      <c r="F1442" s="113"/>
      <c r="G1442" s="113"/>
    </row>
    <row r="1443" spans="2:7" x14ac:dyDescent="0.35">
      <c r="B1443" s="22"/>
      <c r="E1443" s="113"/>
      <c r="F1443" s="113"/>
      <c r="G1443" s="113"/>
    </row>
    <row r="1444" spans="2:7" x14ac:dyDescent="0.35">
      <c r="B1444" s="22"/>
      <c r="E1444" s="113"/>
      <c r="F1444" s="113"/>
      <c r="G1444" s="113"/>
    </row>
    <row r="1445" spans="2:7" x14ac:dyDescent="0.35">
      <c r="B1445" s="22"/>
      <c r="E1445" s="113"/>
      <c r="F1445" s="113"/>
      <c r="G1445" s="113"/>
    </row>
    <row r="1446" spans="2:7" x14ac:dyDescent="0.35">
      <c r="B1446" s="22"/>
      <c r="E1446" s="113"/>
      <c r="F1446" s="113"/>
      <c r="G1446" s="113"/>
    </row>
    <row r="1447" spans="2:7" x14ac:dyDescent="0.35">
      <c r="B1447" s="22"/>
      <c r="E1447" s="113"/>
      <c r="F1447" s="113"/>
      <c r="G1447" s="113"/>
    </row>
    <row r="1448" spans="2:7" x14ac:dyDescent="0.35">
      <c r="B1448" s="22"/>
      <c r="E1448" s="113"/>
      <c r="F1448" s="113"/>
      <c r="G1448" s="113"/>
    </row>
    <row r="1449" spans="2:7" x14ac:dyDescent="0.35">
      <c r="B1449" s="22"/>
      <c r="E1449" s="113"/>
      <c r="F1449" s="113"/>
      <c r="G1449" s="113"/>
    </row>
    <row r="1450" spans="2:7" x14ac:dyDescent="0.35">
      <c r="B1450" s="22"/>
      <c r="E1450" s="113"/>
      <c r="F1450" s="113"/>
      <c r="G1450" s="113"/>
    </row>
    <row r="1451" spans="2:7" x14ac:dyDescent="0.35">
      <c r="B1451" s="22"/>
      <c r="E1451" s="113"/>
      <c r="F1451" s="113"/>
      <c r="G1451" s="113"/>
    </row>
    <row r="1452" spans="2:7" x14ac:dyDescent="0.35">
      <c r="B1452" s="22"/>
      <c r="E1452" s="113"/>
      <c r="F1452" s="113"/>
      <c r="G1452" s="113"/>
    </row>
    <row r="1453" spans="2:7" x14ac:dyDescent="0.35">
      <c r="B1453" s="22"/>
      <c r="E1453" s="113"/>
      <c r="F1453" s="113"/>
      <c r="G1453" s="113"/>
    </row>
    <row r="1454" spans="2:7" x14ac:dyDescent="0.35">
      <c r="B1454" s="22"/>
      <c r="E1454" s="113"/>
      <c r="F1454" s="113"/>
      <c r="G1454" s="113"/>
    </row>
    <row r="1455" spans="2:7" x14ac:dyDescent="0.35">
      <c r="B1455" s="22"/>
      <c r="E1455" s="113"/>
      <c r="F1455" s="113"/>
      <c r="G1455" s="113"/>
    </row>
    <row r="1456" spans="2:7" x14ac:dyDescent="0.35">
      <c r="B1456" s="22"/>
      <c r="E1456" s="113"/>
      <c r="F1456" s="113"/>
      <c r="G1456" s="113"/>
    </row>
    <row r="1457" spans="2:7" x14ac:dyDescent="0.35">
      <c r="B1457" s="22"/>
      <c r="E1457" s="113"/>
      <c r="F1457" s="113"/>
      <c r="G1457" s="113"/>
    </row>
    <row r="1458" spans="2:7" x14ac:dyDescent="0.35">
      <c r="B1458" s="22"/>
      <c r="E1458" s="113"/>
      <c r="F1458" s="113"/>
      <c r="G1458" s="113"/>
    </row>
    <row r="1459" spans="2:7" x14ac:dyDescent="0.35">
      <c r="B1459" s="22"/>
      <c r="E1459" s="113"/>
      <c r="F1459" s="113"/>
      <c r="G1459" s="113"/>
    </row>
    <row r="1460" spans="2:7" x14ac:dyDescent="0.35">
      <c r="B1460" s="22"/>
      <c r="E1460" s="113"/>
      <c r="F1460" s="113"/>
      <c r="G1460" s="113"/>
    </row>
    <row r="1461" spans="2:7" x14ac:dyDescent="0.35">
      <c r="B1461" s="22"/>
      <c r="E1461" s="113"/>
      <c r="F1461" s="113"/>
      <c r="G1461" s="113"/>
    </row>
    <row r="1462" spans="2:7" x14ac:dyDescent="0.35">
      <c r="B1462" s="22"/>
      <c r="E1462" s="113"/>
      <c r="F1462" s="113"/>
      <c r="G1462" s="113"/>
    </row>
    <row r="1463" spans="2:7" x14ac:dyDescent="0.35">
      <c r="B1463" s="22"/>
      <c r="E1463" s="113"/>
      <c r="F1463" s="113"/>
      <c r="G1463" s="113"/>
    </row>
    <row r="1464" spans="2:7" x14ac:dyDescent="0.35">
      <c r="B1464" s="22"/>
      <c r="E1464" s="113"/>
      <c r="F1464" s="113"/>
      <c r="G1464" s="113"/>
    </row>
    <row r="1465" spans="2:7" x14ac:dyDescent="0.35">
      <c r="B1465" s="22"/>
      <c r="E1465" s="113"/>
      <c r="F1465" s="113"/>
      <c r="G1465" s="113"/>
    </row>
    <row r="1466" spans="2:7" x14ac:dyDescent="0.35">
      <c r="B1466" s="22"/>
      <c r="E1466" s="113"/>
      <c r="F1466" s="113"/>
      <c r="G1466" s="113"/>
    </row>
    <row r="1467" spans="2:7" x14ac:dyDescent="0.35">
      <c r="B1467" s="22"/>
      <c r="E1467" s="113"/>
      <c r="F1467" s="113"/>
      <c r="G1467" s="113"/>
    </row>
    <row r="1468" spans="2:7" x14ac:dyDescent="0.35">
      <c r="B1468" s="29"/>
      <c r="E1468" s="113"/>
      <c r="F1468" s="113"/>
      <c r="G1468" s="113"/>
    </row>
    <row r="1469" spans="2:7" x14ac:dyDescent="0.35">
      <c r="B1469" s="29"/>
      <c r="E1469" s="113"/>
      <c r="F1469" s="113"/>
      <c r="G1469" s="113"/>
    </row>
    <row r="1470" spans="2:7" x14ac:dyDescent="0.35">
      <c r="B1470" s="29"/>
      <c r="E1470" s="113"/>
      <c r="F1470" s="113"/>
      <c r="G1470" s="113"/>
    </row>
    <row r="1471" spans="2:7" x14ac:dyDescent="0.35">
      <c r="B1471" s="29"/>
      <c r="E1471" s="113"/>
      <c r="F1471" s="113"/>
      <c r="G1471" s="113"/>
    </row>
    <row r="1472" spans="2:7" x14ac:dyDescent="0.35">
      <c r="B1472" s="29"/>
      <c r="E1472" s="113"/>
      <c r="F1472" s="113"/>
      <c r="G1472" s="113"/>
    </row>
    <row r="1473" spans="2:7" x14ac:dyDescent="0.35">
      <c r="B1473" s="29"/>
      <c r="E1473" s="113"/>
      <c r="F1473" s="113"/>
      <c r="G1473" s="113"/>
    </row>
    <row r="1474" spans="2:7" x14ac:dyDescent="0.35">
      <c r="B1474" s="29"/>
      <c r="E1474" s="113"/>
      <c r="F1474" s="113"/>
      <c r="G1474" s="113"/>
    </row>
    <row r="1475" spans="2:7" x14ac:dyDescent="0.35">
      <c r="B1475" s="29"/>
      <c r="E1475" s="113"/>
      <c r="F1475" s="113"/>
      <c r="G1475" s="113"/>
    </row>
    <row r="1476" spans="2:7" x14ac:dyDescent="0.35">
      <c r="B1476" s="29"/>
      <c r="E1476" s="113"/>
      <c r="F1476" s="113"/>
      <c r="G1476" s="113"/>
    </row>
    <row r="1477" spans="2:7" x14ac:dyDescent="0.35">
      <c r="B1477" s="29"/>
      <c r="E1477" s="113"/>
      <c r="F1477" s="113"/>
      <c r="G1477" s="113"/>
    </row>
    <row r="1478" spans="2:7" x14ac:dyDescent="0.35">
      <c r="B1478" s="29"/>
      <c r="E1478" s="113"/>
      <c r="F1478" s="113"/>
      <c r="G1478" s="113"/>
    </row>
    <row r="1479" spans="2:7" x14ac:dyDescent="0.35">
      <c r="B1479" s="29"/>
      <c r="E1479" s="113"/>
      <c r="F1479" s="113"/>
      <c r="G1479" s="113"/>
    </row>
    <row r="1480" spans="2:7" x14ac:dyDescent="0.35">
      <c r="B1480" s="29"/>
      <c r="E1480" s="113"/>
      <c r="F1480" s="113"/>
      <c r="G1480" s="113"/>
    </row>
    <row r="1481" spans="2:7" x14ac:dyDescent="0.35">
      <c r="B1481" s="29"/>
      <c r="E1481" s="113"/>
      <c r="F1481" s="113"/>
      <c r="G1481" s="113"/>
    </row>
    <row r="1482" spans="2:7" x14ac:dyDescent="0.35">
      <c r="B1482" s="29"/>
      <c r="E1482" s="113"/>
      <c r="F1482" s="113"/>
      <c r="G1482" s="113"/>
    </row>
    <row r="1483" spans="2:7" x14ac:dyDescent="0.35">
      <c r="B1483" s="29"/>
      <c r="E1483" s="113"/>
      <c r="F1483" s="113"/>
      <c r="G1483" s="113"/>
    </row>
    <row r="1484" spans="2:7" x14ac:dyDescent="0.35">
      <c r="B1484" s="29"/>
      <c r="E1484" s="113"/>
      <c r="F1484" s="113"/>
      <c r="G1484" s="113"/>
    </row>
    <row r="1485" spans="2:7" x14ac:dyDescent="0.35">
      <c r="B1485" s="29"/>
      <c r="E1485" s="113"/>
      <c r="F1485" s="113"/>
      <c r="G1485" s="113"/>
    </row>
    <row r="1486" spans="2:7" x14ac:dyDescent="0.35">
      <c r="B1486" s="29"/>
      <c r="E1486" s="113"/>
      <c r="F1486" s="113"/>
      <c r="G1486" s="113"/>
    </row>
    <row r="1487" spans="2:7" x14ac:dyDescent="0.35">
      <c r="B1487" s="29"/>
      <c r="E1487" s="113"/>
      <c r="F1487" s="113"/>
      <c r="G1487" s="113"/>
    </row>
    <row r="1488" spans="2:7" x14ac:dyDescent="0.35">
      <c r="B1488" s="29"/>
      <c r="E1488" s="113"/>
      <c r="F1488" s="113"/>
      <c r="G1488" s="113"/>
    </row>
    <row r="1489" spans="2:7" x14ac:dyDescent="0.35">
      <c r="B1489" s="29"/>
      <c r="E1489" s="113"/>
      <c r="F1489" s="113"/>
      <c r="G1489" s="113"/>
    </row>
    <row r="1490" spans="2:7" x14ac:dyDescent="0.35">
      <c r="B1490" s="29"/>
      <c r="E1490" s="113"/>
      <c r="F1490" s="113"/>
      <c r="G1490" s="113"/>
    </row>
    <row r="1491" spans="2:7" x14ac:dyDescent="0.35">
      <c r="B1491" s="29"/>
      <c r="E1491" s="113"/>
      <c r="F1491" s="113"/>
      <c r="G1491" s="113"/>
    </row>
    <row r="1492" spans="2:7" x14ac:dyDescent="0.35">
      <c r="B1492" s="29"/>
      <c r="E1492" s="113"/>
      <c r="F1492" s="113"/>
      <c r="G1492" s="113"/>
    </row>
    <row r="1493" spans="2:7" x14ac:dyDescent="0.35">
      <c r="B1493" s="29"/>
      <c r="E1493" s="113"/>
      <c r="F1493" s="113"/>
      <c r="G1493" s="113"/>
    </row>
    <row r="1494" spans="2:7" x14ac:dyDescent="0.35">
      <c r="B1494" s="29"/>
      <c r="E1494" s="113"/>
      <c r="F1494" s="113"/>
      <c r="G1494" s="113"/>
    </row>
    <row r="1495" spans="2:7" x14ac:dyDescent="0.35">
      <c r="B1495" s="29"/>
      <c r="E1495" s="113"/>
      <c r="F1495" s="113"/>
      <c r="G1495" s="113"/>
    </row>
    <row r="1496" spans="2:7" x14ac:dyDescent="0.35">
      <c r="B1496" s="29"/>
      <c r="E1496" s="113"/>
      <c r="F1496" s="113"/>
      <c r="G1496" s="113"/>
    </row>
    <row r="1497" spans="2:7" x14ac:dyDescent="0.35">
      <c r="B1497" s="29"/>
      <c r="E1497" s="113"/>
      <c r="F1497" s="113"/>
      <c r="G1497" s="113"/>
    </row>
    <row r="1498" spans="2:7" x14ac:dyDescent="0.35">
      <c r="B1498" s="29"/>
      <c r="E1498" s="113"/>
      <c r="F1498" s="113"/>
      <c r="G1498" s="113"/>
    </row>
    <row r="1499" spans="2:7" x14ac:dyDescent="0.35">
      <c r="B1499" s="29"/>
      <c r="E1499" s="113"/>
      <c r="F1499" s="113"/>
      <c r="G1499" s="113"/>
    </row>
    <row r="1500" spans="2:7" x14ac:dyDescent="0.35">
      <c r="B1500" s="29"/>
      <c r="E1500" s="113"/>
      <c r="F1500" s="113"/>
      <c r="G1500" s="113"/>
    </row>
    <row r="1501" spans="2:7" x14ac:dyDescent="0.35">
      <c r="B1501" s="29"/>
      <c r="E1501" s="113"/>
      <c r="F1501" s="113"/>
      <c r="G1501" s="113"/>
    </row>
    <row r="1502" spans="2:7" x14ac:dyDescent="0.35">
      <c r="B1502" s="29"/>
      <c r="E1502" s="113"/>
      <c r="F1502" s="113"/>
      <c r="G1502" s="113"/>
    </row>
    <row r="1503" spans="2:7" x14ac:dyDescent="0.35">
      <c r="B1503" s="29"/>
      <c r="E1503" s="113"/>
      <c r="F1503" s="113"/>
      <c r="G1503" s="113"/>
    </row>
    <row r="1504" spans="2:7" x14ac:dyDescent="0.35">
      <c r="B1504" s="29"/>
      <c r="E1504" s="113"/>
      <c r="F1504" s="113"/>
      <c r="G1504" s="113"/>
    </row>
    <row r="1505" spans="2:7" x14ac:dyDescent="0.35">
      <c r="B1505" s="29"/>
      <c r="E1505" s="113"/>
      <c r="F1505" s="113"/>
      <c r="G1505" s="113"/>
    </row>
    <row r="1506" spans="2:7" x14ac:dyDescent="0.35">
      <c r="B1506" s="29"/>
      <c r="E1506" s="113"/>
      <c r="F1506" s="113"/>
      <c r="G1506" s="113"/>
    </row>
    <row r="1507" spans="2:7" x14ac:dyDescent="0.35">
      <c r="B1507" s="29"/>
      <c r="E1507" s="113"/>
      <c r="F1507" s="113"/>
      <c r="G1507" s="113"/>
    </row>
    <row r="1508" spans="2:7" x14ac:dyDescent="0.35">
      <c r="B1508" s="29"/>
      <c r="E1508" s="113"/>
      <c r="F1508" s="113"/>
      <c r="G1508" s="113"/>
    </row>
    <row r="1509" spans="2:7" x14ac:dyDescent="0.35">
      <c r="B1509" s="29"/>
      <c r="E1509" s="113"/>
      <c r="F1509" s="113"/>
      <c r="G1509" s="113"/>
    </row>
    <row r="1510" spans="2:7" x14ac:dyDescent="0.35">
      <c r="B1510" s="29"/>
      <c r="E1510" s="113"/>
      <c r="F1510" s="113"/>
      <c r="G1510" s="113"/>
    </row>
    <row r="1511" spans="2:7" x14ac:dyDescent="0.35">
      <c r="B1511" s="29"/>
      <c r="E1511" s="113"/>
      <c r="F1511" s="113"/>
      <c r="G1511" s="113"/>
    </row>
    <row r="1512" spans="2:7" x14ac:dyDescent="0.35">
      <c r="B1512" s="29"/>
      <c r="E1512" s="113"/>
      <c r="F1512" s="113"/>
      <c r="G1512" s="113"/>
    </row>
    <row r="1513" spans="2:7" x14ac:dyDescent="0.35">
      <c r="B1513" s="29"/>
      <c r="E1513" s="113"/>
      <c r="F1513" s="113"/>
      <c r="G1513" s="113"/>
    </row>
    <row r="1514" spans="2:7" x14ac:dyDescent="0.35">
      <c r="B1514" s="29"/>
      <c r="E1514" s="113"/>
      <c r="F1514" s="113"/>
      <c r="G1514" s="113"/>
    </row>
    <row r="1515" spans="2:7" x14ac:dyDescent="0.35">
      <c r="B1515" s="29"/>
      <c r="E1515" s="113"/>
      <c r="F1515" s="113"/>
      <c r="G1515" s="113"/>
    </row>
    <row r="1516" spans="2:7" x14ac:dyDescent="0.35">
      <c r="B1516" s="29"/>
      <c r="E1516" s="113"/>
      <c r="F1516" s="113"/>
      <c r="G1516" s="113"/>
    </row>
    <row r="1517" spans="2:7" x14ac:dyDescent="0.35">
      <c r="B1517" s="29"/>
      <c r="E1517" s="113"/>
      <c r="F1517" s="113"/>
      <c r="G1517" s="113"/>
    </row>
    <row r="1518" spans="2:7" x14ac:dyDescent="0.35">
      <c r="B1518" s="29"/>
      <c r="E1518" s="113"/>
      <c r="F1518" s="113"/>
      <c r="G1518" s="113"/>
    </row>
    <row r="1519" spans="2:7" x14ac:dyDescent="0.35">
      <c r="B1519" s="29"/>
      <c r="E1519" s="113"/>
      <c r="F1519" s="113"/>
      <c r="G1519" s="113"/>
    </row>
    <row r="1520" spans="2:7" x14ac:dyDescent="0.35">
      <c r="B1520" s="29"/>
      <c r="E1520" s="113"/>
      <c r="F1520" s="113"/>
      <c r="G1520" s="113"/>
    </row>
    <row r="1521" spans="2:7" x14ac:dyDescent="0.35">
      <c r="B1521" s="29"/>
      <c r="E1521" s="113"/>
      <c r="F1521" s="113"/>
      <c r="G1521" s="113"/>
    </row>
    <row r="1522" spans="2:7" x14ac:dyDescent="0.35">
      <c r="B1522" s="29"/>
      <c r="E1522" s="113"/>
      <c r="F1522" s="113"/>
      <c r="G1522" s="113"/>
    </row>
    <row r="1523" spans="2:7" x14ac:dyDescent="0.35">
      <c r="B1523" s="29"/>
      <c r="E1523" s="113"/>
      <c r="F1523" s="113"/>
      <c r="G1523" s="113"/>
    </row>
    <row r="1524" spans="2:7" x14ac:dyDescent="0.35">
      <c r="B1524" s="29"/>
      <c r="E1524" s="113"/>
      <c r="F1524" s="113"/>
      <c r="G1524" s="113"/>
    </row>
    <row r="1525" spans="2:7" x14ac:dyDescent="0.35">
      <c r="B1525" s="29"/>
      <c r="E1525" s="113"/>
      <c r="F1525" s="113"/>
      <c r="G1525" s="113"/>
    </row>
    <row r="1526" spans="2:7" x14ac:dyDescent="0.35">
      <c r="B1526" s="29"/>
      <c r="E1526" s="113"/>
      <c r="F1526" s="113"/>
      <c r="G1526" s="113"/>
    </row>
    <row r="1527" spans="2:7" x14ac:dyDescent="0.35">
      <c r="B1527" s="29"/>
      <c r="E1527" s="113"/>
      <c r="F1527" s="113"/>
      <c r="G1527" s="113"/>
    </row>
  </sheetData>
  <conditionalFormatting sqref="A9:H679">
    <cfRule type="cellIs" dxfId="8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liste_NFacture">
          <controlPr defaultSize="0" autoLine="0" r:id="rId4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952500</xdr:colOff>
                <xdr:row>3</xdr:row>
                <xdr:rowOff>6350</xdr:rowOff>
              </to>
            </anchor>
          </controlPr>
        </control>
      </mc:Choice>
      <mc:Fallback>
        <control shapeId="17409" r:id="rId3" name="liste_NFacture"/>
      </mc:Fallback>
    </mc:AlternateContent>
    <mc:AlternateContent xmlns:mc="http://schemas.openxmlformats.org/markup-compatibility/2006">
      <mc:Choice Requires="x14">
        <control shapeId="17410" r:id="rId5" name="liste_Client">
          <controlPr defaultSize="0" autoLine="0" r:id="rId6">
            <anchor moveWithCells="1">
              <from>
                <xdr:col>1</xdr:col>
                <xdr:colOff>196850</xdr:colOff>
                <xdr:row>1</xdr:row>
                <xdr:rowOff>177800</xdr:rowOff>
              </from>
              <to>
                <xdr:col>2</xdr:col>
                <xdr:colOff>2159000</xdr:colOff>
                <xdr:row>3</xdr:row>
                <xdr:rowOff>12700</xdr:rowOff>
              </to>
            </anchor>
          </controlPr>
        </control>
      </mc:Choice>
      <mc:Fallback>
        <control shapeId="17410" r:id="rId5" name="liste_Clien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70C0"/>
  </sheetPr>
  <dimension ref="A2:Q1527"/>
  <sheetViews>
    <sheetView zoomScale="71" zoomScaleNormal="71" workbookViewId="0">
      <selection activeCell="B28" sqref="B28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21" t="s">
        <v>104</v>
      </c>
      <c r="I2" s="124">
        <f>+M9</f>
        <v>0</v>
      </c>
    </row>
    <row r="3" spans="1:17" ht="16" thickBot="1" x14ac:dyDescent="0.4">
      <c r="A3" s="120" t="s">
        <v>82</v>
      </c>
      <c r="H3" s="121" t="s">
        <v>2158</v>
      </c>
      <c r="I3" s="122">
        <f>SUM(I9:I1000)</f>
        <v>0</v>
      </c>
      <c r="Q3" t="s">
        <v>2155</v>
      </c>
    </row>
    <row r="4" spans="1:17" ht="15" thickBot="1" x14ac:dyDescent="0.4">
      <c r="H4" s="121">
        <f>+N9</f>
        <v>0</v>
      </c>
      <c r="I4" s="122">
        <f>IF(H4="TVA 20%",I3*0.2,IF(H4="TVA 14%",I3*0.14,IF(H4="TVA 10%",I3*0.1,IF(H4="TVA 07%",I3*0.07,IF(H4="Retenu à la Source",I3*0.2,0)))))</f>
        <v>0</v>
      </c>
      <c r="J4" s="123"/>
      <c r="Q4" t="s">
        <v>7</v>
      </c>
    </row>
    <row r="5" spans="1:17" s="1" customFormat="1" ht="15" thickBot="1" x14ac:dyDescent="0.4">
      <c r="H5" s="121" t="str">
        <f>IF(I4=0,"Total Facture HT","Total Facture TTC")</f>
        <v>Total Facture HT</v>
      </c>
      <c r="I5" s="122">
        <f>IFERROR(+I3+I4,"")</f>
        <v>0</v>
      </c>
      <c r="J5" s="123"/>
      <c r="K5"/>
      <c r="L5"/>
      <c r="Q5" s="115"/>
    </row>
    <row r="6" spans="1:17" x14ac:dyDescent="0.35">
      <c r="J6" s="114"/>
    </row>
    <row r="7" spans="1:17" x14ac:dyDescent="0.35">
      <c r="J7" s="114"/>
    </row>
    <row r="8" spans="1:17" ht="21" x14ac:dyDescent="0.35">
      <c r="A8" s="116" t="s">
        <v>2156</v>
      </c>
      <c r="B8" s="116" t="s">
        <v>11</v>
      </c>
      <c r="C8" s="116" t="s">
        <v>49</v>
      </c>
      <c r="D8" s="116" t="s">
        <v>2157</v>
      </c>
      <c r="E8" s="116" t="s">
        <v>0</v>
      </c>
      <c r="F8" s="116" t="s">
        <v>1</v>
      </c>
      <c r="G8" s="116" t="s">
        <v>47</v>
      </c>
      <c r="H8" s="116" t="s">
        <v>48</v>
      </c>
      <c r="I8" s="116" t="s">
        <v>15</v>
      </c>
      <c r="J8" s="117" t="s">
        <v>12</v>
      </c>
      <c r="K8" s="118" t="s">
        <v>2</v>
      </c>
      <c r="L8" s="118" t="s">
        <v>118</v>
      </c>
      <c r="M8" s="119" t="s">
        <v>104</v>
      </c>
      <c r="N8" s="119" t="s">
        <v>88</v>
      </c>
    </row>
    <row r="9" spans="1:17" x14ac:dyDescent="0.35">
      <c r="A9" s="126"/>
      <c r="B9" s="127"/>
      <c r="C9" s="126"/>
      <c r="D9" s="126"/>
      <c r="E9" s="128"/>
      <c r="F9" s="128"/>
      <c r="G9" s="128"/>
      <c r="H9" s="128"/>
      <c r="I9" s="128"/>
      <c r="J9" s="129"/>
      <c r="K9" s="126"/>
      <c r="L9" s="126"/>
      <c r="M9" s="125"/>
      <c r="N9" s="126"/>
    </row>
    <row r="10" spans="1:17" x14ac:dyDescent="0.35">
      <c r="A10" s="126"/>
      <c r="B10" s="127"/>
      <c r="C10" s="126"/>
      <c r="D10" s="126"/>
      <c r="E10" s="128"/>
      <c r="F10" s="128"/>
      <c r="G10" s="128"/>
      <c r="H10" s="128"/>
      <c r="I10" s="128"/>
      <c r="J10" s="129"/>
      <c r="K10" s="126"/>
      <c r="L10" s="126"/>
      <c r="M10" s="125"/>
      <c r="N10" s="126"/>
    </row>
    <row r="11" spans="1:17" x14ac:dyDescent="0.35">
      <c r="A11" s="126"/>
      <c r="B11" s="127"/>
      <c r="C11" s="126"/>
      <c r="D11" s="126"/>
      <c r="E11" s="128"/>
      <c r="F11" s="128"/>
      <c r="G11" s="128"/>
      <c r="H11" s="128"/>
      <c r="I11" s="128"/>
      <c r="J11" s="129"/>
      <c r="K11" s="126"/>
      <c r="L11" s="126"/>
      <c r="M11" s="125"/>
      <c r="N11" s="126"/>
    </row>
    <row r="12" spans="1:17" x14ac:dyDescent="0.35">
      <c r="A12" s="126"/>
      <c r="B12" s="127"/>
      <c r="C12" s="126"/>
      <c r="D12" s="126"/>
      <c r="E12" s="128"/>
      <c r="F12" s="128"/>
      <c r="G12" s="128"/>
      <c r="H12" s="128"/>
      <c r="I12" s="128"/>
      <c r="J12" s="129"/>
      <c r="K12" s="126"/>
      <c r="L12" s="126"/>
      <c r="M12" s="125"/>
      <c r="N12" s="126"/>
    </row>
    <row r="13" spans="1:17" x14ac:dyDescent="0.35">
      <c r="A13" s="126"/>
      <c r="B13" s="127"/>
      <c r="C13" s="126"/>
      <c r="D13" s="126"/>
      <c r="E13" s="128"/>
      <c r="F13" s="128"/>
      <c r="G13" s="128"/>
      <c r="H13" s="128"/>
      <c r="I13" s="128"/>
      <c r="J13" s="129"/>
      <c r="K13" s="126"/>
      <c r="L13" s="126"/>
      <c r="M13" s="125"/>
      <c r="N13" s="126"/>
    </row>
    <row r="14" spans="1:17" x14ac:dyDescent="0.35">
      <c r="A14" s="126"/>
      <c r="B14" s="127"/>
      <c r="C14" s="126"/>
      <c r="D14" s="126"/>
      <c r="E14" s="128"/>
      <c r="F14" s="128"/>
      <c r="G14" s="128"/>
      <c r="H14" s="128"/>
      <c r="I14" s="128"/>
      <c r="J14" s="129"/>
      <c r="K14" s="126"/>
      <c r="L14" s="126"/>
      <c r="M14" s="125"/>
      <c r="N14" s="126"/>
    </row>
    <row r="15" spans="1:17" x14ac:dyDescent="0.35">
      <c r="A15" s="126"/>
      <c r="B15" s="127"/>
      <c r="C15" s="126"/>
      <c r="D15" s="126"/>
      <c r="E15" s="128"/>
      <c r="F15" s="128"/>
      <c r="G15" s="128"/>
      <c r="H15" s="128"/>
      <c r="I15" s="128"/>
      <c r="J15" s="129"/>
      <c r="K15" s="126"/>
      <c r="L15" s="126"/>
      <c r="M15" s="125"/>
      <c r="N15" s="126"/>
    </row>
    <row r="16" spans="1:17" x14ac:dyDescent="0.35">
      <c r="A16" s="126"/>
      <c r="B16" s="127"/>
      <c r="C16" s="126"/>
      <c r="D16" s="126"/>
      <c r="E16" s="128"/>
      <c r="F16" s="128"/>
      <c r="G16" s="128"/>
      <c r="H16" s="128"/>
      <c r="I16" s="128"/>
      <c r="J16" s="129"/>
      <c r="K16" s="126"/>
      <c r="L16" s="126"/>
      <c r="M16" s="125"/>
      <c r="N16" s="126"/>
    </row>
    <row r="17" spans="1:14" x14ac:dyDescent="0.35">
      <c r="A17" s="126"/>
      <c r="B17" s="127"/>
      <c r="C17" s="126"/>
      <c r="D17" s="126"/>
      <c r="E17" s="128"/>
      <c r="F17" s="128"/>
      <c r="G17" s="128"/>
      <c r="H17" s="128"/>
      <c r="I17" s="128"/>
      <c r="J17" s="129"/>
      <c r="K17" s="126"/>
      <c r="L17" s="126"/>
      <c r="M17" s="125"/>
      <c r="N17" s="126"/>
    </row>
    <row r="18" spans="1:14" x14ac:dyDescent="0.35">
      <c r="A18" s="126"/>
      <c r="B18" s="127"/>
      <c r="C18" s="126"/>
      <c r="D18" s="126"/>
      <c r="E18" s="128"/>
      <c r="F18" s="128"/>
      <c r="G18" s="128"/>
      <c r="H18" s="128"/>
      <c r="I18" s="128"/>
      <c r="J18" s="129"/>
      <c r="K18" s="126"/>
      <c r="L18" s="126"/>
      <c r="M18" s="125"/>
      <c r="N18" s="126"/>
    </row>
    <row r="19" spans="1:14" x14ac:dyDescent="0.35">
      <c r="A19" s="126"/>
      <c r="B19" s="127"/>
      <c r="C19" s="126"/>
      <c r="D19" s="126"/>
      <c r="E19" s="128"/>
      <c r="F19" s="128"/>
      <c r="G19" s="128"/>
      <c r="H19" s="128"/>
      <c r="I19" s="128"/>
      <c r="J19" s="129"/>
      <c r="K19" s="126"/>
      <c r="L19" s="126"/>
      <c r="M19" s="125"/>
      <c r="N19" s="126"/>
    </row>
    <row r="20" spans="1:14" x14ac:dyDescent="0.35">
      <c r="A20" s="126"/>
      <c r="B20" s="127"/>
      <c r="C20" s="126"/>
      <c r="D20" s="126"/>
      <c r="E20" s="128"/>
      <c r="F20" s="128"/>
      <c r="G20" s="128"/>
      <c r="H20" s="128"/>
      <c r="I20" s="128"/>
      <c r="J20" s="129"/>
      <c r="K20" s="126"/>
      <c r="L20" s="126"/>
      <c r="M20" s="125"/>
      <c r="N20" s="126"/>
    </row>
    <row r="21" spans="1:14" x14ac:dyDescent="0.35">
      <c r="A21" s="126"/>
      <c r="B21" s="127"/>
      <c r="C21" s="126"/>
      <c r="D21" s="126"/>
      <c r="E21" s="128"/>
      <c r="F21" s="128"/>
      <c r="G21" s="128"/>
      <c r="H21" s="128"/>
      <c r="I21" s="128"/>
      <c r="J21" s="129"/>
      <c r="K21" s="126"/>
      <c r="L21" s="126"/>
      <c r="M21" s="125"/>
      <c r="N21" s="126"/>
    </row>
    <row r="22" spans="1:14" x14ac:dyDescent="0.35">
      <c r="A22" s="126"/>
      <c r="B22" s="127"/>
      <c r="C22" s="126"/>
      <c r="D22" s="126"/>
      <c r="E22" s="128"/>
      <c r="F22" s="128"/>
      <c r="G22" s="128"/>
      <c r="H22" s="128"/>
      <c r="I22" s="128"/>
      <c r="J22" s="129"/>
      <c r="K22" s="126"/>
      <c r="L22" s="126"/>
      <c r="M22" s="125"/>
      <c r="N22" s="126"/>
    </row>
    <row r="23" spans="1:14" x14ac:dyDescent="0.35">
      <c r="A23" s="126"/>
      <c r="B23" s="127"/>
      <c r="C23" s="126"/>
      <c r="D23" s="126"/>
      <c r="E23" s="128"/>
      <c r="F23" s="128"/>
      <c r="G23" s="128"/>
      <c r="H23" s="128"/>
      <c r="I23" s="128"/>
      <c r="J23" s="129"/>
      <c r="K23" s="126"/>
      <c r="L23" s="126"/>
      <c r="M23" s="125"/>
      <c r="N23" s="126"/>
    </row>
    <row r="24" spans="1:14" x14ac:dyDescent="0.35">
      <c r="A24" s="126"/>
      <c r="B24" s="127"/>
      <c r="C24" s="126"/>
      <c r="D24" s="126"/>
      <c r="E24" s="128"/>
      <c r="F24" s="128"/>
      <c r="G24" s="128"/>
      <c r="H24" s="128"/>
      <c r="I24" s="128"/>
      <c r="J24" s="129"/>
      <c r="K24" s="126"/>
      <c r="L24" s="126"/>
      <c r="M24" s="125"/>
      <c r="N24" s="126"/>
    </row>
    <row r="25" spans="1:14" x14ac:dyDescent="0.35">
      <c r="A25" s="126"/>
      <c r="B25" s="127"/>
      <c r="C25" s="126"/>
      <c r="D25" s="126"/>
      <c r="E25" s="128"/>
      <c r="F25" s="128"/>
      <c r="G25" s="128"/>
      <c r="H25" s="128"/>
      <c r="I25" s="128"/>
      <c r="J25" s="129"/>
      <c r="K25" s="126"/>
      <c r="L25" s="126"/>
      <c r="M25" s="125"/>
      <c r="N25" s="126"/>
    </row>
    <row r="26" spans="1:14" x14ac:dyDescent="0.35">
      <c r="A26" s="126"/>
      <c r="B26" s="127"/>
      <c r="C26" s="126"/>
      <c r="D26" s="126"/>
      <c r="E26" s="128"/>
      <c r="F26" s="128"/>
      <c r="G26" s="128"/>
      <c r="H26" s="128"/>
      <c r="I26" s="128"/>
      <c r="J26" s="129"/>
      <c r="K26" s="126"/>
      <c r="L26" s="126"/>
      <c r="M26" s="125"/>
      <c r="N26" s="126"/>
    </row>
    <row r="27" spans="1:14" x14ac:dyDescent="0.35">
      <c r="A27" s="126"/>
      <c r="B27" s="127"/>
      <c r="C27" s="126"/>
      <c r="D27" s="126"/>
      <c r="E27" s="128"/>
      <c r="F27" s="128"/>
      <c r="G27" s="128"/>
      <c r="H27" s="128"/>
      <c r="I27" s="128"/>
      <c r="J27" s="129"/>
      <c r="K27" s="126"/>
      <c r="L27" s="126"/>
      <c r="M27" s="125"/>
      <c r="N27" s="126"/>
    </row>
    <row r="28" spans="1:14" x14ac:dyDescent="0.35">
      <c r="A28" s="126"/>
      <c r="B28" s="127"/>
      <c r="C28" s="126"/>
      <c r="D28" s="126"/>
      <c r="E28" s="128"/>
      <c r="F28" s="128"/>
      <c r="G28" s="128"/>
      <c r="H28" s="128"/>
      <c r="I28" s="128"/>
      <c r="J28" s="129"/>
      <c r="K28" s="126"/>
      <c r="L28" s="126"/>
      <c r="M28" s="125"/>
      <c r="N28" s="126"/>
    </row>
    <row r="29" spans="1:14" x14ac:dyDescent="0.35">
      <c r="A29" s="126"/>
      <c r="B29" s="127"/>
      <c r="C29" s="126"/>
      <c r="D29" s="126"/>
      <c r="E29" s="128"/>
      <c r="F29" s="128"/>
      <c r="G29" s="128"/>
      <c r="H29" s="128"/>
      <c r="I29" s="128"/>
      <c r="J29" s="129"/>
      <c r="K29" s="126"/>
      <c r="L29" s="126"/>
      <c r="M29" s="125"/>
      <c r="N29" s="126"/>
    </row>
    <row r="30" spans="1:14" x14ac:dyDescent="0.35">
      <c r="A30" s="126"/>
      <c r="B30" s="127"/>
      <c r="C30" s="126"/>
      <c r="D30" s="126"/>
      <c r="E30" s="128"/>
      <c r="F30" s="128"/>
      <c r="G30" s="128"/>
      <c r="H30" s="128"/>
      <c r="I30" s="128"/>
      <c r="J30" s="129"/>
      <c r="K30" s="126"/>
      <c r="L30" s="126"/>
      <c r="M30" s="125"/>
      <c r="N30" s="126"/>
    </row>
    <row r="31" spans="1:14" x14ac:dyDescent="0.35">
      <c r="A31" s="126"/>
      <c r="B31" s="127"/>
      <c r="C31" s="126"/>
      <c r="D31" s="126"/>
      <c r="E31" s="128"/>
      <c r="F31" s="128"/>
      <c r="G31" s="128"/>
      <c r="H31" s="128"/>
      <c r="I31" s="128"/>
      <c r="J31" s="129"/>
      <c r="K31" s="126"/>
      <c r="L31" s="126"/>
      <c r="M31" s="125"/>
      <c r="N31" s="126"/>
    </row>
    <row r="32" spans="1:14" x14ac:dyDescent="0.35">
      <c r="A32" s="126"/>
      <c r="B32" s="127"/>
      <c r="C32" s="126"/>
      <c r="D32" s="126"/>
      <c r="E32" s="128"/>
      <c r="F32" s="128"/>
      <c r="G32" s="128"/>
      <c r="H32" s="128"/>
      <c r="I32" s="128"/>
      <c r="J32" s="129"/>
      <c r="K32" s="126"/>
      <c r="L32" s="126"/>
      <c r="M32" s="125"/>
      <c r="N32" s="126"/>
    </row>
    <row r="33" spans="1:14" x14ac:dyDescent="0.35">
      <c r="A33" s="126"/>
      <c r="B33" s="127"/>
      <c r="C33" s="126"/>
      <c r="D33" s="126"/>
      <c r="E33" s="128"/>
      <c r="F33" s="128"/>
      <c r="G33" s="128"/>
      <c r="H33" s="128"/>
      <c r="I33" s="128"/>
      <c r="J33" s="129"/>
      <c r="K33" s="126"/>
      <c r="L33" s="126"/>
      <c r="M33" s="125"/>
      <c r="N33" s="126"/>
    </row>
    <row r="34" spans="1:14" x14ac:dyDescent="0.35">
      <c r="A34" s="126"/>
      <c r="B34" s="127"/>
      <c r="C34" s="126"/>
      <c r="D34" s="126"/>
      <c r="E34" s="128"/>
      <c r="F34" s="128"/>
      <c r="G34" s="128"/>
      <c r="H34" s="128"/>
      <c r="I34" s="128"/>
      <c r="J34" s="129"/>
      <c r="K34" s="126"/>
      <c r="L34" s="126"/>
      <c r="M34" s="125"/>
      <c r="N34" s="126"/>
    </row>
    <row r="35" spans="1:14" x14ac:dyDescent="0.35">
      <c r="A35" s="126"/>
      <c r="B35" s="127"/>
      <c r="C35" s="126"/>
      <c r="D35" s="126"/>
      <c r="E35" s="128"/>
      <c r="F35" s="128"/>
      <c r="G35" s="128"/>
      <c r="H35" s="128"/>
      <c r="I35" s="128"/>
      <c r="J35" s="129"/>
      <c r="K35" s="126"/>
      <c r="L35" s="126"/>
      <c r="M35" s="125"/>
      <c r="N35" s="126"/>
    </row>
    <row r="36" spans="1:14" x14ac:dyDescent="0.35">
      <c r="A36" s="126"/>
      <c r="B36" s="127"/>
      <c r="C36" s="126"/>
      <c r="D36" s="126"/>
      <c r="E36" s="128"/>
      <c r="F36" s="128"/>
      <c r="G36" s="128"/>
      <c r="H36" s="128"/>
      <c r="I36" s="128"/>
      <c r="J36" s="129"/>
      <c r="K36" s="126"/>
      <c r="L36" s="126"/>
      <c r="M36" s="125"/>
      <c r="N36" s="126"/>
    </row>
    <row r="37" spans="1:14" x14ac:dyDescent="0.35">
      <c r="A37" s="126"/>
      <c r="B37" s="127"/>
      <c r="C37" s="126"/>
      <c r="D37" s="126"/>
      <c r="E37" s="128"/>
      <c r="F37" s="128"/>
      <c r="G37" s="128"/>
      <c r="H37" s="128"/>
      <c r="I37" s="128"/>
      <c r="J37" s="129"/>
      <c r="K37" s="126"/>
      <c r="L37" s="126"/>
      <c r="M37" s="125"/>
      <c r="N37" s="126"/>
    </row>
    <row r="38" spans="1:14" x14ac:dyDescent="0.35">
      <c r="A38" s="126"/>
      <c r="B38" s="127"/>
      <c r="C38" s="126"/>
      <c r="D38" s="126"/>
      <c r="E38" s="128"/>
      <c r="F38" s="128"/>
      <c r="G38" s="128"/>
      <c r="H38" s="128"/>
      <c r="I38" s="128"/>
      <c r="J38" s="129"/>
      <c r="K38" s="126"/>
      <c r="L38" s="126"/>
      <c r="M38" s="125"/>
      <c r="N38" s="126"/>
    </row>
    <row r="39" spans="1:14" x14ac:dyDescent="0.35">
      <c r="A39" s="126"/>
      <c r="B39" s="127"/>
      <c r="C39" s="126"/>
      <c r="D39" s="126"/>
      <c r="E39" s="128"/>
      <c r="F39" s="128"/>
      <c r="G39" s="128"/>
      <c r="H39" s="128"/>
      <c r="I39" s="128"/>
      <c r="J39" s="129"/>
      <c r="K39" s="126"/>
      <c r="L39" s="126"/>
      <c r="M39" s="125"/>
      <c r="N39" s="126"/>
    </row>
    <row r="40" spans="1:14" x14ac:dyDescent="0.35">
      <c r="A40" s="126"/>
      <c r="B40" s="127"/>
      <c r="C40" s="126"/>
      <c r="D40" s="126"/>
      <c r="E40" s="128"/>
      <c r="F40" s="128"/>
      <c r="G40" s="128"/>
      <c r="H40" s="128"/>
      <c r="I40" s="128"/>
      <c r="J40" s="129"/>
      <c r="K40" s="126"/>
      <c r="L40" s="126"/>
      <c r="M40" s="125"/>
      <c r="N40" s="126"/>
    </row>
    <row r="41" spans="1:14" x14ac:dyDescent="0.35">
      <c r="A41" s="126"/>
      <c r="B41" s="127"/>
      <c r="C41" s="126"/>
      <c r="D41" s="126"/>
      <c r="E41" s="128"/>
      <c r="F41" s="128"/>
      <c r="G41" s="128"/>
      <c r="H41" s="128"/>
      <c r="I41" s="128"/>
      <c r="J41" s="129"/>
      <c r="K41" s="126"/>
      <c r="L41" s="126"/>
      <c r="M41" s="125"/>
      <c r="N41" s="126"/>
    </row>
    <row r="42" spans="1:14" x14ac:dyDescent="0.35">
      <c r="A42" s="126"/>
      <c r="B42" s="127"/>
      <c r="C42" s="126"/>
      <c r="D42" s="126"/>
      <c r="E42" s="128"/>
      <c r="F42" s="128"/>
      <c r="G42" s="128"/>
      <c r="H42" s="128"/>
      <c r="I42" s="128"/>
      <c r="J42" s="129"/>
      <c r="K42" s="126"/>
      <c r="L42" s="126"/>
      <c r="M42" s="125"/>
      <c r="N42" s="126"/>
    </row>
    <row r="43" spans="1:14" x14ac:dyDescent="0.35">
      <c r="A43" s="126"/>
      <c r="B43" s="127"/>
      <c r="C43" s="126"/>
      <c r="D43" s="126"/>
      <c r="E43" s="128"/>
      <c r="F43" s="128"/>
      <c r="G43" s="128"/>
      <c r="H43" s="128"/>
      <c r="I43" s="128"/>
      <c r="J43" s="129"/>
      <c r="K43" s="126"/>
      <c r="L43" s="126"/>
      <c r="M43" s="125"/>
      <c r="N43" s="126"/>
    </row>
    <row r="44" spans="1:14" x14ac:dyDescent="0.35">
      <c r="A44" s="126"/>
      <c r="B44" s="127"/>
      <c r="C44" s="126"/>
      <c r="D44" s="126"/>
      <c r="E44" s="128"/>
      <c r="F44" s="128"/>
      <c r="G44" s="128"/>
      <c r="H44" s="128"/>
      <c r="I44" s="128"/>
      <c r="J44" s="129"/>
      <c r="K44" s="126"/>
      <c r="L44" s="126"/>
      <c r="M44" s="125"/>
      <c r="N44" s="126"/>
    </row>
    <row r="45" spans="1:14" x14ac:dyDescent="0.35">
      <c r="A45" s="126"/>
      <c r="B45" s="127"/>
      <c r="C45" s="126"/>
      <c r="D45" s="126"/>
      <c r="E45" s="128"/>
      <c r="F45" s="128"/>
      <c r="G45" s="128"/>
      <c r="H45" s="128"/>
      <c r="I45" s="128"/>
      <c r="J45" s="129"/>
      <c r="K45" s="126"/>
      <c r="L45" s="126"/>
      <c r="M45" s="125"/>
      <c r="N45" s="126"/>
    </row>
    <row r="46" spans="1:14" x14ac:dyDescent="0.35">
      <c r="A46" s="126"/>
      <c r="B46" s="127"/>
      <c r="C46" s="126"/>
      <c r="D46" s="126"/>
      <c r="E46" s="128"/>
      <c r="F46" s="128"/>
      <c r="G46" s="128"/>
      <c r="H46" s="128"/>
      <c r="I46" s="128"/>
      <c r="J46" s="129"/>
      <c r="K46" s="126"/>
      <c r="L46" s="126"/>
      <c r="M46" s="125"/>
      <c r="N46" s="126"/>
    </row>
    <row r="47" spans="1:14" x14ac:dyDescent="0.35">
      <c r="A47" s="126"/>
      <c r="B47" s="127"/>
      <c r="C47" s="126"/>
      <c r="D47" s="126"/>
      <c r="E47" s="128"/>
      <c r="F47" s="128"/>
      <c r="G47" s="128"/>
      <c r="H47" s="128"/>
      <c r="I47" s="128"/>
      <c r="J47" s="129"/>
      <c r="K47" s="126"/>
      <c r="L47" s="126"/>
      <c r="M47" s="125"/>
      <c r="N47" s="126"/>
    </row>
    <row r="48" spans="1:14" x14ac:dyDescent="0.35">
      <c r="A48" s="126"/>
      <c r="B48" s="127"/>
      <c r="C48" s="126"/>
      <c r="D48" s="126"/>
      <c r="E48" s="128"/>
      <c r="F48" s="128"/>
      <c r="G48" s="128"/>
      <c r="H48" s="128"/>
      <c r="I48" s="128"/>
      <c r="J48" s="129"/>
      <c r="K48" s="126"/>
      <c r="L48" s="126"/>
      <c r="M48" s="125"/>
      <c r="N48" s="126"/>
    </row>
    <row r="49" spans="1:14" x14ac:dyDescent="0.35">
      <c r="A49" s="126"/>
      <c r="B49" s="127"/>
      <c r="C49" s="126"/>
      <c r="D49" s="126"/>
      <c r="E49" s="128"/>
      <c r="F49" s="128"/>
      <c r="G49" s="128"/>
      <c r="H49" s="128"/>
      <c r="I49" s="128"/>
      <c r="J49" s="129"/>
      <c r="K49" s="126"/>
      <c r="L49" s="126"/>
      <c r="M49" s="125"/>
      <c r="N49" s="126"/>
    </row>
    <row r="50" spans="1:14" x14ac:dyDescent="0.35">
      <c r="A50" s="126"/>
      <c r="B50" s="127"/>
      <c r="C50" s="126"/>
      <c r="D50" s="126"/>
      <c r="E50" s="128"/>
      <c r="F50" s="128"/>
      <c r="G50" s="128"/>
      <c r="H50" s="128"/>
      <c r="I50" s="128"/>
      <c r="J50" s="129"/>
      <c r="K50" s="126"/>
      <c r="L50" s="126"/>
      <c r="M50" s="125"/>
      <c r="N50" s="126"/>
    </row>
    <row r="51" spans="1:14" x14ac:dyDescent="0.35">
      <c r="A51" s="126"/>
      <c r="B51" s="127"/>
      <c r="C51" s="126"/>
      <c r="D51" s="126"/>
      <c r="E51" s="128"/>
      <c r="F51" s="128"/>
      <c r="G51" s="128"/>
      <c r="H51" s="128"/>
      <c r="I51" s="128"/>
      <c r="J51" s="129"/>
      <c r="K51" s="126"/>
      <c r="L51" s="126"/>
      <c r="M51" s="125"/>
      <c r="N51" s="126"/>
    </row>
    <row r="52" spans="1:14" x14ac:dyDescent="0.35">
      <c r="A52" s="126"/>
      <c r="B52" s="127"/>
      <c r="C52" s="126"/>
      <c r="D52" s="126"/>
      <c r="E52" s="128"/>
      <c r="F52" s="128"/>
      <c r="G52" s="128"/>
      <c r="H52" s="128"/>
      <c r="I52" s="128"/>
      <c r="J52" s="129"/>
      <c r="K52" s="126"/>
      <c r="L52" s="126"/>
      <c r="M52" s="125"/>
      <c r="N52" s="126"/>
    </row>
    <row r="53" spans="1:14" x14ac:dyDescent="0.35">
      <c r="A53" s="126"/>
      <c r="B53" s="127"/>
      <c r="C53" s="126"/>
      <c r="D53" s="126"/>
      <c r="E53" s="128"/>
      <c r="F53" s="128"/>
      <c r="G53" s="128"/>
      <c r="H53" s="128"/>
      <c r="I53" s="128"/>
      <c r="J53" s="129"/>
      <c r="K53" s="126"/>
      <c r="L53" s="126"/>
      <c r="M53" s="125"/>
      <c r="N53" s="126"/>
    </row>
    <row r="54" spans="1:14" x14ac:dyDescent="0.35">
      <c r="A54" s="126"/>
      <c r="B54" s="127"/>
      <c r="C54" s="126"/>
      <c r="D54" s="126"/>
      <c r="E54" s="128"/>
      <c r="F54" s="128"/>
      <c r="G54" s="128"/>
      <c r="H54" s="128"/>
      <c r="I54" s="128"/>
      <c r="J54" s="129"/>
      <c r="K54" s="126"/>
      <c r="L54" s="126"/>
      <c r="M54" s="125"/>
      <c r="N54" s="126"/>
    </row>
    <row r="55" spans="1:14" x14ac:dyDescent="0.35">
      <c r="A55" s="126"/>
      <c r="B55" s="127"/>
      <c r="C55" s="126"/>
      <c r="D55" s="126"/>
      <c r="E55" s="128"/>
      <c r="F55" s="128"/>
      <c r="G55" s="128"/>
      <c r="H55" s="128"/>
      <c r="I55" s="128"/>
      <c r="J55" s="129"/>
      <c r="K55" s="126"/>
      <c r="L55" s="126"/>
      <c r="M55" s="125"/>
      <c r="N55" s="126"/>
    </row>
    <row r="56" spans="1:14" x14ac:dyDescent="0.35">
      <c r="A56" s="126"/>
      <c r="B56" s="127"/>
      <c r="C56" s="126"/>
      <c r="D56" s="126"/>
      <c r="E56" s="128"/>
      <c r="F56" s="128"/>
      <c r="G56" s="128"/>
      <c r="H56" s="128"/>
      <c r="I56" s="128"/>
      <c r="J56" s="129"/>
      <c r="K56" s="126"/>
      <c r="L56" s="126"/>
      <c r="M56" s="125"/>
      <c r="N56" s="126"/>
    </row>
    <row r="57" spans="1:14" x14ac:dyDescent="0.35">
      <c r="A57" s="126"/>
      <c r="B57" s="127"/>
      <c r="C57" s="126"/>
      <c r="D57" s="126"/>
      <c r="E57" s="128"/>
      <c r="F57" s="128"/>
      <c r="G57" s="128"/>
      <c r="H57" s="128"/>
      <c r="I57" s="128"/>
      <c r="J57" s="129"/>
      <c r="K57" s="126"/>
      <c r="L57" s="126"/>
      <c r="M57" s="125"/>
      <c r="N57" s="126"/>
    </row>
    <row r="58" spans="1:14" x14ac:dyDescent="0.35">
      <c r="A58" s="126"/>
      <c r="B58" s="127"/>
      <c r="C58" s="126"/>
      <c r="D58" s="126"/>
      <c r="E58" s="128"/>
      <c r="F58" s="128"/>
      <c r="G58" s="128"/>
      <c r="H58" s="128"/>
      <c r="I58" s="128"/>
      <c r="J58" s="126"/>
      <c r="K58" s="126"/>
      <c r="L58" s="126"/>
      <c r="M58" s="125"/>
      <c r="N58" s="126"/>
    </row>
    <row r="59" spans="1:14" x14ac:dyDescent="0.35">
      <c r="A59" s="126"/>
      <c r="B59" s="127"/>
      <c r="C59" s="126"/>
      <c r="D59" s="126"/>
      <c r="E59" s="128"/>
      <c r="F59" s="128"/>
      <c r="G59" s="128"/>
      <c r="H59" s="128"/>
      <c r="I59" s="128"/>
      <c r="J59" s="126"/>
      <c r="K59" s="126"/>
      <c r="L59" s="126"/>
      <c r="M59" s="125"/>
      <c r="N59" s="126"/>
    </row>
    <row r="60" spans="1:14" x14ac:dyDescent="0.35">
      <c r="A60" s="126"/>
      <c r="B60" s="127"/>
      <c r="C60" s="126"/>
      <c r="D60" s="126"/>
      <c r="E60" s="128"/>
      <c r="F60" s="128"/>
      <c r="G60" s="128"/>
      <c r="H60" s="128"/>
      <c r="I60" s="128"/>
      <c r="J60" s="126"/>
      <c r="K60" s="126"/>
      <c r="L60" s="126"/>
      <c r="M60" s="125"/>
      <c r="N60" s="126"/>
    </row>
    <row r="61" spans="1:14" x14ac:dyDescent="0.35">
      <c r="A61" s="126"/>
      <c r="B61" s="127"/>
      <c r="C61" s="126"/>
      <c r="D61" s="126"/>
      <c r="E61" s="128"/>
      <c r="F61" s="128"/>
      <c r="G61" s="128"/>
      <c r="H61" s="128"/>
      <c r="I61" s="128"/>
      <c r="J61" s="126"/>
      <c r="K61" s="126"/>
      <c r="L61" s="126"/>
      <c r="M61" s="125"/>
      <c r="N61" s="126"/>
    </row>
    <row r="62" spans="1:14" x14ac:dyDescent="0.35">
      <c r="A62" s="126"/>
      <c r="B62" s="127"/>
      <c r="C62" s="126"/>
      <c r="D62" s="126"/>
      <c r="E62" s="128"/>
      <c r="F62" s="128"/>
      <c r="G62" s="128"/>
      <c r="H62" s="128"/>
      <c r="I62" s="128"/>
      <c r="J62" s="126"/>
      <c r="K62" s="126"/>
      <c r="L62" s="126"/>
      <c r="M62" s="125"/>
      <c r="N62" s="126"/>
    </row>
    <row r="63" spans="1:14" x14ac:dyDescent="0.35">
      <c r="A63" s="126"/>
      <c r="B63" s="127"/>
      <c r="C63" s="126"/>
      <c r="D63" s="126"/>
      <c r="E63" s="128"/>
      <c r="F63" s="128"/>
      <c r="G63" s="128"/>
      <c r="H63" s="128"/>
      <c r="I63" s="128"/>
      <c r="J63" s="126"/>
      <c r="K63" s="126"/>
      <c r="L63" s="126"/>
      <c r="M63" s="125"/>
      <c r="N63" s="126"/>
    </row>
    <row r="64" spans="1:14" x14ac:dyDescent="0.35">
      <c r="A64" s="126"/>
      <c r="B64" s="127"/>
      <c r="C64" s="126"/>
      <c r="D64" s="126"/>
      <c r="E64" s="128"/>
      <c r="F64" s="128"/>
      <c r="G64" s="128"/>
      <c r="H64" s="128"/>
      <c r="I64" s="128"/>
      <c r="J64" s="126"/>
      <c r="K64" s="126"/>
      <c r="L64" s="126"/>
      <c r="M64" s="125"/>
      <c r="N64" s="126"/>
    </row>
    <row r="65" spans="1:14" x14ac:dyDescent="0.35">
      <c r="A65" s="126"/>
      <c r="B65" s="127"/>
      <c r="C65" s="126"/>
      <c r="D65" s="126"/>
      <c r="E65" s="128"/>
      <c r="F65" s="128"/>
      <c r="G65" s="128"/>
      <c r="H65" s="128"/>
      <c r="I65" s="128"/>
      <c r="J65" s="126"/>
      <c r="K65" s="126"/>
      <c r="L65" s="126"/>
      <c r="M65" s="125"/>
      <c r="N65" s="126"/>
    </row>
    <row r="66" spans="1:14" x14ac:dyDescent="0.35">
      <c r="A66" s="126"/>
      <c r="B66" s="127"/>
      <c r="C66" s="126"/>
      <c r="D66" s="126"/>
      <c r="E66" s="128"/>
      <c r="F66" s="128"/>
      <c r="G66" s="128"/>
      <c r="H66" s="128"/>
      <c r="I66" s="128"/>
      <c r="J66" s="126"/>
      <c r="K66" s="126"/>
      <c r="L66" s="126"/>
      <c r="M66" s="125"/>
      <c r="N66" s="126"/>
    </row>
    <row r="67" spans="1:14" x14ac:dyDescent="0.35">
      <c r="A67" s="126"/>
      <c r="B67" s="127"/>
      <c r="C67" s="126"/>
      <c r="D67" s="126"/>
      <c r="E67" s="128"/>
      <c r="F67" s="128"/>
      <c r="G67" s="128"/>
      <c r="H67" s="128"/>
      <c r="I67" s="128"/>
      <c r="J67" s="126"/>
      <c r="K67" s="126"/>
      <c r="L67" s="126"/>
      <c r="M67" s="125"/>
      <c r="N67" s="126"/>
    </row>
    <row r="68" spans="1:14" x14ac:dyDescent="0.35">
      <c r="A68" s="126"/>
      <c r="B68" s="127"/>
      <c r="C68" s="126"/>
      <c r="D68" s="126"/>
      <c r="E68" s="128"/>
      <c r="F68" s="128"/>
      <c r="G68" s="128"/>
      <c r="H68" s="128"/>
      <c r="I68" s="128"/>
      <c r="J68" s="126"/>
      <c r="K68" s="126"/>
      <c r="L68" s="126"/>
      <c r="M68" s="125"/>
      <c r="N68" s="126"/>
    </row>
    <row r="69" spans="1:14" x14ac:dyDescent="0.35">
      <c r="A69" s="126"/>
      <c r="B69" s="127"/>
      <c r="C69" s="126"/>
      <c r="D69" s="126"/>
      <c r="E69" s="128"/>
      <c r="F69" s="128"/>
      <c r="G69" s="128"/>
      <c r="H69" s="128"/>
      <c r="I69" s="128"/>
      <c r="J69" s="126"/>
      <c r="K69" s="126"/>
      <c r="L69" s="126"/>
      <c r="M69" s="125"/>
      <c r="N69" s="126"/>
    </row>
    <row r="70" spans="1:14" x14ac:dyDescent="0.35">
      <c r="A70" s="126"/>
      <c r="B70" s="127"/>
      <c r="C70" s="126"/>
      <c r="D70" s="126"/>
      <c r="E70" s="128"/>
      <c r="F70" s="128"/>
      <c r="G70" s="128"/>
      <c r="H70" s="128"/>
      <c r="I70" s="128"/>
      <c r="J70" s="126"/>
      <c r="K70" s="126"/>
      <c r="L70" s="126"/>
      <c r="M70" s="125"/>
      <c r="N70" s="126"/>
    </row>
    <row r="71" spans="1:14" x14ac:dyDescent="0.35">
      <c r="A71" s="126"/>
      <c r="B71" s="127"/>
      <c r="C71" s="126"/>
      <c r="D71" s="126"/>
      <c r="E71" s="128"/>
      <c r="F71" s="128"/>
      <c r="G71" s="128"/>
      <c r="H71" s="128"/>
      <c r="I71" s="128"/>
      <c r="J71" s="126"/>
      <c r="K71" s="126"/>
      <c r="L71" s="126"/>
      <c r="M71" s="125"/>
      <c r="N71" s="126"/>
    </row>
    <row r="72" spans="1:14" x14ac:dyDescent="0.35">
      <c r="A72" s="126"/>
      <c r="B72" s="127"/>
      <c r="C72" s="126"/>
      <c r="D72" s="126"/>
      <c r="E72" s="128"/>
      <c r="F72" s="128"/>
      <c r="G72" s="128"/>
      <c r="H72" s="128"/>
      <c r="I72" s="128"/>
      <c r="J72" s="126"/>
      <c r="K72" s="126"/>
      <c r="L72" s="126"/>
      <c r="M72" s="125"/>
      <c r="N72" s="126"/>
    </row>
    <row r="73" spans="1:14" x14ac:dyDescent="0.35">
      <c r="A73" s="126"/>
      <c r="B73" s="127"/>
      <c r="C73" s="126"/>
      <c r="D73" s="126"/>
      <c r="E73" s="128"/>
      <c r="F73" s="128"/>
      <c r="G73" s="128"/>
      <c r="H73" s="128"/>
      <c r="I73" s="128"/>
      <c r="J73" s="126"/>
      <c r="K73" s="126"/>
      <c r="L73" s="126"/>
      <c r="M73" s="125"/>
      <c r="N73" s="126"/>
    </row>
    <row r="74" spans="1:14" x14ac:dyDescent="0.35">
      <c r="A74" s="126"/>
      <c r="B74" s="127"/>
      <c r="C74" s="126"/>
      <c r="D74" s="126"/>
      <c r="E74" s="128"/>
      <c r="F74" s="128"/>
      <c r="G74" s="128"/>
      <c r="H74" s="128"/>
      <c r="I74" s="128"/>
      <c r="J74" s="126"/>
      <c r="K74" s="126"/>
      <c r="L74" s="126"/>
      <c r="M74" s="125"/>
      <c r="N74" s="126"/>
    </row>
    <row r="75" spans="1:14" x14ac:dyDescent="0.35">
      <c r="A75" s="126"/>
      <c r="B75" s="127"/>
      <c r="C75" s="126"/>
      <c r="D75" s="126"/>
      <c r="E75" s="128"/>
      <c r="F75" s="128"/>
      <c r="G75" s="128"/>
      <c r="H75" s="128"/>
      <c r="I75" s="128"/>
      <c r="J75" s="126"/>
      <c r="K75" s="126"/>
      <c r="L75" s="126"/>
      <c r="M75" s="125"/>
      <c r="N75" s="126"/>
    </row>
    <row r="76" spans="1:14" x14ac:dyDescent="0.35">
      <c r="A76" s="126"/>
      <c r="B76" s="127"/>
      <c r="C76" s="126"/>
      <c r="D76" s="126"/>
      <c r="E76" s="128"/>
      <c r="F76" s="128"/>
      <c r="G76" s="128"/>
      <c r="H76" s="128"/>
      <c r="I76" s="128"/>
      <c r="J76" s="126"/>
      <c r="K76" s="126"/>
      <c r="L76" s="126"/>
      <c r="M76" s="125"/>
      <c r="N76" s="126"/>
    </row>
    <row r="77" spans="1:14" x14ac:dyDescent="0.35">
      <c r="A77" s="126"/>
      <c r="B77" s="127"/>
      <c r="C77" s="126"/>
      <c r="D77" s="126"/>
      <c r="E77" s="128"/>
      <c r="F77" s="128"/>
      <c r="G77" s="128"/>
      <c r="H77" s="128"/>
      <c r="I77" s="128"/>
      <c r="J77" s="126"/>
      <c r="K77" s="126"/>
      <c r="L77" s="126"/>
      <c r="M77" s="125"/>
      <c r="N77" s="126"/>
    </row>
    <row r="78" spans="1:14" x14ac:dyDescent="0.35">
      <c r="A78" s="126"/>
      <c r="B78" s="127"/>
      <c r="C78" s="126"/>
      <c r="D78" s="126"/>
      <c r="E78" s="128"/>
      <c r="F78" s="128"/>
      <c r="G78" s="128"/>
      <c r="H78" s="128"/>
      <c r="I78" s="128"/>
      <c r="J78" s="126"/>
      <c r="K78" s="126"/>
      <c r="L78" s="126"/>
      <c r="M78" s="125"/>
      <c r="N78" s="126"/>
    </row>
    <row r="79" spans="1:14" x14ac:dyDescent="0.35">
      <c r="A79" s="126"/>
      <c r="B79" s="127"/>
      <c r="C79" s="126"/>
      <c r="D79" s="126"/>
      <c r="E79" s="128"/>
      <c r="F79" s="128"/>
      <c r="G79" s="128"/>
      <c r="H79" s="128"/>
      <c r="I79" s="128"/>
      <c r="J79" s="126"/>
      <c r="K79" s="126"/>
      <c r="L79" s="126"/>
      <c r="M79" s="125"/>
      <c r="N79" s="126"/>
    </row>
    <row r="80" spans="1:14" x14ac:dyDescent="0.35">
      <c r="A80" s="126"/>
      <c r="B80" s="127"/>
      <c r="C80" s="126"/>
      <c r="D80" s="126"/>
      <c r="E80" s="128"/>
      <c r="F80" s="128"/>
      <c r="G80" s="128"/>
      <c r="H80" s="128"/>
      <c r="I80" s="128"/>
      <c r="J80" s="126"/>
      <c r="K80" s="126"/>
      <c r="L80" s="126"/>
      <c r="M80" s="125"/>
      <c r="N80" s="126"/>
    </row>
    <row r="81" spans="1:14" x14ac:dyDescent="0.35">
      <c r="A81" s="126"/>
      <c r="B81" s="127"/>
      <c r="C81" s="126"/>
      <c r="D81" s="126"/>
      <c r="E81" s="128"/>
      <c r="F81" s="128"/>
      <c r="G81" s="128"/>
      <c r="H81" s="128"/>
      <c r="I81" s="128"/>
      <c r="J81" s="126"/>
      <c r="K81" s="126"/>
      <c r="L81" s="126"/>
      <c r="M81" s="125"/>
      <c r="N81" s="126"/>
    </row>
    <row r="82" spans="1:14" x14ac:dyDescent="0.35">
      <c r="A82" s="126"/>
      <c r="B82" s="127"/>
      <c r="C82" s="126"/>
      <c r="D82" s="126"/>
      <c r="E82" s="128"/>
      <c r="F82" s="128"/>
      <c r="G82" s="128"/>
      <c r="H82" s="128"/>
      <c r="I82" s="128"/>
      <c r="J82" s="126"/>
      <c r="K82" s="126"/>
      <c r="L82" s="126"/>
      <c r="M82" s="125"/>
      <c r="N82" s="126"/>
    </row>
    <row r="83" spans="1:14" x14ac:dyDescent="0.35">
      <c r="A83" s="126"/>
      <c r="B83" s="127"/>
      <c r="C83" s="126"/>
      <c r="D83" s="126"/>
      <c r="E83" s="128"/>
      <c r="F83" s="128"/>
      <c r="G83" s="128"/>
      <c r="H83" s="128"/>
      <c r="I83" s="128"/>
      <c r="J83" s="126"/>
      <c r="K83" s="126"/>
      <c r="L83" s="126"/>
      <c r="M83" s="125"/>
      <c r="N83" s="126"/>
    </row>
    <row r="84" spans="1:14" x14ac:dyDescent="0.35">
      <c r="A84" s="126"/>
      <c r="B84" s="127"/>
      <c r="C84" s="126"/>
      <c r="D84" s="126"/>
      <c r="E84" s="128"/>
      <c r="F84" s="128"/>
      <c r="G84" s="128"/>
      <c r="H84" s="128"/>
      <c r="I84" s="128"/>
      <c r="J84" s="126"/>
      <c r="K84" s="126"/>
      <c r="L84" s="126"/>
      <c r="M84" s="125"/>
      <c r="N84" s="126"/>
    </row>
    <row r="85" spans="1:14" x14ac:dyDescent="0.35">
      <c r="A85" s="126"/>
      <c r="B85" s="127"/>
      <c r="C85" s="126"/>
      <c r="D85" s="126"/>
      <c r="E85" s="128"/>
      <c r="F85" s="128"/>
      <c r="G85" s="128"/>
      <c r="H85" s="128"/>
      <c r="I85" s="128"/>
      <c r="J85" s="126"/>
      <c r="K85" s="126"/>
      <c r="L85" s="126"/>
      <c r="M85" s="125"/>
      <c r="N85" s="126"/>
    </row>
    <row r="86" spans="1:14" x14ac:dyDescent="0.35">
      <c r="A86" s="126"/>
      <c r="B86" s="127"/>
      <c r="C86" s="126"/>
      <c r="D86" s="126"/>
      <c r="E86" s="128"/>
      <c r="F86" s="128"/>
      <c r="G86" s="128"/>
      <c r="H86" s="128"/>
      <c r="I86" s="128"/>
      <c r="J86" s="126"/>
      <c r="K86" s="126"/>
      <c r="L86" s="126"/>
      <c r="M86" s="125"/>
      <c r="N86" s="126"/>
    </row>
    <row r="87" spans="1:14" x14ac:dyDescent="0.35">
      <c r="A87" s="126"/>
      <c r="B87" s="127"/>
      <c r="C87" s="126"/>
      <c r="D87" s="126"/>
      <c r="E87" s="128"/>
      <c r="F87" s="128"/>
      <c r="G87" s="128"/>
      <c r="H87" s="128"/>
      <c r="I87" s="128"/>
      <c r="J87" s="126"/>
      <c r="K87" s="126"/>
      <c r="L87" s="126"/>
      <c r="M87" s="125"/>
      <c r="N87" s="126"/>
    </row>
    <row r="88" spans="1:14" x14ac:dyDescent="0.35">
      <c r="A88" s="126"/>
      <c r="B88" s="127"/>
      <c r="C88" s="126"/>
      <c r="D88" s="126"/>
      <c r="E88" s="128"/>
      <c r="F88" s="128"/>
      <c r="G88" s="128"/>
      <c r="H88" s="128"/>
      <c r="I88" s="128"/>
      <c r="J88" s="126"/>
      <c r="K88" s="126"/>
      <c r="L88" s="126"/>
      <c r="M88" s="125"/>
      <c r="N88" s="126"/>
    </row>
    <row r="89" spans="1:14" x14ac:dyDescent="0.35">
      <c r="A89" s="126"/>
      <c r="B89" s="127"/>
      <c r="C89" s="126"/>
      <c r="D89" s="126"/>
      <c r="E89" s="128"/>
      <c r="F89" s="128"/>
      <c r="G89" s="128"/>
      <c r="H89" s="128"/>
      <c r="I89" s="128"/>
      <c r="J89" s="126"/>
      <c r="K89" s="126"/>
      <c r="L89" s="126"/>
      <c r="M89" s="125"/>
      <c r="N89" s="126"/>
    </row>
    <row r="90" spans="1:14" x14ac:dyDescent="0.35">
      <c r="A90" s="126"/>
      <c r="B90" s="127"/>
      <c r="C90" s="126"/>
      <c r="D90" s="126"/>
      <c r="E90" s="128"/>
      <c r="F90" s="128"/>
      <c r="G90" s="128"/>
      <c r="H90" s="128"/>
      <c r="I90" s="128"/>
      <c r="J90" s="126"/>
      <c r="K90" s="126"/>
      <c r="L90" s="126"/>
      <c r="M90" s="125"/>
      <c r="N90" s="126"/>
    </row>
    <row r="91" spans="1:14" x14ac:dyDescent="0.35">
      <c r="A91" s="126"/>
      <c r="B91" s="127"/>
      <c r="C91" s="126"/>
      <c r="D91" s="126"/>
      <c r="E91" s="128"/>
      <c r="F91" s="128"/>
      <c r="G91" s="128"/>
      <c r="H91" s="128"/>
      <c r="I91" s="128"/>
      <c r="J91" s="126"/>
      <c r="K91" s="126"/>
      <c r="L91" s="126"/>
      <c r="M91" s="125"/>
      <c r="N91" s="126"/>
    </row>
    <row r="92" spans="1:14" x14ac:dyDescent="0.35">
      <c r="A92" s="126"/>
      <c r="B92" s="127"/>
      <c r="C92" s="126"/>
      <c r="D92" s="126"/>
      <c r="E92" s="128"/>
      <c r="F92" s="128"/>
      <c r="G92" s="128"/>
      <c r="H92" s="128"/>
      <c r="I92" s="128"/>
      <c r="J92" s="126"/>
      <c r="K92" s="126"/>
      <c r="L92" s="126"/>
      <c r="M92" s="125"/>
      <c r="N92" s="126"/>
    </row>
    <row r="93" spans="1:14" x14ac:dyDescent="0.35">
      <c r="A93" s="126"/>
      <c r="B93" s="127"/>
      <c r="C93" s="126"/>
      <c r="D93" s="126"/>
      <c r="E93" s="128"/>
      <c r="F93" s="128"/>
      <c r="G93" s="128"/>
      <c r="H93" s="128"/>
      <c r="I93" s="128"/>
      <c r="J93" s="126"/>
      <c r="K93" s="126"/>
      <c r="L93" s="126"/>
      <c r="M93" s="125"/>
      <c r="N93" s="126"/>
    </row>
    <row r="94" spans="1:14" x14ac:dyDescent="0.35">
      <c r="A94" s="126"/>
      <c r="B94" s="127"/>
      <c r="C94" s="126"/>
      <c r="D94" s="126"/>
      <c r="E94" s="128"/>
      <c r="F94" s="128"/>
      <c r="G94" s="128"/>
      <c r="H94" s="128"/>
      <c r="I94" s="128"/>
      <c r="J94" s="126"/>
      <c r="K94" s="126"/>
      <c r="L94" s="126"/>
      <c r="M94" s="125"/>
      <c r="N94" s="126"/>
    </row>
    <row r="95" spans="1:14" x14ac:dyDescent="0.35">
      <c r="A95" s="126"/>
      <c r="B95" s="127"/>
      <c r="C95" s="126"/>
      <c r="D95" s="126"/>
      <c r="E95" s="128"/>
      <c r="F95" s="128"/>
      <c r="G95" s="128"/>
      <c r="H95" s="128"/>
      <c r="I95" s="128"/>
      <c r="J95" s="126"/>
      <c r="K95" s="126"/>
      <c r="L95" s="126"/>
      <c r="M95" s="125"/>
      <c r="N95" s="126"/>
    </row>
    <row r="96" spans="1:14" x14ac:dyDescent="0.35">
      <c r="A96" s="126"/>
      <c r="B96" s="127"/>
      <c r="C96" s="126"/>
      <c r="D96" s="126"/>
      <c r="E96" s="128"/>
      <c r="F96" s="128"/>
      <c r="G96" s="128"/>
      <c r="H96" s="128"/>
      <c r="I96" s="128"/>
      <c r="J96" s="126"/>
      <c r="K96" s="126"/>
      <c r="L96" s="126"/>
      <c r="M96" s="125"/>
      <c r="N96" s="126"/>
    </row>
    <row r="97" spans="1:14" x14ac:dyDescent="0.35">
      <c r="A97" s="126"/>
      <c r="B97" s="127"/>
      <c r="C97" s="126"/>
      <c r="D97" s="126"/>
      <c r="E97" s="128"/>
      <c r="F97" s="128"/>
      <c r="G97" s="128"/>
      <c r="H97" s="128"/>
      <c r="I97" s="128"/>
      <c r="J97" s="126"/>
      <c r="K97" s="126"/>
      <c r="L97" s="126"/>
      <c r="M97" s="125"/>
      <c r="N97" s="126"/>
    </row>
    <row r="98" spans="1:14" x14ac:dyDescent="0.35">
      <c r="A98" s="126"/>
      <c r="B98" s="127"/>
      <c r="C98" s="126"/>
      <c r="D98" s="126"/>
      <c r="E98" s="128"/>
      <c r="F98" s="128"/>
      <c r="G98" s="128"/>
      <c r="H98" s="128"/>
      <c r="I98" s="128"/>
      <c r="J98" s="126"/>
      <c r="K98" s="126"/>
      <c r="L98" s="126"/>
      <c r="M98" s="125"/>
      <c r="N98" s="126"/>
    </row>
    <row r="99" spans="1:14" x14ac:dyDescent="0.35">
      <c r="A99" s="126"/>
      <c r="B99" s="127"/>
      <c r="C99" s="126"/>
      <c r="D99" s="126"/>
      <c r="E99" s="128"/>
      <c r="F99" s="128"/>
      <c r="G99" s="128"/>
      <c r="H99" s="128"/>
      <c r="I99" s="128"/>
      <c r="J99" s="126"/>
      <c r="K99" s="126"/>
      <c r="L99" s="126"/>
      <c r="M99" s="125"/>
      <c r="N99" s="126"/>
    </row>
    <row r="100" spans="1:14" x14ac:dyDescent="0.35">
      <c r="A100" s="126"/>
      <c r="B100" s="127"/>
      <c r="C100" s="126"/>
      <c r="D100" s="126"/>
      <c r="E100" s="128"/>
      <c r="F100" s="128"/>
      <c r="G100" s="128"/>
      <c r="H100" s="128"/>
      <c r="I100" s="128"/>
      <c r="J100" s="126"/>
      <c r="K100" s="126"/>
      <c r="L100" s="126"/>
      <c r="M100" s="125"/>
      <c r="N100" s="126"/>
    </row>
    <row r="101" spans="1:14" x14ac:dyDescent="0.35">
      <c r="A101" s="126"/>
      <c r="B101" s="127"/>
      <c r="C101" s="126"/>
      <c r="D101" s="126"/>
      <c r="E101" s="128"/>
      <c r="F101" s="128"/>
      <c r="G101" s="128"/>
      <c r="H101" s="128"/>
      <c r="I101" s="128"/>
      <c r="J101" s="126"/>
      <c r="K101" s="126"/>
      <c r="L101" s="126"/>
      <c r="M101" s="125"/>
      <c r="N101" s="126"/>
    </row>
    <row r="102" spans="1:14" x14ac:dyDescent="0.35">
      <c r="A102" s="126"/>
      <c r="B102" s="127"/>
      <c r="C102" s="126"/>
      <c r="D102" s="126"/>
      <c r="E102" s="128"/>
      <c r="F102" s="128"/>
      <c r="G102" s="128"/>
      <c r="H102" s="128"/>
      <c r="I102" s="128"/>
      <c r="J102" s="126"/>
      <c r="K102" s="126"/>
      <c r="L102" s="126"/>
      <c r="M102" s="125"/>
      <c r="N102" s="126"/>
    </row>
    <row r="103" spans="1:14" x14ac:dyDescent="0.35">
      <c r="A103" s="126"/>
      <c r="B103" s="127"/>
      <c r="C103" s="126"/>
      <c r="D103" s="126"/>
      <c r="E103" s="128"/>
      <c r="F103" s="128"/>
      <c r="G103" s="128"/>
      <c r="H103" s="128"/>
      <c r="I103" s="128"/>
      <c r="J103" s="126"/>
      <c r="K103" s="126"/>
      <c r="L103" s="126"/>
      <c r="M103" s="125"/>
      <c r="N103" s="126"/>
    </row>
    <row r="104" spans="1:14" x14ac:dyDescent="0.35">
      <c r="A104" s="126"/>
      <c r="B104" s="127"/>
      <c r="C104" s="126"/>
      <c r="D104" s="126"/>
      <c r="E104" s="128"/>
      <c r="F104" s="128"/>
      <c r="G104" s="128"/>
      <c r="H104" s="128"/>
      <c r="I104" s="128"/>
      <c r="J104" s="126"/>
      <c r="K104" s="126"/>
      <c r="L104" s="126"/>
      <c r="M104" s="125"/>
      <c r="N104" s="126"/>
    </row>
    <row r="105" spans="1:14" x14ac:dyDescent="0.35">
      <c r="A105" s="126"/>
      <c r="B105" s="127"/>
      <c r="C105" s="126"/>
      <c r="D105" s="126"/>
      <c r="E105" s="128"/>
      <c r="F105" s="128"/>
      <c r="G105" s="128"/>
      <c r="H105" s="128"/>
      <c r="I105" s="128"/>
      <c r="J105" s="126"/>
      <c r="K105" s="126"/>
      <c r="L105" s="126"/>
      <c r="M105" s="125"/>
      <c r="N105" s="126"/>
    </row>
    <row r="106" spans="1:14" x14ac:dyDescent="0.35">
      <c r="A106" s="126"/>
      <c r="B106" s="127"/>
      <c r="C106" s="126"/>
      <c r="D106" s="126"/>
      <c r="E106" s="128"/>
      <c r="F106" s="128"/>
      <c r="G106" s="128"/>
      <c r="H106" s="128"/>
      <c r="I106" s="128"/>
      <c r="J106" s="126"/>
      <c r="K106" s="126"/>
      <c r="L106" s="126"/>
      <c r="M106" s="125"/>
      <c r="N106" s="126"/>
    </row>
    <row r="107" spans="1:14" x14ac:dyDescent="0.35">
      <c r="A107" s="126"/>
      <c r="B107" s="127"/>
      <c r="C107" s="126"/>
      <c r="D107" s="126"/>
      <c r="E107" s="128"/>
      <c r="F107" s="128"/>
      <c r="G107" s="128"/>
      <c r="H107" s="128"/>
      <c r="I107" s="128"/>
      <c r="J107" s="126"/>
      <c r="K107" s="126"/>
      <c r="L107" s="126"/>
      <c r="M107" s="125"/>
      <c r="N107" s="126"/>
    </row>
    <row r="108" spans="1:14" x14ac:dyDescent="0.35">
      <c r="A108" s="126"/>
      <c r="B108" s="127"/>
      <c r="C108" s="126"/>
      <c r="D108" s="126"/>
      <c r="E108" s="128"/>
      <c r="F108" s="128"/>
      <c r="G108" s="128"/>
      <c r="H108" s="128"/>
      <c r="I108" s="128"/>
      <c r="J108" s="126"/>
      <c r="K108" s="126"/>
      <c r="L108" s="126"/>
      <c r="M108" s="125"/>
      <c r="N108" s="126"/>
    </row>
    <row r="109" spans="1:14" x14ac:dyDescent="0.35">
      <c r="A109" s="126"/>
      <c r="B109" s="127"/>
      <c r="C109" s="126"/>
      <c r="D109" s="126"/>
      <c r="E109" s="128"/>
      <c r="F109" s="128"/>
      <c r="G109" s="128"/>
      <c r="H109" s="128"/>
      <c r="I109" s="128"/>
      <c r="J109" s="126"/>
      <c r="K109" s="126"/>
      <c r="L109" s="126"/>
      <c r="M109" s="125"/>
      <c r="N109" s="126"/>
    </row>
    <row r="110" spans="1:14" x14ac:dyDescent="0.35">
      <c r="A110" s="126"/>
      <c r="B110" s="127"/>
      <c r="C110" s="126"/>
      <c r="D110" s="126"/>
      <c r="E110" s="128"/>
      <c r="F110" s="128"/>
      <c r="G110" s="128"/>
      <c r="H110" s="128"/>
      <c r="I110" s="128"/>
      <c r="J110" s="126"/>
      <c r="K110" s="126"/>
      <c r="L110" s="126"/>
      <c r="M110" s="125"/>
      <c r="N110" s="126"/>
    </row>
    <row r="111" spans="1:14" x14ac:dyDescent="0.35">
      <c r="A111" s="126"/>
      <c r="B111" s="127"/>
      <c r="C111" s="126"/>
      <c r="D111" s="126"/>
      <c r="E111" s="128"/>
      <c r="F111" s="128"/>
      <c r="G111" s="128"/>
      <c r="H111" s="128"/>
      <c r="I111" s="128"/>
      <c r="J111" s="126"/>
      <c r="K111" s="126"/>
      <c r="L111" s="126"/>
      <c r="M111" s="125"/>
      <c r="N111" s="126"/>
    </row>
    <row r="112" spans="1:14" x14ac:dyDescent="0.35">
      <c r="A112" s="126"/>
      <c r="B112" s="127"/>
      <c r="C112" s="126"/>
      <c r="D112" s="126"/>
      <c r="E112" s="128"/>
      <c r="F112" s="128"/>
      <c r="G112" s="128"/>
      <c r="H112" s="128"/>
      <c r="I112" s="128"/>
      <c r="J112" s="126"/>
      <c r="K112" s="126"/>
      <c r="L112" s="126"/>
      <c r="M112" s="125"/>
      <c r="N112" s="126"/>
    </row>
    <row r="113" spans="1:14" x14ac:dyDescent="0.35">
      <c r="A113" s="126"/>
      <c r="B113" s="127"/>
      <c r="C113" s="126"/>
      <c r="D113" s="126"/>
      <c r="E113" s="128"/>
      <c r="F113" s="128"/>
      <c r="G113" s="128"/>
      <c r="H113" s="128"/>
      <c r="I113" s="128"/>
      <c r="J113" s="126"/>
      <c r="K113" s="126"/>
      <c r="L113" s="126"/>
      <c r="M113" s="125"/>
      <c r="N113" s="126"/>
    </row>
    <row r="114" spans="1:14" x14ac:dyDescent="0.35">
      <c r="A114" s="126"/>
      <c r="B114" s="127"/>
      <c r="C114" s="126"/>
      <c r="D114" s="126"/>
      <c r="E114" s="128"/>
      <c r="F114" s="128"/>
      <c r="G114" s="128"/>
      <c r="H114" s="128"/>
      <c r="I114" s="128"/>
      <c r="J114" s="126"/>
      <c r="K114" s="126"/>
      <c r="L114" s="126"/>
      <c r="M114" s="125"/>
      <c r="N114" s="126"/>
    </row>
    <row r="115" spans="1:14" x14ac:dyDescent="0.35">
      <c r="A115" s="126"/>
      <c r="B115" s="127"/>
      <c r="C115" s="126"/>
      <c r="D115" s="126"/>
      <c r="E115" s="128"/>
      <c r="F115" s="128"/>
      <c r="G115" s="128"/>
      <c r="H115" s="128"/>
      <c r="I115" s="128"/>
      <c r="J115" s="126"/>
      <c r="K115" s="126"/>
      <c r="L115" s="126"/>
      <c r="M115" s="125"/>
      <c r="N115" s="126"/>
    </row>
    <row r="116" spans="1:14" x14ac:dyDescent="0.35">
      <c r="A116" s="126"/>
      <c r="B116" s="127"/>
      <c r="C116" s="126"/>
      <c r="D116" s="126"/>
      <c r="E116" s="128"/>
      <c r="F116" s="128"/>
      <c r="G116" s="128"/>
      <c r="H116" s="128"/>
      <c r="I116" s="128"/>
      <c r="J116" s="126"/>
      <c r="K116" s="126"/>
      <c r="L116" s="126"/>
      <c r="M116" s="125"/>
      <c r="N116" s="126"/>
    </row>
    <row r="117" spans="1:14" x14ac:dyDescent="0.35">
      <c r="A117" s="126"/>
      <c r="B117" s="127"/>
      <c r="C117" s="126"/>
      <c r="D117" s="126"/>
      <c r="E117" s="128"/>
      <c r="F117" s="128"/>
      <c r="G117" s="128"/>
      <c r="H117" s="128"/>
      <c r="I117" s="128"/>
      <c r="J117" s="126"/>
      <c r="K117" s="126"/>
      <c r="L117" s="126"/>
      <c r="M117" s="125"/>
      <c r="N117" s="126"/>
    </row>
    <row r="118" spans="1:14" x14ac:dyDescent="0.35">
      <c r="A118" s="126"/>
      <c r="B118" s="127"/>
      <c r="C118" s="126"/>
      <c r="D118" s="126"/>
      <c r="E118" s="128"/>
      <c r="F118" s="128"/>
      <c r="G118" s="128"/>
      <c r="H118" s="128"/>
      <c r="I118" s="128"/>
      <c r="J118" s="126"/>
      <c r="K118" s="126"/>
      <c r="L118" s="126"/>
      <c r="M118" s="125"/>
      <c r="N118" s="126"/>
    </row>
    <row r="119" spans="1:14" x14ac:dyDescent="0.35">
      <c r="A119" s="126"/>
      <c r="B119" s="127"/>
      <c r="C119" s="126"/>
      <c r="D119" s="126"/>
      <c r="E119" s="128"/>
      <c r="F119" s="128"/>
      <c r="G119" s="128"/>
      <c r="H119" s="128"/>
      <c r="I119" s="128"/>
      <c r="J119" s="126"/>
      <c r="K119" s="126"/>
      <c r="L119" s="126"/>
      <c r="M119" s="125"/>
      <c r="N119" s="126"/>
    </row>
    <row r="120" spans="1:14" x14ac:dyDescent="0.35">
      <c r="A120" s="126"/>
      <c r="B120" s="127"/>
      <c r="C120" s="126"/>
      <c r="D120" s="126"/>
      <c r="E120" s="128"/>
      <c r="F120" s="128"/>
      <c r="G120" s="128"/>
      <c r="H120" s="128"/>
      <c r="I120" s="128"/>
      <c r="J120" s="126"/>
      <c r="K120" s="126"/>
      <c r="L120" s="126"/>
      <c r="M120" s="125"/>
      <c r="N120" s="126"/>
    </row>
    <row r="121" spans="1:14" x14ac:dyDescent="0.35">
      <c r="A121" s="126"/>
      <c r="B121" s="127"/>
      <c r="C121" s="126"/>
      <c r="D121" s="126"/>
      <c r="E121" s="128"/>
      <c r="F121" s="128"/>
      <c r="G121" s="128"/>
      <c r="H121" s="128"/>
      <c r="I121" s="128"/>
      <c r="J121" s="126"/>
      <c r="K121" s="126"/>
      <c r="L121" s="126"/>
      <c r="M121" s="125"/>
      <c r="N121" s="126"/>
    </row>
    <row r="122" spans="1:14" x14ac:dyDescent="0.35">
      <c r="A122" s="126"/>
      <c r="B122" s="127"/>
      <c r="C122" s="126"/>
      <c r="D122" s="126"/>
      <c r="E122" s="128"/>
      <c r="F122" s="128"/>
      <c r="G122" s="128"/>
      <c r="H122" s="128"/>
      <c r="I122" s="128"/>
      <c r="J122" s="126"/>
      <c r="K122" s="126"/>
      <c r="L122" s="126"/>
      <c r="M122" s="125"/>
      <c r="N122" s="126"/>
    </row>
    <row r="123" spans="1:14" x14ac:dyDescent="0.35">
      <c r="A123" s="126"/>
      <c r="B123" s="127"/>
      <c r="C123" s="126"/>
      <c r="D123" s="126"/>
      <c r="E123" s="128"/>
      <c r="F123" s="128"/>
      <c r="G123" s="128"/>
      <c r="H123" s="128"/>
      <c r="I123" s="128"/>
      <c r="J123" s="126"/>
      <c r="K123" s="126"/>
      <c r="L123" s="126"/>
      <c r="M123" s="125"/>
      <c r="N123" s="126"/>
    </row>
    <row r="124" spans="1:14" x14ac:dyDescent="0.35">
      <c r="A124" s="126"/>
      <c r="B124" s="127"/>
      <c r="C124" s="126"/>
      <c r="D124" s="126"/>
      <c r="E124" s="128"/>
      <c r="F124" s="128"/>
      <c r="G124" s="128"/>
      <c r="H124" s="128"/>
      <c r="I124" s="128"/>
      <c r="J124" s="126"/>
      <c r="K124" s="126"/>
      <c r="L124" s="126"/>
      <c r="M124" s="125"/>
      <c r="N124" s="126"/>
    </row>
    <row r="125" spans="1:14" x14ac:dyDescent="0.35">
      <c r="A125" s="126"/>
      <c r="B125" s="127"/>
      <c r="C125" s="126"/>
      <c r="D125" s="126"/>
      <c r="E125" s="128"/>
      <c r="F125" s="128"/>
      <c r="G125" s="128"/>
      <c r="H125" s="128"/>
      <c r="I125" s="128"/>
      <c r="J125" s="126"/>
      <c r="K125" s="126"/>
      <c r="L125" s="126"/>
      <c r="M125" s="125"/>
      <c r="N125" s="126"/>
    </row>
    <row r="126" spans="1:14" x14ac:dyDescent="0.35">
      <c r="A126" s="126"/>
      <c r="B126" s="127"/>
      <c r="C126" s="126"/>
      <c r="D126" s="126"/>
      <c r="E126" s="128"/>
      <c r="F126" s="128"/>
      <c r="G126" s="128"/>
      <c r="H126" s="128"/>
      <c r="I126" s="128"/>
      <c r="J126" s="126"/>
      <c r="K126" s="126"/>
      <c r="L126" s="126"/>
      <c r="M126" s="125"/>
      <c r="N126" s="126"/>
    </row>
    <row r="127" spans="1:14" x14ac:dyDescent="0.35">
      <c r="A127" s="126"/>
      <c r="B127" s="127"/>
      <c r="C127" s="126"/>
      <c r="D127" s="126"/>
      <c r="E127" s="128"/>
      <c r="F127" s="128"/>
      <c r="G127" s="128"/>
      <c r="H127" s="128"/>
      <c r="I127" s="128"/>
      <c r="J127" s="126"/>
      <c r="K127" s="126"/>
      <c r="L127" s="126"/>
      <c r="M127" s="125"/>
      <c r="N127" s="126"/>
    </row>
    <row r="128" spans="1:14" x14ac:dyDescent="0.35">
      <c r="A128" s="126"/>
      <c r="B128" s="127"/>
      <c r="C128" s="126"/>
      <c r="D128" s="126"/>
      <c r="E128" s="128"/>
      <c r="F128" s="128"/>
      <c r="G128" s="128"/>
      <c r="H128" s="128"/>
      <c r="I128" s="128"/>
      <c r="J128" s="126"/>
      <c r="K128" s="126"/>
      <c r="L128" s="126"/>
      <c r="M128" s="125"/>
      <c r="N128" s="126"/>
    </row>
    <row r="129" spans="1:14" x14ac:dyDescent="0.35">
      <c r="A129" s="126"/>
      <c r="B129" s="127"/>
      <c r="C129" s="126"/>
      <c r="D129" s="126"/>
      <c r="E129" s="128"/>
      <c r="F129" s="128"/>
      <c r="G129" s="128"/>
      <c r="H129" s="128"/>
      <c r="I129" s="128"/>
      <c r="J129" s="126"/>
      <c r="K129" s="126"/>
      <c r="L129" s="126"/>
      <c r="M129" s="125"/>
      <c r="N129" s="126"/>
    </row>
    <row r="130" spans="1:14" x14ac:dyDescent="0.35">
      <c r="A130" s="126"/>
      <c r="B130" s="127"/>
      <c r="C130" s="126"/>
      <c r="D130" s="126"/>
      <c r="E130" s="128"/>
      <c r="F130" s="128"/>
      <c r="G130" s="128"/>
      <c r="H130" s="128"/>
      <c r="I130" s="128"/>
      <c r="J130" s="126"/>
      <c r="K130" s="126"/>
      <c r="L130" s="126"/>
      <c r="M130" s="125"/>
      <c r="N130" s="126"/>
    </row>
    <row r="131" spans="1:14" x14ac:dyDescent="0.35">
      <c r="A131" s="126"/>
      <c r="B131" s="127"/>
      <c r="C131" s="126"/>
      <c r="D131" s="126"/>
      <c r="E131" s="128"/>
      <c r="F131" s="128"/>
      <c r="G131" s="128"/>
      <c r="H131" s="128"/>
      <c r="I131" s="128"/>
      <c r="J131" s="126"/>
      <c r="K131" s="126"/>
      <c r="L131" s="126"/>
      <c r="M131" s="125"/>
      <c r="N131" s="126"/>
    </row>
    <row r="132" spans="1:14" x14ac:dyDescent="0.35">
      <c r="A132" s="126"/>
      <c r="B132" s="127"/>
      <c r="C132" s="126"/>
      <c r="D132" s="126"/>
      <c r="E132" s="128"/>
      <c r="F132" s="128"/>
      <c r="G132" s="128"/>
      <c r="H132" s="128"/>
      <c r="I132" s="128"/>
      <c r="J132" s="126"/>
      <c r="K132" s="126"/>
      <c r="L132" s="126"/>
      <c r="M132" s="125"/>
      <c r="N132" s="126"/>
    </row>
    <row r="133" spans="1:14" x14ac:dyDescent="0.35">
      <c r="A133" s="126"/>
      <c r="B133" s="127"/>
      <c r="C133" s="126"/>
      <c r="D133" s="126"/>
      <c r="E133" s="128"/>
      <c r="F133" s="128"/>
      <c r="G133" s="128"/>
      <c r="H133" s="128"/>
      <c r="I133" s="128"/>
      <c r="J133" s="126"/>
      <c r="K133" s="126"/>
      <c r="L133" s="126"/>
      <c r="M133" s="125"/>
      <c r="N133" s="126"/>
    </row>
    <row r="134" spans="1:14" x14ac:dyDescent="0.35">
      <c r="A134" s="126"/>
      <c r="B134" s="127"/>
      <c r="C134" s="126"/>
      <c r="D134" s="126"/>
      <c r="E134" s="128"/>
      <c r="F134" s="128"/>
      <c r="G134" s="128"/>
      <c r="H134" s="128"/>
      <c r="I134" s="128"/>
      <c r="J134" s="126"/>
      <c r="K134" s="126"/>
      <c r="L134" s="126"/>
      <c r="M134" s="125"/>
      <c r="N134" s="126"/>
    </row>
    <row r="135" spans="1:14" x14ac:dyDescent="0.35">
      <c r="A135" s="126"/>
      <c r="B135" s="127"/>
      <c r="C135" s="126"/>
      <c r="D135" s="126"/>
      <c r="E135" s="128"/>
      <c r="F135" s="128"/>
      <c r="G135" s="128"/>
      <c r="H135" s="128"/>
      <c r="I135" s="128"/>
      <c r="J135" s="126"/>
      <c r="K135" s="126"/>
      <c r="L135" s="126"/>
      <c r="M135" s="125"/>
      <c r="N135" s="126"/>
    </row>
    <row r="136" spans="1:14" x14ac:dyDescent="0.35">
      <c r="A136" s="126"/>
      <c r="B136" s="127"/>
      <c r="C136" s="126"/>
      <c r="D136" s="126"/>
      <c r="E136" s="128"/>
      <c r="F136" s="128"/>
      <c r="G136" s="128"/>
      <c r="H136" s="128"/>
      <c r="I136" s="128"/>
      <c r="J136" s="126"/>
      <c r="K136" s="126"/>
      <c r="L136" s="126"/>
      <c r="M136" s="125"/>
      <c r="N136" s="126"/>
    </row>
    <row r="137" spans="1:14" x14ac:dyDescent="0.35">
      <c r="A137" s="126"/>
      <c r="B137" s="127"/>
      <c r="C137" s="126"/>
      <c r="D137" s="126"/>
      <c r="E137" s="128"/>
      <c r="F137" s="128"/>
      <c r="G137" s="128"/>
      <c r="H137" s="128"/>
      <c r="I137" s="128"/>
      <c r="J137" s="126"/>
      <c r="K137" s="126"/>
      <c r="L137" s="126"/>
      <c r="M137" s="125"/>
      <c r="N137" s="126"/>
    </row>
    <row r="138" spans="1:14" x14ac:dyDescent="0.35">
      <c r="A138" s="126"/>
      <c r="B138" s="127"/>
      <c r="C138" s="126"/>
      <c r="D138" s="126"/>
      <c r="E138" s="128"/>
      <c r="F138" s="128"/>
      <c r="G138" s="128"/>
      <c r="H138" s="128"/>
      <c r="I138" s="128"/>
      <c r="J138" s="126"/>
      <c r="K138" s="126"/>
      <c r="L138" s="126"/>
      <c r="M138" s="125"/>
      <c r="N138" s="126"/>
    </row>
    <row r="139" spans="1:14" x14ac:dyDescent="0.35">
      <c r="A139" s="126"/>
      <c r="B139" s="127"/>
      <c r="C139" s="126"/>
      <c r="D139" s="126"/>
      <c r="E139" s="128"/>
      <c r="F139" s="128"/>
      <c r="G139" s="128"/>
      <c r="H139" s="128"/>
      <c r="I139" s="128"/>
      <c r="J139" s="126"/>
      <c r="K139" s="126"/>
      <c r="L139" s="126"/>
      <c r="M139" s="125"/>
      <c r="N139" s="126"/>
    </row>
    <row r="140" spans="1:14" x14ac:dyDescent="0.35">
      <c r="A140" s="126"/>
      <c r="B140" s="127"/>
      <c r="C140" s="126"/>
      <c r="D140" s="126"/>
      <c r="E140" s="128"/>
      <c r="F140" s="128"/>
      <c r="G140" s="128"/>
      <c r="H140" s="128"/>
      <c r="I140" s="128"/>
      <c r="J140" s="126"/>
      <c r="K140" s="126"/>
      <c r="L140" s="126"/>
      <c r="M140" s="125"/>
      <c r="N140" s="126"/>
    </row>
    <row r="141" spans="1:14" x14ac:dyDescent="0.35">
      <c r="A141" s="126"/>
      <c r="B141" s="127"/>
      <c r="C141" s="126"/>
      <c r="D141" s="126"/>
      <c r="E141" s="128"/>
      <c r="F141" s="128"/>
      <c r="G141" s="128"/>
      <c r="H141" s="128"/>
      <c r="I141" s="128"/>
      <c r="J141" s="126"/>
      <c r="K141" s="126"/>
      <c r="L141" s="126"/>
      <c r="M141" s="125"/>
      <c r="N141" s="126"/>
    </row>
    <row r="142" spans="1:14" x14ac:dyDescent="0.35">
      <c r="A142" s="126"/>
      <c r="B142" s="127"/>
      <c r="C142" s="126"/>
      <c r="D142" s="126"/>
      <c r="E142" s="128"/>
      <c r="F142" s="128"/>
      <c r="G142" s="128"/>
      <c r="H142" s="128"/>
      <c r="I142" s="128"/>
      <c r="J142" s="126"/>
      <c r="K142" s="126"/>
      <c r="L142" s="126"/>
      <c r="M142" s="125"/>
      <c r="N142" s="126"/>
    </row>
    <row r="143" spans="1:14" x14ac:dyDescent="0.35">
      <c r="A143" s="126"/>
      <c r="B143" s="127"/>
      <c r="C143" s="126"/>
      <c r="D143" s="126"/>
      <c r="E143" s="128"/>
      <c r="F143" s="128"/>
      <c r="G143" s="128"/>
      <c r="H143" s="128"/>
      <c r="I143" s="128"/>
      <c r="J143" s="126"/>
      <c r="K143" s="126"/>
      <c r="L143" s="126"/>
      <c r="M143" s="125"/>
      <c r="N143" s="126"/>
    </row>
    <row r="144" spans="1:14" x14ac:dyDescent="0.35">
      <c r="A144" s="126"/>
      <c r="B144" s="127"/>
      <c r="C144" s="126"/>
      <c r="D144" s="126"/>
      <c r="E144" s="128"/>
      <c r="F144" s="128"/>
      <c r="G144" s="128"/>
      <c r="H144" s="128"/>
      <c r="I144" s="128"/>
      <c r="J144" s="126"/>
      <c r="K144" s="126"/>
      <c r="L144" s="126"/>
      <c r="M144" s="125"/>
      <c r="N144" s="126"/>
    </row>
    <row r="145" spans="1:14" x14ac:dyDescent="0.35">
      <c r="A145" s="126"/>
      <c r="B145" s="127"/>
      <c r="C145" s="126"/>
      <c r="D145" s="126"/>
      <c r="E145" s="128"/>
      <c r="F145" s="128"/>
      <c r="G145" s="128"/>
      <c r="H145" s="128"/>
      <c r="I145" s="128"/>
      <c r="J145" s="126"/>
      <c r="K145" s="126"/>
      <c r="L145" s="126"/>
      <c r="M145" s="125"/>
      <c r="N145" s="126"/>
    </row>
    <row r="146" spans="1:14" x14ac:dyDescent="0.35">
      <c r="A146" s="126"/>
      <c r="B146" s="127"/>
      <c r="C146" s="126"/>
      <c r="D146" s="126"/>
      <c r="E146" s="128"/>
      <c r="F146" s="128"/>
      <c r="G146" s="128"/>
      <c r="H146" s="128"/>
      <c r="I146" s="128"/>
      <c r="J146" s="126"/>
      <c r="K146" s="126"/>
      <c r="L146" s="126"/>
      <c r="M146" s="125"/>
      <c r="N146" s="126"/>
    </row>
    <row r="147" spans="1:14" x14ac:dyDescent="0.35">
      <c r="A147" s="126"/>
      <c r="B147" s="127"/>
      <c r="C147" s="126"/>
      <c r="D147" s="126"/>
      <c r="E147" s="128"/>
      <c r="F147" s="128"/>
      <c r="G147" s="128"/>
      <c r="H147" s="128"/>
      <c r="I147" s="128"/>
      <c r="J147" s="126"/>
      <c r="K147" s="126"/>
      <c r="L147" s="126"/>
      <c r="M147" s="125"/>
      <c r="N147" s="126"/>
    </row>
    <row r="148" spans="1:14" x14ac:dyDescent="0.35">
      <c r="A148" s="126"/>
      <c r="B148" s="127"/>
      <c r="C148" s="126"/>
      <c r="D148" s="126"/>
      <c r="E148" s="128"/>
      <c r="F148" s="128"/>
      <c r="G148" s="128"/>
      <c r="H148" s="128"/>
      <c r="I148" s="128"/>
      <c r="J148" s="126"/>
      <c r="K148" s="126"/>
      <c r="L148" s="126"/>
      <c r="M148" s="125"/>
      <c r="N148" s="126"/>
    </row>
    <row r="149" spans="1:14" x14ac:dyDescent="0.35">
      <c r="A149" s="126"/>
      <c r="B149" s="127"/>
      <c r="C149" s="126"/>
      <c r="D149" s="126"/>
      <c r="E149" s="128"/>
      <c r="F149" s="128"/>
      <c r="G149" s="128"/>
      <c r="H149" s="128"/>
      <c r="I149" s="128"/>
      <c r="J149" s="126"/>
      <c r="K149" s="126"/>
      <c r="L149" s="126"/>
      <c r="M149" s="125"/>
      <c r="N149" s="126"/>
    </row>
    <row r="150" spans="1:14" x14ac:dyDescent="0.35">
      <c r="A150" s="126"/>
      <c r="B150" s="127"/>
      <c r="C150" s="126"/>
      <c r="D150" s="126"/>
      <c r="E150" s="128"/>
      <c r="F150" s="128"/>
      <c r="G150" s="128"/>
      <c r="H150" s="128"/>
      <c r="I150" s="128"/>
      <c r="J150" s="126"/>
      <c r="K150" s="126"/>
      <c r="L150" s="126"/>
      <c r="M150" s="125"/>
      <c r="N150" s="126"/>
    </row>
    <row r="151" spans="1:14" x14ac:dyDescent="0.35">
      <c r="A151" s="126"/>
      <c r="B151" s="127"/>
      <c r="C151" s="126"/>
      <c r="D151" s="126"/>
      <c r="E151" s="128"/>
      <c r="F151" s="128"/>
      <c r="G151" s="128"/>
      <c r="H151" s="128"/>
      <c r="I151" s="128"/>
      <c r="J151" s="126"/>
      <c r="K151" s="126"/>
      <c r="L151" s="126"/>
      <c r="M151" s="125"/>
      <c r="N151" s="126"/>
    </row>
    <row r="152" spans="1:14" x14ac:dyDescent="0.35">
      <c r="A152" s="126"/>
      <c r="B152" s="127"/>
      <c r="C152" s="126"/>
      <c r="D152" s="126"/>
      <c r="E152" s="128"/>
      <c r="F152" s="128"/>
      <c r="G152" s="128"/>
      <c r="H152" s="128"/>
      <c r="I152" s="128"/>
      <c r="J152" s="126"/>
      <c r="K152" s="126"/>
      <c r="L152" s="126"/>
      <c r="M152" s="125"/>
      <c r="N152" s="126"/>
    </row>
    <row r="153" spans="1:14" x14ac:dyDescent="0.35">
      <c r="A153" s="126"/>
      <c r="B153" s="127"/>
      <c r="C153" s="126"/>
      <c r="D153" s="126"/>
      <c r="E153" s="128"/>
      <c r="F153" s="128"/>
      <c r="G153" s="128"/>
      <c r="H153" s="128"/>
      <c r="I153" s="128"/>
      <c r="J153" s="126"/>
      <c r="K153" s="126"/>
      <c r="L153" s="126"/>
      <c r="M153" s="125"/>
      <c r="N153" s="126"/>
    </row>
    <row r="154" spans="1:14" x14ac:dyDescent="0.35">
      <c r="A154" s="126"/>
      <c r="B154" s="127"/>
      <c r="C154" s="126"/>
      <c r="D154" s="126"/>
      <c r="E154" s="128"/>
      <c r="F154" s="128"/>
      <c r="G154" s="128"/>
      <c r="H154" s="128"/>
      <c r="I154" s="128"/>
      <c r="J154" s="126"/>
      <c r="K154" s="126"/>
      <c r="L154" s="126"/>
      <c r="M154" s="125"/>
      <c r="N154" s="126"/>
    </row>
    <row r="155" spans="1:14" x14ac:dyDescent="0.35">
      <c r="A155" s="126"/>
      <c r="B155" s="127"/>
      <c r="C155" s="126"/>
      <c r="D155" s="126"/>
      <c r="E155" s="128"/>
      <c r="F155" s="128"/>
      <c r="G155" s="128"/>
      <c r="H155" s="128"/>
      <c r="I155" s="128"/>
      <c r="J155" s="126"/>
      <c r="K155" s="126"/>
      <c r="L155" s="126"/>
      <c r="M155" s="125"/>
      <c r="N155" s="126"/>
    </row>
    <row r="156" spans="1:14" x14ac:dyDescent="0.35">
      <c r="A156" s="126"/>
      <c r="B156" s="127"/>
      <c r="C156" s="126"/>
      <c r="D156" s="126"/>
      <c r="E156" s="128"/>
      <c r="F156" s="128"/>
      <c r="G156" s="128"/>
      <c r="H156" s="128"/>
      <c r="I156" s="128"/>
      <c r="J156" s="126"/>
      <c r="K156" s="126"/>
      <c r="L156" s="126"/>
      <c r="M156" s="125"/>
      <c r="N156" s="126"/>
    </row>
    <row r="157" spans="1:14" x14ac:dyDescent="0.35">
      <c r="A157" s="126"/>
      <c r="B157" s="127"/>
      <c r="C157" s="126"/>
      <c r="D157" s="126"/>
      <c r="E157" s="128"/>
      <c r="F157" s="128"/>
      <c r="G157" s="128"/>
      <c r="H157" s="128"/>
      <c r="I157" s="128"/>
      <c r="J157" s="126"/>
      <c r="K157" s="126"/>
      <c r="L157" s="126"/>
      <c r="M157" s="125"/>
      <c r="N157" s="126"/>
    </row>
    <row r="158" spans="1:14" x14ac:dyDescent="0.35">
      <c r="A158" s="126"/>
      <c r="B158" s="127"/>
      <c r="C158" s="126"/>
      <c r="D158" s="126"/>
      <c r="E158" s="128"/>
      <c r="F158" s="128"/>
      <c r="G158" s="128"/>
      <c r="H158" s="128"/>
      <c r="I158" s="128"/>
      <c r="J158" s="126"/>
      <c r="K158" s="126"/>
      <c r="L158" s="126"/>
      <c r="M158" s="125"/>
      <c r="N158" s="126"/>
    </row>
    <row r="159" spans="1:14" x14ac:dyDescent="0.35">
      <c r="A159" s="126"/>
      <c r="B159" s="127"/>
      <c r="C159" s="126"/>
      <c r="D159" s="126"/>
      <c r="E159" s="128"/>
      <c r="F159" s="128"/>
      <c r="G159" s="128"/>
      <c r="H159" s="128"/>
      <c r="I159" s="128"/>
      <c r="J159" s="126"/>
      <c r="K159" s="126"/>
      <c r="L159" s="126"/>
      <c r="M159" s="125"/>
      <c r="N159" s="126"/>
    </row>
    <row r="160" spans="1:14" x14ac:dyDescent="0.35">
      <c r="A160" s="126"/>
      <c r="B160" s="127"/>
      <c r="C160" s="126"/>
      <c r="D160" s="126"/>
      <c r="E160" s="128"/>
      <c r="F160" s="128"/>
      <c r="G160" s="128"/>
      <c r="H160" s="128"/>
      <c r="I160" s="128"/>
      <c r="J160" s="126"/>
      <c r="K160" s="126"/>
      <c r="L160" s="126"/>
      <c r="M160" s="125"/>
      <c r="N160" s="126"/>
    </row>
    <row r="161" spans="1:14" x14ac:dyDescent="0.35">
      <c r="A161" s="126"/>
      <c r="B161" s="127"/>
      <c r="C161" s="126"/>
      <c r="D161" s="126"/>
      <c r="E161" s="128"/>
      <c r="F161" s="128"/>
      <c r="G161" s="128"/>
      <c r="H161" s="128"/>
      <c r="I161" s="128"/>
      <c r="J161" s="126"/>
      <c r="K161" s="126"/>
      <c r="L161" s="126"/>
      <c r="M161" s="125"/>
      <c r="N161" s="126"/>
    </row>
    <row r="162" spans="1:14" x14ac:dyDescent="0.35">
      <c r="A162" s="126"/>
      <c r="B162" s="127"/>
      <c r="C162" s="126"/>
      <c r="D162" s="126"/>
      <c r="E162" s="128"/>
      <c r="F162" s="128"/>
      <c r="G162" s="128"/>
      <c r="H162" s="128"/>
      <c r="I162" s="128"/>
      <c r="J162" s="126"/>
      <c r="K162" s="126"/>
      <c r="L162" s="126"/>
      <c r="M162" s="125"/>
      <c r="N162" s="126"/>
    </row>
    <row r="163" spans="1:14" x14ac:dyDescent="0.35">
      <c r="A163" s="126"/>
      <c r="B163" s="127"/>
      <c r="C163" s="126"/>
      <c r="D163" s="126"/>
      <c r="E163" s="128"/>
      <c r="F163" s="128"/>
      <c r="G163" s="128"/>
      <c r="H163" s="128"/>
      <c r="I163" s="128"/>
      <c r="J163" s="126"/>
      <c r="K163" s="126"/>
      <c r="L163" s="126"/>
      <c r="M163" s="125"/>
      <c r="N163" s="126"/>
    </row>
    <row r="164" spans="1:14" x14ac:dyDescent="0.35">
      <c r="A164" s="126"/>
      <c r="B164" s="127"/>
      <c r="C164" s="126"/>
      <c r="D164" s="126"/>
      <c r="E164" s="128"/>
      <c r="F164" s="128"/>
      <c r="G164" s="128"/>
      <c r="H164" s="128"/>
      <c r="I164" s="128"/>
      <c r="J164" s="126"/>
      <c r="K164" s="126"/>
      <c r="L164" s="126"/>
      <c r="M164" s="125"/>
      <c r="N164" s="126"/>
    </row>
    <row r="165" spans="1:14" x14ac:dyDescent="0.35">
      <c r="A165" s="126"/>
      <c r="B165" s="127"/>
      <c r="C165" s="126"/>
      <c r="D165" s="126"/>
      <c r="E165" s="128"/>
      <c r="F165" s="128"/>
      <c r="G165" s="128"/>
      <c r="H165" s="128"/>
      <c r="I165" s="128"/>
      <c r="J165" s="126"/>
      <c r="K165" s="126"/>
      <c r="L165" s="126"/>
      <c r="M165" s="125"/>
      <c r="N165" s="126"/>
    </row>
    <row r="166" spans="1:14" x14ac:dyDescent="0.35">
      <c r="A166" s="126"/>
      <c r="B166" s="127"/>
      <c r="C166" s="126"/>
      <c r="D166" s="126"/>
      <c r="E166" s="128"/>
      <c r="F166" s="128"/>
      <c r="G166" s="128"/>
      <c r="H166" s="128"/>
      <c r="I166" s="128"/>
      <c r="J166" s="126"/>
      <c r="K166" s="126"/>
      <c r="L166" s="126"/>
      <c r="M166" s="125"/>
      <c r="N166" s="126"/>
    </row>
    <row r="167" spans="1:14" x14ac:dyDescent="0.35">
      <c r="A167" s="126"/>
      <c r="B167" s="127"/>
      <c r="C167" s="126"/>
      <c r="D167" s="126"/>
      <c r="E167" s="128"/>
      <c r="F167" s="128"/>
      <c r="G167" s="128"/>
      <c r="H167" s="128"/>
      <c r="I167" s="128"/>
      <c r="J167" s="126"/>
      <c r="K167" s="126"/>
      <c r="L167" s="126"/>
      <c r="M167" s="125"/>
      <c r="N167" s="126"/>
    </row>
    <row r="168" spans="1:14" x14ac:dyDescent="0.35">
      <c r="A168" s="126"/>
      <c r="B168" s="127"/>
      <c r="C168" s="126"/>
      <c r="D168" s="126"/>
      <c r="E168" s="128"/>
      <c r="F168" s="128"/>
      <c r="G168" s="128"/>
      <c r="H168" s="128"/>
      <c r="I168" s="128"/>
      <c r="J168" s="126"/>
      <c r="K168" s="126"/>
      <c r="L168" s="126"/>
      <c r="M168" s="125"/>
      <c r="N168" s="126"/>
    </row>
    <row r="169" spans="1:14" x14ac:dyDescent="0.35">
      <c r="A169" s="126"/>
      <c r="B169" s="127"/>
      <c r="C169" s="126"/>
      <c r="D169" s="126"/>
      <c r="E169" s="128"/>
      <c r="F169" s="128"/>
      <c r="G169" s="128"/>
      <c r="H169" s="128"/>
      <c r="I169" s="128"/>
      <c r="J169" s="126"/>
      <c r="K169" s="126"/>
      <c r="L169" s="126"/>
      <c r="M169" s="125"/>
      <c r="N169" s="126"/>
    </row>
    <row r="170" spans="1:14" x14ac:dyDescent="0.35">
      <c r="A170" s="126"/>
      <c r="B170" s="127"/>
      <c r="C170" s="126"/>
      <c r="D170" s="126"/>
      <c r="E170" s="128"/>
      <c r="F170" s="128"/>
      <c r="G170" s="128"/>
      <c r="H170" s="128"/>
      <c r="I170" s="128"/>
      <c r="J170" s="126"/>
      <c r="K170" s="126"/>
      <c r="L170" s="126"/>
      <c r="M170" s="125"/>
      <c r="N170" s="126"/>
    </row>
    <row r="171" spans="1:14" x14ac:dyDescent="0.35">
      <c r="A171" s="126"/>
      <c r="B171" s="127"/>
      <c r="C171" s="126"/>
      <c r="D171" s="126"/>
      <c r="E171" s="128"/>
      <c r="F171" s="128"/>
      <c r="G171" s="128"/>
      <c r="H171" s="128"/>
      <c r="I171" s="128"/>
      <c r="J171" s="126"/>
      <c r="K171" s="126"/>
      <c r="L171" s="126"/>
      <c r="M171" s="125"/>
      <c r="N171" s="126"/>
    </row>
    <row r="172" spans="1:14" x14ac:dyDescent="0.35">
      <c r="A172" s="126"/>
      <c r="B172" s="127"/>
      <c r="C172" s="126"/>
      <c r="D172" s="126"/>
      <c r="E172" s="128"/>
      <c r="F172" s="128"/>
      <c r="G172" s="128"/>
      <c r="H172" s="128"/>
      <c r="I172" s="128"/>
      <c r="J172" s="126"/>
      <c r="K172" s="126"/>
      <c r="L172" s="126"/>
      <c r="M172" s="125"/>
      <c r="N172" s="126"/>
    </row>
    <row r="173" spans="1:14" x14ac:dyDescent="0.35">
      <c r="A173" s="126"/>
      <c r="B173" s="127"/>
      <c r="C173" s="126"/>
      <c r="D173" s="126"/>
      <c r="E173" s="128"/>
      <c r="F173" s="128"/>
      <c r="G173" s="128"/>
      <c r="H173" s="128"/>
      <c r="I173" s="128"/>
      <c r="J173" s="126"/>
      <c r="K173" s="126"/>
      <c r="L173" s="126"/>
      <c r="M173" s="125"/>
      <c r="N173" s="126"/>
    </row>
    <row r="174" spans="1:14" x14ac:dyDescent="0.35">
      <c r="A174" s="126"/>
      <c r="B174" s="127"/>
      <c r="C174" s="126"/>
      <c r="D174" s="126"/>
      <c r="E174" s="128"/>
      <c r="F174" s="128"/>
      <c r="G174" s="128"/>
      <c r="H174" s="128"/>
      <c r="I174" s="128"/>
      <c r="J174" s="126"/>
      <c r="K174" s="126"/>
      <c r="L174" s="126"/>
      <c r="M174" s="125"/>
      <c r="N174" s="126"/>
    </row>
    <row r="175" spans="1:14" x14ac:dyDescent="0.35">
      <c r="A175" s="126"/>
      <c r="B175" s="127"/>
      <c r="C175" s="126"/>
      <c r="D175" s="126"/>
      <c r="E175" s="128"/>
      <c r="F175" s="128"/>
      <c r="G175" s="128"/>
      <c r="H175" s="128"/>
      <c r="I175" s="128"/>
      <c r="J175" s="126"/>
      <c r="K175" s="126"/>
      <c r="L175" s="126"/>
      <c r="M175" s="125"/>
      <c r="N175" s="126"/>
    </row>
    <row r="176" spans="1:14" x14ac:dyDescent="0.35">
      <c r="A176" s="126"/>
      <c r="B176" s="127"/>
      <c r="C176" s="126"/>
      <c r="D176" s="126"/>
      <c r="E176" s="128"/>
      <c r="F176" s="128"/>
      <c r="G176" s="128"/>
      <c r="H176" s="128"/>
      <c r="I176" s="128"/>
      <c r="J176" s="126"/>
      <c r="K176" s="126"/>
      <c r="L176" s="126"/>
      <c r="M176" s="125"/>
      <c r="N176" s="126"/>
    </row>
    <row r="177" spans="1:14" x14ac:dyDescent="0.35">
      <c r="A177" s="126"/>
      <c r="B177" s="127"/>
      <c r="C177" s="126"/>
      <c r="D177" s="126"/>
      <c r="E177" s="128"/>
      <c r="F177" s="128"/>
      <c r="G177" s="128"/>
      <c r="H177" s="128"/>
      <c r="I177" s="128"/>
      <c r="J177" s="126"/>
      <c r="K177" s="126"/>
      <c r="L177" s="126"/>
      <c r="M177" s="125"/>
      <c r="N177" s="126"/>
    </row>
    <row r="178" spans="1:14" x14ac:dyDescent="0.35">
      <c r="A178" s="126"/>
      <c r="B178" s="127"/>
      <c r="C178" s="126"/>
      <c r="D178" s="126"/>
      <c r="E178" s="128"/>
      <c r="F178" s="128"/>
      <c r="G178" s="128"/>
      <c r="H178" s="128"/>
      <c r="I178" s="128"/>
      <c r="J178" s="126"/>
      <c r="K178" s="126"/>
      <c r="L178" s="126"/>
      <c r="M178" s="125"/>
      <c r="N178" s="126"/>
    </row>
    <row r="179" spans="1:14" x14ac:dyDescent="0.35">
      <c r="A179" s="126"/>
      <c r="B179" s="127"/>
      <c r="C179" s="126"/>
      <c r="D179" s="126"/>
      <c r="E179" s="128"/>
      <c r="F179" s="128"/>
      <c r="G179" s="128"/>
      <c r="H179" s="128"/>
      <c r="I179" s="128"/>
      <c r="J179" s="126"/>
      <c r="K179" s="126"/>
      <c r="L179" s="126"/>
      <c r="M179" s="125"/>
      <c r="N179" s="126"/>
    </row>
    <row r="180" spans="1:14" x14ac:dyDescent="0.35">
      <c r="A180" s="126"/>
      <c r="B180" s="127"/>
      <c r="C180" s="126"/>
      <c r="D180" s="126"/>
      <c r="E180" s="128"/>
      <c r="F180" s="128"/>
      <c r="G180" s="128"/>
      <c r="H180" s="128"/>
      <c r="I180" s="128"/>
      <c r="J180" s="126"/>
      <c r="K180" s="126"/>
      <c r="L180" s="126"/>
      <c r="M180" s="125"/>
      <c r="N180" s="126"/>
    </row>
    <row r="181" spans="1:14" x14ac:dyDescent="0.35">
      <c r="A181" s="126"/>
      <c r="B181" s="127"/>
      <c r="C181" s="126"/>
      <c r="D181" s="126"/>
      <c r="E181" s="128"/>
      <c r="F181" s="128"/>
      <c r="G181" s="128"/>
      <c r="H181" s="128"/>
      <c r="I181" s="128"/>
      <c r="J181" s="126"/>
      <c r="K181" s="126"/>
      <c r="L181" s="126"/>
      <c r="M181" s="125"/>
      <c r="N181" s="126"/>
    </row>
    <row r="182" spans="1:14" x14ac:dyDescent="0.35">
      <c r="A182" s="126"/>
      <c r="B182" s="127"/>
      <c r="C182" s="126"/>
      <c r="D182" s="126"/>
      <c r="E182" s="128"/>
      <c r="F182" s="128"/>
      <c r="G182" s="128"/>
      <c r="H182" s="128"/>
      <c r="I182" s="128"/>
      <c r="J182" s="126"/>
      <c r="K182" s="126"/>
      <c r="L182" s="126"/>
      <c r="M182" s="125"/>
      <c r="N182" s="126"/>
    </row>
    <row r="183" spans="1:14" x14ac:dyDescent="0.35">
      <c r="A183" s="126"/>
      <c r="B183" s="127"/>
      <c r="C183" s="126"/>
      <c r="D183" s="126"/>
      <c r="E183" s="128"/>
      <c r="F183" s="128"/>
      <c r="G183" s="128"/>
      <c r="H183" s="128"/>
      <c r="I183" s="128"/>
      <c r="J183" s="126"/>
      <c r="K183" s="126"/>
      <c r="L183" s="126"/>
      <c r="M183" s="125"/>
      <c r="N183" s="126"/>
    </row>
    <row r="184" spans="1:14" x14ac:dyDescent="0.35">
      <c r="A184" s="126"/>
      <c r="B184" s="127"/>
      <c r="C184" s="126"/>
      <c r="D184" s="126"/>
      <c r="E184" s="128"/>
      <c r="F184" s="128"/>
      <c r="G184" s="128"/>
      <c r="H184" s="128"/>
      <c r="I184" s="128"/>
      <c r="J184" s="126"/>
      <c r="K184" s="126"/>
      <c r="L184" s="126"/>
      <c r="M184" s="125"/>
      <c r="N184" s="126"/>
    </row>
    <row r="185" spans="1:14" x14ac:dyDescent="0.35">
      <c r="A185" s="126"/>
      <c r="B185" s="127"/>
      <c r="C185" s="126"/>
      <c r="D185" s="126"/>
      <c r="E185" s="128"/>
      <c r="F185" s="128"/>
      <c r="G185" s="128"/>
      <c r="H185" s="128"/>
      <c r="I185" s="128"/>
      <c r="J185" s="126"/>
      <c r="K185" s="126"/>
      <c r="L185" s="126"/>
      <c r="M185" s="125"/>
      <c r="N185" s="126"/>
    </row>
    <row r="186" spans="1:14" x14ac:dyDescent="0.35">
      <c r="A186" s="126"/>
      <c r="B186" s="127"/>
      <c r="C186" s="126"/>
      <c r="D186" s="126"/>
      <c r="E186" s="128"/>
      <c r="F186" s="128"/>
      <c r="G186" s="128"/>
      <c r="H186" s="128"/>
      <c r="I186" s="128"/>
      <c r="J186" s="126"/>
      <c r="K186" s="126"/>
      <c r="L186" s="126"/>
      <c r="M186" s="125"/>
      <c r="N186" s="126"/>
    </row>
    <row r="187" spans="1:14" x14ac:dyDescent="0.35">
      <c r="A187" s="126"/>
      <c r="B187" s="127"/>
      <c r="C187" s="126"/>
      <c r="D187" s="126"/>
      <c r="E187" s="128"/>
      <c r="F187" s="128"/>
      <c r="G187" s="128"/>
      <c r="H187" s="128"/>
      <c r="I187" s="128"/>
      <c r="J187" s="126"/>
      <c r="K187" s="126"/>
      <c r="L187" s="126"/>
      <c r="M187" s="125"/>
      <c r="N187" s="126"/>
    </row>
    <row r="188" spans="1:14" x14ac:dyDescent="0.35">
      <c r="A188" s="126"/>
      <c r="B188" s="127"/>
      <c r="C188" s="126"/>
      <c r="D188" s="126"/>
      <c r="E188" s="128"/>
      <c r="F188" s="128"/>
      <c r="G188" s="128"/>
      <c r="H188" s="128"/>
      <c r="I188" s="128"/>
      <c r="J188" s="126"/>
      <c r="K188" s="126"/>
      <c r="L188" s="126"/>
      <c r="M188" s="125"/>
      <c r="N188" s="126"/>
    </row>
    <row r="189" spans="1:14" x14ac:dyDescent="0.35">
      <c r="A189" s="126"/>
      <c r="B189" s="127"/>
      <c r="C189" s="126"/>
      <c r="D189" s="126"/>
      <c r="E189" s="128"/>
      <c r="F189" s="128"/>
      <c r="G189" s="128"/>
      <c r="H189" s="128"/>
      <c r="I189" s="128"/>
      <c r="J189" s="126"/>
      <c r="K189" s="126"/>
      <c r="L189" s="126"/>
      <c r="M189" s="125"/>
      <c r="N189" s="126"/>
    </row>
    <row r="190" spans="1:14" x14ac:dyDescent="0.35">
      <c r="A190" s="126"/>
      <c r="B190" s="127"/>
      <c r="C190" s="126"/>
      <c r="D190" s="126"/>
      <c r="E190" s="128"/>
      <c r="F190" s="128"/>
      <c r="G190" s="128"/>
      <c r="H190" s="128"/>
      <c r="I190" s="128"/>
      <c r="J190" s="126"/>
      <c r="K190" s="126"/>
      <c r="L190" s="126"/>
      <c r="M190" s="125"/>
      <c r="N190" s="126"/>
    </row>
    <row r="191" spans="1:14" x14ac:dyDescent="0.35">
      <c r="A191" s="126"/>
      <c r="B191" s="127"/>
      <c r="C191" s="126"/>
      <c r="D191" s="126"/>
      <c r="E191" s="128"/>
      <c r="F191" s="128"/>
      <c r="G191" s="128"/>
      <c r="H191" s="128"/>
      <c r="I191" s="128"/>
      <c r="J191" s="126"/>
      <c r="K191" s="126"/>
      <c r="L191" s="126"/>
      <c r="M191" s="125"/>
      <c r="N191" s="126"/>
    </row>
    <row r="192" spans="1:14" x14ac:dyDescent="0.35">
      <c r="A192" s="126"/>
      <c r="B192" s="127"/>
      <c r="C192" s="126"/>
      <c r="D192" s="126"/>
      <c r="E192" s="128"/>
      <c r="F192" s="128"/>
      <c r="G192" s="128"/>
      <c r="H192" s="128"/>
      <c r="I192" s="128"/>
      <c r="J192" s="126"/>
      <c r="K192" s="126"/>
      <c r="L192" s="126"/>
      <c r="M192" s="125"/>
      <c r="N192" s="126"/>
    </row>
    <row r="193" spans="1:14" x14ac:dyDescent="0.35">
      <c r="A193" s="126"/>
      <c r="B193" s="127"/>
      <c r="C193" s="126"/>
      <c r="D193" s="126"/>
      <c r="E193" s="128"/>
      <c r="F193" s="128"/>
      <c r="G193" s="128"/>
      <c r="H193" s="128"/>
      <c r="I193" s="128"/>
      <c r="J193" s="126"/>
      <c r="K193" s="126"/>
      <c r="L193" s="126"/>
      <c r="M193" s="125"/>
      <c r="N193" s="126"/>
    </row>
    <row r="194" spans="1:14" x14ac:dyDescent="0.35">
      <c r="A194" s="126"/>
      <c r="B194" s="127"/>
      <c r="C194" s="126"/>
      <c r="D194" s="126"/>
      <c r="E194" s="128"/>
      <c r="F194" s="128"/>
      <c r="G194" s="128"/>
      <c r="H194" s="128"/>
      <c r="I194" s="128"/>
      <c r="J194" s="126"/>
      <c r="K194" s="126"/>
      <c r="L194" s="126"/>
      <c r="M194" s="125"/>
      <c r="N194" s="126"/>
    </row>
    <row r="195" spans="1:14" x14ac:dyDescent="0.35">
      <c r="A195" s="126"/>
      <c r="B195" s="127"/>
      <c r="C195" s="126"/>
      <c r="D195" s="126"/>
      <c r="E195" s="128"/>
      <c r="F195" s="128"/>
      <c r="G195" s="128"/>
      <c r="H195" s="128"/>
      <c r="I195" s="128"/>
      <c r="J195" s="126"/>
      <c r="K195" s="126"/>
      <c r="L195" s="126"/>
      <c r="M195" s="125"/>
      <c r="N195" s="126"/>
    </row>
    <row r="196" spans="1:14" x14ac:dyDescent="0.35">
      <c r="A196" s="126"/>
      <c r="B196" s="127"/>
      <c r="C196" s="126"/>
      <c r="D196" s="126"/>
      <c r="E196" s="128"/>
      <c r="F196" s="128"/>
      <c r="G196" s="128"/>
      <c r="H196" s="128"/>
      <c r="I196" s="128"/>
      <c r="J196" s="126"/>
      <c r="K196" s="126"/>
      <c r="L196" s="126"/>
      <c r="M196" s="125"/>
      <c r="N196" s="126"/>
    </row>
    <row r="197" spans="1:14" x14ac:dyDescent="0.35">
      <c r="A197" s="126"/>
      <c r="B197" s="127"/>
      <c r="C197" s="126"/>
      <c r="D197" s="126"/>
      <c r="E197" s="128"/>
      <c r="F197" s="128"/>
      <c r="G197" s="128"/>
      <c r="H197" s="128"/>
      <c r="I197" s="128"/>
      <c r="J197" s="126"/>
      <c r="K197" s="126"/>
      <c r="L197" s="126"/>
      <c r="M197" s="125"/>
      <c r="N197" s="126"/>
    </row>
    <row r="198" spans="1:14" x14ac:dyDescent="0.35">
      <c r="A198" s="126"/>
      <c r="B198" s="127"/>
      <c r="C198" s="126"/>
      <c r="D198" s="126"/>
      <c r="E198" s="128"/>
      <c r="F198" s="128"/>
      <c r="G198" s="128"/>
      <c r="H198" s="128"/>
      <c r="I198" s="128"/>
      <c r="J198" s="126"/>
      <c r="K198" s="126"/>
      <c r="L198" s="126"/>
      <c r="M198" s="125"/>
      <c r="N198" s="126"/>
    </row>
    <row r="199" spans="1:14" x14ac:dyDescent="0.35">
      <c r="A199" s="126"/>
      <c r="B199" s="127"/>
      <c r="C199" s="126"/>
      <c r="D199" s="126"/>
      <c r="E199" s="128"/>
      <c r="F199" s="128"/>
      <c r="G199" s="128"/>
      <c r="H199" s="128"/>
      <c r="I199" s="128"/>
      <c r="J199" s="126"/>
      <c r="K199" s="126"/>
      <c r="L199" s="126"/>
      <c r="M199" s="125"/>
      <c r="N199" s="126"/>
    </row>
    <row r="200" spans="1:14" x14ac:dyDescent="0.35">
      <c r="A200" s="126"/>
      <c r="B200" s="127"/>
      <c r="C200" s="126"/>
      <c r="D200" s="126"/>
      <c r="E200" s="128"/>
      <c r="F200" s="128"/>
      <c r="G200" s="128"/>
      <c r="H200" s="128"/>
      <c r="I200" s="128"/>
      <c r="J200" s="126"/>
      <c r="K200" s="126"/>
      <c r="L200" s="126"/>
      <c r="M200" s="125"/>
      <c r="N200" s="126"/>
    </row>
    <row r="201" spans="1:14" x14ac:dyDescent="0.35">
      <c r="A201" s="126"/>
      <c r="B201" s="127"/>
      <c r="C201" s="126"/>
      <c r="D201" s="126"/>
      <c r="E201" s="128"/>
      <c r="F201" s="128"/>
      <c r="G201" s="128"/>
      <c r="H201" s="128"/>
      <c r="I201" s="128"/>
      <c r="J201" s="126"/>
      <c r="K201" s="126"/>
      <c r="L201" s="126"/>
      <c r="M201" s="125"/>
      <c r="N201" s="126"/>
    </row>
    <row r="202" spans="1:14" x14ac:dyDescent="0.35">
      <c r="A202" s="126"/>
      <c r="B202" s="127"/>
      <c r="C202" s="126"/>
      <c r="D202" s="126"/>
      <c r="E202" s="128"/>
      <c r="F202" s="128"/>
      <c r="G202" s="128"/>
      <c r="H202" s="128"/>
      <c r="I202" s="128"/>
      <c r="J202" s="126"/>
      <c r="K202" s="126"/>
      <c r="L202" s="126"/>
      <c r="M202" s="125"/>
      <c r="N202" s="126"/>
    </row>
    <row r="203" spans="1:14" x14ac:dyDescent="0.35">
      <c r="A203" s="126"/>
      <c r="B203" s="127"/>
      <c r="C203" s="126"/>
      <c r="D203" s="126"/>
      <c r="E203" s="128"/>
      <c r="F203" s="128"/>
      <c r="G203" s="128"/>
      <c r="H203" s="128"/>
      <c r="I203" s="128"/>
      <c r="J203" s="126"/>
      <c r="K203" s="126"/>
      <c r="L203" s="126"/>
      <c r="M203" s="125"/>
      <c r="N203" s="126"/>
    </row>
    <row r="204" spans="1:14" x14ac:dyDescent="0.35">
      <c r="A204" s="126"/>
      <c r="B204" s="127"/>
      <c r="C204" s="126"/>
      <c r="D204" s="126"/>
      <c r="E204" s="128"/>
      <c r="F204" s="128"/>
      <c r="G204" s="128"/>
      <c r="H204" s="128"/>
      <c r="I204" s="128"/>
      <c r="J204" s="126"/>
      <c r="K204" s="126"/>
      <c r="L204" s="126"/>
      <c r="M204" s="125"/>
      <c r="N204" s="126"/>
    </row>
    <row r="205" spans="1:14" x14ac:dyDescent="0.35">
      <c r="A205" s="126"/>
      <c r="B205" s="127"/>
      <c r="C205" s="126"/>
      <c r="D205" s="126"/>
      <c r="E205" s="128"/>
      <c r="F205" s="128"/>
      <c r="G205" s="128"/>
      <c r="H205" s="128"/>
      <c r="I205" s="128"/>
      <c r="J205" s="126"/>
      <c r="K205" s="126"/>
      <c r="L205" s="126"/>
      <c r="M205" s="125"/>
      <c r="N205" s="126"/>
    </row>
    <row r="206" spans="1:14" x14ac:dyDescent="0.35">
      <c r="A206" s="126"/>
      <c r="B206" s="127"/>
      <c r="C206" s="126"/>
      <c r="D206" s="126"/>
      <c r="E206" s="128"/>
      <c r="F206" s="128"/>
      <c r="G206" s="128"/>
      <c r="H206" s="128"/>
      <c r="I206" s="128"/>
      <c r="J206" s="126"/>
      <c r="K206" s="126"/>
      <c r="L206" s="126"/>
      <c r="M206" s="125"/>
      <c r="N206" s="126"/>
    </row>
    <row r="207" spans="1:14" x14ac:dyDescent="0.35">
      <c r="A207" s="126"/>
      <c r="B207" s="127"/>
      <c r="C207" s="126"/>
      <c r="D207" s="126"/>
      <c r="E207" s="128"/>
      <c r="F207" s="128"/>
      <c r="G207" s="128"/>
      <c r="H207" s="128"/>
      <c r="I207" s="128"/>
      <c r="J207" s="126"/>
      <c r="K207" s="126"/>
      <c r="L207" s="126"/>
      <c r="M207" s="125"/>
      <c r="N207" s="126"/>
    </row>
    <row r="208" spans="1:14" x14ac:dyDescent="0.35">
      <c r="A208" s="126"/>
      <c r="B208" s="127"/>
      <c r="C208" s="126"/>
      <c r="D208" s="126"/>
      <c r="E208" s="128"/>
      <c r="F208" s="128"/>
      <c r="G208" s="128"/>
      <c r="H208" s="128"/>
      <c r="I208" s="128"/>
      <c r="J208" s="126"/>
      <c r="K208" s="126"/>
      <c r="L208" s="126"/>
      <c r="M208" s="125"/>
      <c r="N208" s="126"/>
    </row>
    <row r="209" spans="1:14" x14ac:dyDescent="0.35">
      <c r="A209" s="126"/>
      <c r="B209" s="127"/>
      <c r="C209" s="126"/>
      <c r="D209" s="126"/>
      <c r="E209" s="128"/>
      <c r="F209" s="128"/>
      <c r="G209" s="128"/>
      <c r="H209" s="128"/>
      <c r="I209" s="128"/>
      <c r="J209" s="126"/>
      <c r="K209" s="126"/>
      <c r="L209" s="126"/>
      <c r="M209" s="125"/>
      <c r="N209" s="126"/>
    </row>
    <row r="210" spans="1:14" x14ac:dyDescent="0.35">
      <c r="A210" s="126"/>
      <c r="B210" s="127"/>
      <c r="C210" s="126"/>
      <c r="D210" s="126"/>
      <c r="E210" s="128"/>
      <c r="F210" s="128"/>
      <c r="G210" s="128"/>
      <c r="H210" s="128"/>
      <c r="I210" s="128"/>
      <c r="J210" s="126"/>
      <c r="K210" s="126"/>
      <c r="L210" s="126"/>
      <c r="M210" s="125"/>
      <c r="N210" s="126"/>
    </row>
    <row r="211" spans="1:14" x14ac:dyDescent="0.35">
      <c r="A211" s="126"/>
      <c r="B211" s="127"/>
      <c r="C211" s="126"/>
      <c r="D211" s="126"/>
      <c r="E211" s="128"/>
      <c r="F211" s="128"/>
      <c r="G211" s="128"/>
      <c r="H211" s="128"/>
      <c r="I211" s="128"/>
      <c r="J211" s="126"/>
      <c r="K211" s="126"/>
      <c r="L211" s="126"/>
      <c r="M211" s="125"/>
      <c r="N211" s="126"/>
    </row>
    <row r="212" spans="1:14" x14ac:dyDescent="0.35">
      <c r="A212" s="126"/>
      <c r="B212" s="127"/>
      <c r="C212" s="126"/>
      <c r="D212" s="126"/>
      <c r="E212" s="128"/>
      <c r="F212" s="128"/>
      <c r="G212" s="128"/>
      <c r="H212" s="128"/>
      <c r="I212" s="128"/>
      <c r="J212" s="126"/>
      <c r="K212" s="126"/>
      <c r="L212" s="126"/>
      <c r="M212" s="125"/>
      <c r="N212" s="126"/>
    </row>
    <row r="213" spans="1:14" x14ac:dyDescent="0.35">
      <c r="A213" s="126"/>
      <c r="B213" s="127"/>
      <c r="C213" s="126"/>
      <c r="D213" s="126"/>
      <c r="E213" s="128"/>
      <c r="F213" s="128"/>
      <c r="G213" s="128"/>
      <c r="H213" s="128"/>
      <c r="I213" s="128"/>
      <c r="J213" s="126"/>
      <c r="K213" s="126"/>
      <c r="L213" s="126"/>
      <c r="M213" s="125"/>
      <c r="N213" s="126"/>
    </row>
    <row r="214" spans="1:14" x14ac:dyDescent="0.35">
      <c r="A214" s="126"/>
      <c r="B214" s="127"/>
      <c r="C214" s="126"/>
      <c r="D214" s="126"/>
      <c r="E214" s="128"/>
      <c r="F214" s="128"/>
      <c r="G214" s="128"/>
      <c r="H214" s="128"/>
      <c r="I214" s="128"/>
      <c r="J214" s="126"/>
      <c r="K214" s="126"/>
      <c r="L214" s="126"/>
      <c r="M214" s="125"/>
      <c r="N214" s="126"/>
    </row>
    <row r="215" spans="1:14" x14ac:dyDescent="0.35">
      <c r="A215" s="126"/>
      <c r="B215" s="127"/>
      <c r="C215" s="126"/>
      <c r="D215" s="126"/>
      <c r="E215" s="128"/>
      <c r="F215" s="128"/>
      <c r="G215" s="128"/>
      <c r="H215" s="128"/>
      <c r="I215" s="128"/>
      <c r="J215" s="126"/>
      <c r="K215" s="126"/>
      <c r="L215" s="126"/>
      <c r="M215" s="125"/>
      <c r="N215" s="126"/>
    </row>
    <row r="216" spans="1:14" x14ac:dyDescent="0.35">
      <c r="A216" s="126"/>
      <c r="B216" s="127"/>
      <c r="C216" s="126"/>
      <c r="D216" s="126"/>
      <c r="E216" s="128"/>
      <c r="F216" s="128"/>
      <c r="G216" s="128"/>
      <c r="H216" s="128"/>
      <c r="I216" s="128"/>
      <c r="J216" s="126"/>
      <c r="K216" s="126"/>
      <c r="L216" s="126"/>
      <c r="M216" s="125"/>
      <c r="N216" s="126"/>
    </row>
    <row r="217" spans="1:14" x14ac:dyDescent="0.35">
      <c r="A217" s="126"/>
      <c r="B217" s="127"/>
      <c r="C217" s="126"/>
      <c r="D217" s="126"/>
      <c r="E217" s="128"/>
      <c r="F217" s="128"/>
      <c r="G217" s="128"/>
      <c r="H217" s="128"/>
      <c r="I217" s="128"/>
      <c r="J217" s="126"/>
      <c r="K217" s="126"/>
      <c r="L217" s="126"/>
      <c r="M217" s="125"/>
      <c r="N217" s="126"/>
    </row>
    <row r="218" spans="1:14" x14ac:dyDescent="0.35">
      <c r="A218" s="126"/>
      <c r="B218" s="127"/>
      <c r="C218" s="126"/>
      <c r="D218" s="126"/>
      <c r="E218" s="128"/>
      <c r="F218" s="128"/>
      <c r="G218" s="128"/>
      <c r="H218" s="128"/>
      <c r="I218" s="128"/>
      <c r="J218" s="126"/>
      <c r="K218" s="126"/>
      <c r="L218" s="126"/>
      <c r="M218" s="125"/>
      <c r="N218" s="126"/>
    </row>
    <row r="219" spans="1:14" x14ac:dyDescent="0.35">
      <c r="A219" s="126"/>
      <c r="B219" s="127"/>
      <c r="C219" s="126"/>
      <c r="D219" s="126"/>
      <c r="E219" s="128"/>
      <c r="F219" s="128"/>
      <c r="G219" s="128"/>
      <c r="H219" s="128"/>
      <c r="I219" s="128"/>
      <c r="J219" s="126"/>
      <c r="K219" s="126"/>
      <c r="L219" s="126"/>
      <c r="M219" s="125"/>
      <c r="N219" s="126"/>
    </row>
    <row r="220" spans="1:14" x14ac:dyDescent="0.35">
      <c r="A220" s="126"/>
      <c r="B220" s="127"/>
      <c r="C220" s="126"/>
      <c r="D220" s="126"/>
      <c r="E220" s="128"/>
      <c r="F220" s="128"/>
      <c r="G220" s="128"/>
      <c r="H220" s="128"/>
      <c r="I220" s="128"/>
      <c r="J220" s="126"/>
      <c r="K220" s="126"/>
      <c r="L220" s="126"/>
      <c r="M220" s="125"/>
      <c r="N220" s="126"/>
    </row>
    <row r="221" spans="1:14" x14ac:dyDescent="0.35">
      <c r="A221" s="126"/>
      <c r="B221" s="127"/>
      <c r="C221" s="126"/>
      <c r="D221" s="126"/>
      <c r="E221" s="128"/>
      <c r="F221" s="128"/>
      <c r="G221" s="128"/>
      <c r="H221" s="128"/>
      <c r="I221" s="128"/>
      <c r="J221" s="126"/>
      <c r="K221" s="126"/>
      <c r="L221" s="126"/>
      <c r="M221" s="125"/>
      <c r="N221" s="126"/>
    </row>
    <row r="222" spans="1:14" x14ac:dyDescent="0.35">
      <c r="A222" s="126"/>
      <c r="B222" s="127"/>
      <c r="C222" s="126"/>
      <c r="D222" s="126"/>
      <c r="E222" s="128"/>
      <c r="F222" s="128"/>
      <c r="G222" s="128"/>
      <c r="H222" s="128"/>
      <c r="I222" s="128"/>
      <c r="J222" s="126"/>
      <c r="K222" s="126"/>
      <c r="L222" s="126"/>
      <c r="M222" s="125"/>
      <c r="N222" s="126"/>
    </row>
    <row r="223" spans="1:14" x14ac:dyDescent="0.35">
      <c r="A223" s="126"/>
      <c r="B223" s="127"/>
      <c r="C223" s="126"/>
      <c r="D223" s="126"/>
      <c r="E223" s="128"/>
      <c r="F223" s="128"/>
      <c r="G223" s="128"/>
      <c r="H223" s="128"/>
      <c r="I223" s="128"/>
      <c r="J223" s="126"/>
      <c r="K223" s="126"/>
      <c r="L223" s="126"/>
      <c r="M223" s="125"/>
      <c r="N223" s="126"/>
    </row>
    <row r="224" spans="1:14" x14ac:dyDescent="0.35">
      <c r="A224" s="126"/>
      <c r="B224" s="127"/>
      <c r="C224" s="126"/>
      <c r="D224" s="126"/>
      <c r="E224" s="128"/>
      <c r="F224" s="128"/>
      <c r="G224" s="128"/>
      <c r="H224" s="128"/>
      <c r="I224" s="128"/>
      <c r="J224" s="126"/>
      <c r="K224" s="126"/>
      <c r="L224" s="126"/>
      <c r="M224" s="125"/>
      <c r="N224" s="126"/>
    </row>
    <row r="225" spans="1:14" x14ac:dyDescent="0.35">
      <c r="A225" s="126"/>
      <c r="B225" s="127"/>
      <c r="C225" s="126"/>
      <c r="D225" s="126"/>
      <c r="E225" s="128"/>
      <c r="F225" s="128"/>
      <c r="G225" s="128"/>
      <c r="H225" s="128"/>
      <c r="I225" s="128"/>
      <c r="J225" s="126"/>
      <c r="K225" s="126"/>
      <c r="L225" s="126"/>
      <c r="M225" s="125"/>
      <c r="N225" s="126"/>
    </row>
    <row r="226" spans="1:14" x14ac:dyDescent="0.35">
      <c r="A226" s="126"/>
      <c r="B226" s="127"/>
      <c r="C226" s="126"/>
      <c r="D226" s="126"/>
      <c r="E226" s="128"/>
      <c r="F226" s="128"/>
      <c r="G226" s="128"/>
      <c r="H226" s="128"/>
      <c r="I226" s="128"/>
      <c r="J226" s="126"/>
      <c r="K226" s="126"/>
      <c r="L226" s="126"/>
      <c r="M226" s="125"/>
      <c r="N226" s="126"/>
    </row>
    <row r="227" spans="1:14" x14ac:dyDescent="0.35">
      <c r="A227" s="126"/>
      <c r="B227" s="127"/>
      <c r="C227" s="126"/>
      <c r="D227" s="126"/>
      <c r="E227" s="128"/>
      <c r="F227" s="128"/>
      <c r="G227" s="128"/>
      <c r="H227" s="128"/>
      <c r="I227" s="128"/>
      <c r="J227" s="126"/>
      <c r="K227" s="126"/>
      <c r="L227" s="126"/>
      <c r="M227" s="125"/>
      <c r="N227" s="126"/>
    </row>
    <row r="228" spans="1:14" x14ac:dyDescent="0.35">
      <c r="A228" s="126"/>
      <c r="B228" s="127"/>
      <c r="C228" s="126"/>
      <c r="D228" s="126"/>
      <c r="E228" s="128"/>
      <c r="F228" s="128"/>
      <c r="G228" s="128"/>
      <c r="H228" s="128"/>
      <c r="I228" s="128"/>
      <c r="J228" s="126"/>
      <c r="K228" s="126"/>
      <c r="L228" s="126"/>
      <c r="M228" s="125"/>
      <c r="N228" s="126"/>
    </row>
    <row r="229" spans="1:14" x14ac:dyDescent="0.35">
      <c r="A229" s="126"/>
      <c r="B229" s="127"/>
      <c r="C229" s="126"/>
      <c r="D229" s="126"/>
      <c r="E229" s="128"/>
      <c r="F229" s="128"/>
      <c r="G229" s="128"/>
      <c r="H229" s="128"/>
      <c r="I229" s="128"/>
      <c r="J229" s="126"/>
      <c r="K229" s="126"/>
      <c r="L229" s="126"/>
      <c r="M229" s="125"/>
      <c r="N229" s="126"/>
    </row>
    <row r="230" spans="1:14" x14ac:dyDescent="0.35">
      <c r="A230" s="126"/>
      <c r="B230" s="127"/>
      <c r="C230" s="126"/>
      <c r="D230" s="126"/>
      <c r="E230" s="128"/>
      <c r="F230" s="128"/>
      <c r="G230" s="128"/>
      <c r="H230" s="128"/>
      <c r="I230" s="128"/>
      <c r="J230" s="126"/>
      <c r="K230" s="126"/>
      <c r="L230" s="126"/>
      <c r="M230" s="125"/>
      <c r="N230" s="126"/>
    </row>
    <row r="231" spans="1:14" x14ac:dyDescent="0.35">
      <c r="A231" s="126"/>
      <c r="B231" s="127"/>
      <c r="C231" s="126"/>
      <c r="D231" s="126"/>
      <c r="E231" s="128"/>
      <c r="F231" s="128"/>
      <c r="G231" s="128"/>
      <c r="H231" s="128"/>
      <c r="I231" s="128"/>
      <c r="J231" s="126"/>
      <c r="K231" s="126"/>
      <c r="L231" s="126"/>
      <c r="M231" s="125"/>
      <c r="N231" s="126"/>
    </row>
    <row r="232" spans="1:14" x14ac:dyDescent="0.35">
      <c r="A232" s="126"/>
      <c r="B232" s="127"/>
      <c r="C232" s="126"/>
      <c r="D232" s="126"/>
      <c r="E232" s="128"/>
      <c r="F232" s="128"/>
      <c r="G232" s="128"/>
      <c r="H232" s="128"/>
      <c r="I232" s="128"/>
      <c r="J232" s="126"/>
      <c r="K232" s="126"/>
      <c r="L232" s="126"/>
      <c r="M232" s="125"/>
      <c r="N232" s="126"/>
    </row>
    <row r="233" spans="1:14" x14ac:dyDescent="0.35">
      <c r="A233" s="126"/>
      <c r="B233" s="127"/>
      <c r="C233" s="126"/>
      <c r="D233" s="126"/>
      <c r="E233" s="128"/>
      <c r="F233" s="128"/>
      <c r="G233" s="128"/>
      <c r="H233" s="128"/>
      <c r="I233" s="128"/>
      <c r="J233" s="126"/>
      <c r="K233" s="126"/>
      <c r="L233" s="126"/>
      <c r="M233" s="125"/>
      <c r="N233" s="126"/>
    </row>
    <row r="234" spans="1:14" x14ac:dyDescent="0.35">
      <c r="A234" s="126"/>
      <c r="B234" s="127"/>
      <c r="C234" s="126"/>
      <c r="D234" s="126"/>
      <c r="E234" s="128"/>
      <c r="F234" s="128"/>
      <c r="G234" s="128"/>
      <c r="H234" s="128"/>
      <c r="I234" s="128"/>
      <c r="J234" s="126"/>
      <c r="K234" s="126"/>
      <c r="L234" s="126"/>
      <c r="M234" s="125"/>
      <c r="N234" s="126"/>
    </row>
    <row r="235" spans="1:14" x14ac:dyDescent="0.35">
      <c r="A235" s="126"/>
      <c r="B235" s="127"/>
      <c r="C235" s="126"/>
      <c r="D235" s="126"/>
      <c r="E235" s="128"/>
      <c r="F235" s="128"/>
      <c r="G235" s="128"/>
      <c r="H235" s="128"/>
      <c r="I235" s="128"/>
      <c r="J235" s="126"/>
      <c r="K235" s="126"/>
      <c r="L235" s="126"/>
      <c r="M235" s="125"/>
      <c r="N235" s="126"/>
    </row>
    <row r="236" spans="1:14" x14ac:dyDescent="0.35">
      <c r="A236" s="126"/>
      <c r="B236" s="127"/>
      <c r="C236" s="126"/>
      <c r="D236" s="126"/>
      <c r="E236" s="128"/>
      <c r="F236" s="128"/>
      <c r="G236" s="128"/>
      <c r="H236" s="128"/>
      <c r="I236" s="128"/>
      <c r="J236" s="126"/>
      <c r="K236" s="126"/>
      <c r="L236" s="126"/>
      <c r="M236" s="125"/>
      <c r="N236" s="126"/>
    </row>
    <row r="237" spans="1:14" x14ac:dyDescent="0.35">
      <c r="A237" s="126"/>
      <c r="B237" s="127"/>
      <c r="C237" s="126"/>
      <c r="D237" s="126"/>
      <c r="E237" s="128"/>
      <c r="F237" s="128"/>
      <c r="G237" s="128"/>
      <c r="H237" s="128"/>
      <c r="I237" s="128"/>
      <c r="J237" s="126"/>
      <c r="K237" s="126"/>
      <c r="L237" s="126"/>
      <c r="M237" s="125"/>
      <c r="N237" s="126"/>
    </row>
    <row r="238" spans="1:14" x14ac:dyDescent="0.35">
      <c r="A238" s="126"/>
      <c r="B238" s="127"/>
      <c r="C238" s="126"/>
      <c r="D238" s="126"/>
      <c r="E238" s="128"/>
      <c r="F238" s="128"/>
      <c r="G238" s="128"/>
      <c r="H238" s="128"/>
      <c r="I238" s="128"/>
      <c r="J238" s="126"/>
      <c r="K238" s="126"/>
      <c r="L238" s="126"/>
      <c r="M238" s="125"/>
      <c r="N238" s="126"/>
    </row>
    <row r="239" spans="1:14" x14ac:dyDescent="0.35">
      <c r="A239" s="126"/>
      <c r="B239" s="127"/>
      <c r="C239" s="126"/>
      <c r="D239" s="126"/>
      <c r="E239" s="128"/>
      <c r="F239" s="128"/>
      <c r="G239" s="128"/>
      <c r="H239" s="128"/>
      <c r="I239" s="128"/>
      <c r="J239" s="126"/>
      <c r="K239" s="126"/>
      <c r="L239" s="126"/>
      <c r="M239" s="125"/>
      <c r="N239" s="126"/>
    </row>
    <row r="240" spans="1:14" x14ac:dyDescent="0.35">
      <c r="A240" s="126"/>
      <c r="B240" s="127"/>
      <c r="C240" s="126"/>
      <c r="D240" s="126"/>
      <c r="E240" s="128"/>
      <c r="F240" s="128"/>
      <c r="G240" s="128"/>
      <c r="H240" s="128"/>
      <c r="I240" s="128"/>
      <c r="J240" s="126"/>
      <c r="K240" s="126"/>
      <c r="L240" s="126"/>
      <c r="M240" s="125"/>
      <c r="N240" s="126"/>
    </row>
    <row r="241" spans="1:14" x14ac:dyDescent="0.35">
      <c r="A241" s="126"/>
      <c r="B241" s="127"/>
      <c r="C241" s="126"/>
      <c r="D241" s="126"/>
      <c r="E241" s="128"/>
      <c r="F241" s="128"/>
      <c r="G241" s="128"/>
      <c r="H241" s="128"/>
      <c r="I241" s="128"/>
      <c r="J241" s="126"/>
      <c r="K241" s="126"/>
      <c r="L241" s="126"/>
      <c r="M241" s="125"/>
      <c r="N241" s="126"/>
    </row>
    <row r="242" spans="1:14" x14ac:dyDescent="0.35">
      <c r="A242" s="126"/>
      <c r="B242" s="127"/>
      <c r="C242" s="126"/>
      <c r="D242" s="126"/>
      <c r="E242" s="128"/>
      <c r="F242" s="128"/>
      <c r="G242" s="128"/>
      <c r="H242" s="128"/>
      <c r="I242" s="128"/>
      <c r="J242" s="126"/>
      <c r="K242" s="126"/>
      <c r="L242" s="126"/>
      <c r="M242" s="125"/>
      <c r="N242" s="126"/>
    </row>
    <row r="243" spans="1:14" x14ac:dyDescent="0.35">
      <c r="A243" s="126"/>
      <c r="B243" s="127"/>
      <c r="C243" s="126"/>
      <c r="D243" s="126"/>
      <c r="E243" s="128"/>
      <c r="F243" s="128"/>
      <c r="G243" s="128"/>
      <c r="H243" s="128"/>
      <c r="I243" s="128"/>
      <c r="J243" s="126"/>
      <c r="K243" s="126"/>
      <c r="L243" s="126"/>
      <c r="M243" s="125"/>
      <c r="N243" s="126"/>
    </row>
    <row r="244" spans="1:14" x14ac:dyDescent="0.35">
      <c r="A244" s="126"/>
      <c r="B244" s="127"/>
      <c r="C244" s="126"/>
      <c r="D244" s="126"/>
      <c r="E244" s="128"/>
      <c r="F244" s="128"/>
      <c r="G244" s="128"/>
      <c r="H244" s="128"/>
      <c r="I244" s="128"/>
      <c r="J244" s="126"/>
      <c r="K244" s="126"/>
      <c r="L244" s="126"/>
      <c r="M244" s="125"/>
      <c r="N244" s="126"/>
    </row>
    <row r="245" spans="1:14" x14ac:dyDescent="0.35">
      <c r="A245" s="126"/>
      <c r="B245" s="127"/>
      <c r="C245" s="126"/>
      <c r="D245" s="126"/>
      <c r="E245" s="128"/>
      <c r="F245" s="128"/>
      <c r="G245" s="128"/>
      <c r="H245" s="128"/>
      <c r="I245" s="128"/>
      <c r="J245" s="126"/>
      <c r="K245" s="126"/>
      <c r="L245" s="126"/>
      <c r="M245" s="125"/>
      <c r="N245" s="126"/>
    </row>
    <row r="246" spans="1:14" x14ac:dyDescent="0.35">
      <c r="A246" s="126"/>
      <c r="B246" s="127"/>
      <c r="C246" s="126"/>
      <c r="D246" s="126"/>
      <c r="E246" s="128"/>
      <c r="F246" s="128"/>
      <c r="G246" s="128"/>
      <c r="H246" s="128"/>
      <c r="I246" s="128"/>
      <c r="J246" s="126"/>
      <c r="K246" s="126"/>
      <c r="L246" s="126"/>
      <c r="M246" s="125"/>
      <c r="N246" s="126"/>
    </row>
    <row r="247" spans="1:14" x14ac:dyDescent="0.35">
      <c r="A247" s="126"/>
      <c r="B247" s="127"/>
      <c r="C247" s="126"/>
      <c r="D247" s="126"/>
      <c r="E247" s="128"/>
      <c r="F247" s="128"/>
      <c r="G247" s="128"/>
      <c r="H247" s="128"/>
      <c r="I247" s="128"/>
      <c r="J247" s="126"/>
      <c r="K247" s="126"/>
      <c r="L247" s="126"/>
      <c r="M247" s="125"/>
      <c r="N247" s="126"/>
    </row>
    <row r="248" spans="1:14" x14ac:dyDescent="0.35">
      <c r="A248" s="126"/>
      <c r="B248" s="127"/>
      <c r="C248" s="126"/>
      <c r="D248" s="126"/>
      <c r="E248" s="128"/>
      <c r="F248" s="128"/>
      <c r="G248" s="128"/>
      <c r="H248" s="128"/>
      <c r="I248" s="128"/>
      <c r="J248" s="126"/>
      <c r="K248" s="126"/>
      <c r="L248" s="126"/>
      <c r="M248" s="125"/>
      <c r="N248" s="126"/>
    </row>
    <row r="249" spans="1:14" x14ac:dyDescent="0.35">
      <c r="A249" s="126"/>
      <c r="B249" s="127"/>
      <c r="C249" s="126"/>
      <c r="D249" s="126"/>
      <c r="E249" s="128"/>
      <c r="F249" s="128"/>
      <c r="G249" s="128"/>
      <c r="H249" s="128"/>
      <c r="I249" s="128"/>
      <c r="J249" s="126"/>
      <c r="K249" s="126"/>
      <c r="L249" s="126"/>
      <c r="M249" s="125"/>
      <c r="N249" s="126"/>
    </row>
    <row r="250" spans="1:14" x14ac:dyDescent="0.35">
      <c r="A250" s="126"/>
      <c r="B250" s="127"/>
      <c r="C250" s="126"/>
      <c r="D250" s="126"/>
      <c r="E250" s="128"/>
      <c r="F250" s="128"/>
      <c r="G250" s="128"/>
      <c r="H250" s="128"/>
      <c r="I250" s="128"/>
      <c r="J250" s="126"/>
      <c r="K250" s="126"/>
      <c r="L250" s="126"/>
      <c r="M250" s="125"/>
      <c r="N250" s="126"/>
    </row>
    <row r="251" spans="1:14" x14ac:dyDescent="0.35">
      <c r="A251" s="126"/>
      <c r="B251" s="127"/>
      <c r="C251" s="126"/>
      <c r="D251" s="126"/>
      <c r="E251" s="128"/>
      <c r="F251" s="128"/>
      <c r="G251" s="128"/>
      <c r="H251" s="128"/>
      <c r="I251" s="128"/>
      <c r="J251" s="126"/>
      <c r="K251" s="126"/>
      <c r="L251" s="126"/>
      <c r="M251" s="125"/>
      <c r="N251" s="126"/>
    </row>
    <row r="252" spans="1:14" x14ac:dyDescent="0.35">
      <c r="A252" s="126"/>
      <c r="B252" s="127"/>
      <c r="C252" s="126"/>
      <c r="D252" s="126"/>
      <c r="E252" s="128"/>
      <c r="F252" s="128"/>
      <c r="G252" s="128"/>
      <c r="H252" s="128"/>
      <c r="I252" s="128"/>
      <c r="J252" s="126"/>
      <c r="K252" s="126"/>
      <c r="L252" s="126"/>
      <c r="M252" s="125"/>
      <c r="N252" s="126"/>
    </row>
    <row r="253" spans="1:14" x14ac:dyDescent="0.35">
      <c r="A253" s="126"/>
      <c r="B253" s="127"/>
      <c r="C253" s="126"/>
      <c r="D253" s="126"/>
      <c r="E253" s="128"/>
      <c r="F253" s="128"/>
      <c r="G253" s="128"/>
      <c r="H253" s="128"/>
      <c r="I253" s="128"/>
      <c r="J253" s="126"/>
      <c r="K253" s="126"/>
      <c r="L253" s="126"/>
      <c r="M253" s="125"/>
      <c r="N253" s="126"/>
    </row>
    <row r="254" spans="1:14" x14ac:dyDescent="0.35">
      <c r="A254" s="126"/>
      <c r="B254" s="127"/>
      <c r="C254" s="126"/>
      <c r="D254" s="126"/>
      <c r="E254" s="128"/>
      <c r="F254" s="128"/>
      <c r="G254" s="128"/>
      <c r="H254" s="128"/>
      <c r="I254" s="128"/>
      <c r="J254" s="126"/>
      <c r="K254" s="126"/>
      <c r="L254" s="126"/>
      <c r="M254" s="125"/>
      <c r="N254" s="126"/>
    </row>
    <row r="255" spans="1:14" x14ac:dyDescent="0.35">
      <c r="A255" s="126"/>
      <c r="B255" s="127"/>
      <c r="C255" s="126"/>
      <c r="D255" s="126"/>
      <c r="E255" s="128"/>
      <c r="F255" s="128"/>
      <c r="G255" s="128"/>
      <c r="H255" s="128"/>
      <c r="I255" s="128"/>
      <c r="J255" s="126"/>
      <c r="K255" s="126"/>
      <c r="L255" s="126"/>
      <c r="M255" s="125"/>
      <c r="N255" s="126"/>
    </row>
    <row r="256" spans="1:14" x14ac:dyDescent="0.35">
      <c r="A256" s="126"/>
      <c r="B256" s="127"/>
      <c r="C256" s="126"/>
      <c r="D256" s="126"/>
      <c r="E256" s="128"/>
      <c r="F256" s="128"/>
      <c r="G256" s="128"/>
      <c r="H256" s="128"/>
      <c r="I256" s="128"/>
      <c r="J256" s="126"/>
      <c r="K256" s="126"/>
      <c r="L256" s="126"/>
      <c r="M256" s="125"/>
      <c r="N256" s="126"/>
    </row>
    <row r="257" spans="1:14" x14ac:dyDescent="0.35">
      <c r="A257" s="126"/>
      <c r="B257" s="127"/>
      <c r="C257" s="126"/>
      <c r="D257" s="126"/>
      <c r="E257" s="128"/>
      <c r="F257" s="128"/>
      <c r="G257" s="128"/>
      <c r="H257" s="128"/>
      <c r="I257" s="128"/>
      <c r="J257" s="126"/>
      <c r="K257" s="126"/>
      <c r="L257" s="126"/>
      <c r="M257" s="125"/>
      <c r="N257" s="126"/>
    </row>
    <row r="258" spans="1:14" x14ac:dyDescent="0.35">
      <c r="A258" s="126"/>
      <c r="B258" s="127"/>
      <c r="C258" s="126"/>
      <c r="D258" s="126"/>
      <c r="E258" s="128"/>
      <c r="F258" s="128"/>
      <c r="G258" s="128"/>
      <c r="H258" s="128"/>
      <c r="I258" s="128"/>
      <c r="J258" s="126"/>
      <c r="K258" s="126"/>
      <c r="L258" s="126"/>
      <c r="M258" s="125"/>
      <c r="N258" s="126"/>
    </row>
    <row r="259" spans="1:14" x14ac:dyDescent="0.35">
      <c r="A259" s="126"/>
      <c r="B259" s="127"/>
      <c r="C259" s="126"/>
      <c r="D259" s="126"/>
      <c r="E259" s="128"/>
      <c r="F259" s="128"/>
      <c r="G259" s="128"/>
      <c r="H259" s="128"/>
      <c r="I259" s="128"/>
      <c r="J259" s="126"/>
      <c r="K259" s="126"/>
      <c r="L259" s="126"/>
      <c r="M259" s="125"/>
      <c r="N259" s="126"/>
    </row>
    <row r="260" spans="1:14" x14ac:dyDescent="0.35">
      <c r="A260" s="126"/>
      <c r="B260" s="127"/>
      <c r="C260" s="126"/>
      <c r="D260" s="126"/>
      <c r="E260" s="128"/>
      <c r="F260" s="128"/>
      <c r="G260" s="128"/>
      <c r="H260" s="128"/>
      <c r="I260" s="128"/>
      <c r="J260" s="126"/>
      <c r="K260" s="126"/>
      <c r="L260" s="126"/>
      <c r="M260" s="125"/>
      <c r="N260" s="126"/>
    </row>
    <row r="261" spans="1:14" x14ac:dyDescent="0.35">
      <c r="A261" s="126"/>
      <c r="B261" s="127"/>
      <c r="C261" s="126"/>
      <c r="D261" s="126"/>
      <c r="E261" s="128"/>
      <c r="F261" s="128"/>
      <c r="G261" s="128"/>
      <c r="H261" s="128"/>
      <c r="I261" s="128"/>
      <c r="J261" s="126"/>
      <c r="K261" s="126"/>
      <c r="L261" s="126"/>
      <c r="M261" s="125"/>
      <c r="N261" s="126"/>
    </row>
    <row r="262" spans="1:14" x14ac:dyDescent="0.35">
      <c r="A262" s="126"/>
      <c r="B262" s="127"/>
      <c r="C262" s="126"/>
      <c r="D262" s="126"/>
      <c r="E262" s="128"/>
      <c r="F262" s="128"/>
      <c r="G262" s="128"/>
      <c r="H262" s="128"/>
      <c r="I262" s="128"/>
      <c r="J262" s="126"/>
      <c r="K262" s="126"/>
      <c r="L262" s="126"/>
      <c r="M262" s="125"/>
      <c r="N262" s="126"/>
    </row>
    <row r="263" spans="1:14" x14ac:dyDescent="0.35">
      <c r="A263" s="126"/>
      <c r="B263" s="127"/>
      <c r="C263" s="126"/>
      <c r="D263" s="126"/>
      <c r="E263" s="128"/>
      <c r="F263" s="128"/>
      <c r="G263" s="128"/>
      <c r="H263" s="128"/>
      <c r="I263" s="128"/>
      <c r="J263" s="126"/>
      <c r="K263" s="126"/>
      <c r="L263" s="126"/>
      <c r="M263" s="125"/>
      <c r="N263" s="126"/>
    </row>
    <row r="264" spans="1:14" x14ac:dyDescent="0.35">
      <c r="A264" s="126"/>
      <c r="B264" s="127"/>
      <c r="C264" s="126"/>
      <c r="D264" s="126"/>
      <c r="E264" s="128"/>
      <c r="F264" s="128"/>
      <c r="G264" s="128"/>
      <c r="H264" s="128"/>
      <c r="I264" s="128"/>
      <c r="J264" s="126"/>
      <c r="K264" s="126"/>
      <c r="L264" s="126"/>
      <c r="M264" s="125"/>
      <c r="N264" s="126"/>
    </row>
    <row r="265" spans="1:14" x14ac:dyDescent="0.35">
      <c r="A265" s="126"/>
      <c r="B265" s="127"/>
      <c r="C265" s="126"/>
      <c r="D265" s="126"/>
      <c r="E265" s="128"/>
      <c r="F265" s="128"/>
      <c r="G265" s="128"/>
      <c r="H265" s="128"/>
      <c r="I265" s="128"/>
      <c r="J265" s="126"/>
      <c r="K265" s="126"/>
      <c r="L265" s="126"/>
      <c r="M265" s="125"/>
      <c r="N265" s="126"/>
    </row>
    <row r="266" spans="1:14" x14ac:dyDescent="0.35">
      <c r="A266" s="126"/>
      <c r="B266" s="127"/>
      <c r="C266" s="126"/>
      <c r="D266" s="126"/>
      <c r="E266" s="128"/>
      <c r="F266" s="128"/>
      <c r="G266" s="128"/>
      <c r="H266" s="128"/>
      <c r="I266" s="128"/>
      <c r="J266" s="126"/>
      <c r="K266" s="126"/>
      <c r="L266" s="126"/>
      <c r="M266" s="125"/>
      <c r="N266" s="126"/>
    </row>
    <row r="267" spans="1:14" x14ac:dyDescent="0.35">
      <c r="A267" s="126"/>
      <c r="B267" s="127"/>
      <c r="C267" s="126"/>
      <c r="D267" s="126"/>
      <c r="E267" s="128"/>
      <c r="F267" s="128"/>
      <c r="G267" s="128"/>
      <c r="H267" s="128"/>
      <c r="I267" s="128"/>
      <c r="J267" s="126"/>
      <c r="K267" s="126"/>
      <c r="L267" s="126"/>
      <c r="M267" s="125"/>
      <c r="N267" s="126"/>
    </row>
    <row r="268" spans="1:14" x14ac:dyDescent="0.35">
      <c r="A268" s="126"/>
      <c r="B268" s="127"/>
      <c r="C268" s="126"/>
      <c r="D268" s="126"/>
      <c r="E268" s="128"/>
      <c r="F268" s="128"/>
      <c r="G268" s="128"/>
      <c r="H268" s="128"/>
      <c r="I268" s="128"/>
      <c r="J268" s="126"/>
      <c r="K268" s="126"/>
      <c r="L268" s="126"/>
      <c r="M268" s="125"/>
      <c r="N268" s="126"/>
    </row>
    <row r="269" spans="1:14" x14ac:dyDescent="0.35">
      <c r="A269" s="126"/>
      <c r="B269" s="127"/>
      <c r="C269" s="126"/>
      <c r="D269" s="126"/>
      <c r="E269" s="128"/>
      <c r="F269" s="128"/>
      <c r="G269" s="128"/>
      <c r="H269" s="128"/>
      <c r="I269" s="128"/>
      <c r="J269" s="126"/>
      <c r="K269" s="126"/>
      <c r="L269" s="126"/>
      <c r="M269" s="125"/>
      <c r="N269" s="126"/>
    </row>
    <row r="270" spans="1:14" x14ac:dyDescent="0.35">
      <c r="A270" s="126"/>
      <c r="B270" s="127"/>
      <c r="C270" s="126"/>
      <c r="D270" s="126"/>
      <c r="E270" s="128"/>
      <c r="F270" s="128"/>
      <c r="G270" s="128"/>
      <c r="H270" s="128"/>
      <c r="I270" s="128"/>
      <c r="J270" s="126"/>
      <c r="K270" s="126"/>
      <c r="L270" s="126"/>
      <c r="M270" s="125"/>
      <c r="N270" s="126"/>
    </row>
    <row r="271" spans="1:14" x14ac:dyDescent="0.35">
      <c r="A271" s="126"/>
      <c r="B271" s="127"/>
      <c r="C271" s="126"/>
      <c r="D271" s="126"/>
      <c r="E271" s="128"/>
      <c r="F271" s="128"/>
      <c r="G271" s="128"/>
      <c r="H271" s="128"/>
      <c r="I271" s="128"/>
      <c r="J271" s="126"/>
      <c r="K271" s="126"/>
      <c r="L271" s="126"/>
      <c r="M271" s="125"/>
      <c r="N271" s="126"/>
    </row>
    <row r="272" spans="1:14" x14ac:dyDescent="0.35">
      <c r="A272" s="126"/>
      <c r="B272" s="127"/>
      <c r="C272" s="126"/>
      <c r="D272" s="126"/>
      <c r="E272" s="128"/>
      <c r="F272" s="128"/>
      <c r="G272" s="128"/>
      <c r="H272" s="128"/>
      <c r="I272" s="128"/>
      <c r="J272" s="126"/>
      <c r="K272" s="126"/>
      <c r="L272" s="126"/>
      <c r="M272" s="125"/>
      <c r="N272" s="126"/>
    </row>
    <row r="273" spans="1:14" x14ac:dyDescent="0.35">
      <c r="A273" s="126"/>
      <c r="B273" s="127"/>
      <c r="C273" s="126"/>
      <c r="D273" s="126"/>
      <c r="E273" s="128"/>
      <c r="F273" s="128"/>
      <c r="G273" s="128"/>
      <c r="H273" s="128"/>
      <c r="I273" s="128"/>
      <c r="J273" s="126"/>
      <c r="K273" s="126"/>
      <c r="L273" s="126"/>
      <c r="M273" s="125"/>
      <c r="N273" s="126"/>
    </row>
    <row r="274" spans="1:14" x14ac:dyDescent="0.35">
      <c r="A274" s="126"/>
      <c r="B274" s="127"/>
      <c r="C274" s="126"/>
      <c r="D274" s="126"/>
      <c r="E274" s="128"/>
      <c r="F274" s="128"/>
      <c r="G274" s="128"/>
      <c r="H274" s="128"/>
      <c r="I274" s="128"/>
      <c r="J274" s="126"/>
      <c r="K274" s="126"/>
      <c r="L274" s="126"/>
      <c r="M274" s="125"/>
      <c r="N274" s="126"/>
    </row>
    <row r="275" spans="1:14" x14ac:dyDescent="0.35">
      <c r="A275" s="126"/>
      <c r="B275" s="127"/>
      <c r="C275" s="126"/>
      <c r="D275" s="126"/>
      <c r="E275" s="128"/>
      <c r="F275" s="128"/>
      <c r="G275" s="128"/>
      <c r="H275" s="128"/>
      <c r="I275" s="128"/>
      <c r="J275" s="126"/>
      <c r="K275" s="126"/>
      <c r="L275" s="126"/>
      <c r="M275" s="125"/>
      <c r="N275" s="126"/>
    </row>
    <row r="276" spans="1:14" x14ac:dyDescent="0.35">
      <c r="A276" s="126"/>
      <c r="B276" s="127"/>
      <c r="C276" s="126"/>
      <c r="D276" s="126"/>
      <c r="E276" s="128"/>
      <c r="F276" s="128"/>
      <c r="G276" s="128"/>
      <c r="H276" s="128"/>
      <c r="I276" s="128"/>
      <c r="J276" s="126"/>
      <c r="K276" s="126"/>
      <c r="L276" s="126"/>
      <c r="M276" s="125"/>
      <c r="N276" s="126"/>
    </row>
    <row r="277" spans="1:14" x14ac:dyDescent="0.35">
      <c r="A277" s="126"/>
      <c r="B277" s="127"/>
      <c r="C277" s="126"/>
      <c r="D277" s="126"/>
      <c r="E277" s="128"/>
      <c r="F277" s="128"/>
      <c r="G277" s="128"/>
      <c r="H277" s="128"/>
      <c r="I277" s="128"/>
      <c r="J277" s="126"/>
      <c r="K277" s="126"/>
      <c r="L277" s="126"/>
      <c r="M277" s="125"/>
      <c r="N277" s="126"/>
    </row>
    <row r="278" spans="1:14" x14ac:dyDescent="0.35">
      <c r="A278" s="126"/>
      <c r="B278" s="127"/>
      <c r="C278" s="126"/>
      <c r="D278" s="126"/>
      <c r="E278" s="128"/>
      <c r="F278" s="128"/>
      <c r="G278" s="128"/>
      <c r="H278" s="128"/>
      <c r="I278" s="128"/>
      <c r="J278" s="126"/>
      <c r="K278" s="126"/>
      <c r="L278" s="126"/>
      <c r="M278" s="125"/>
      <c r="N278" s="126"/>
    </row>
    <row r="279" spans="1:14" x14ac:dyDescent="0.35">
      <c r="A279" s="126"/>
      <c r="B279" s="127"/>
      <c r="C279" s="126"/>
      <c r="D279" s="126"/>
      <c r="E279" s="128"/>
      <c r="F279" s="128"/>
      <c r="G279" s="128"/>
      <c r="H279" s="128"/>
      <c r="I279" s="128"/>
      <c r="J279" s="126"/>
      <c r="K279" s="126"/>
      <c r="L279" s="126"/>
      <c r="M279" s="125"/>
      <c r="N279" s="126"/>
    </row>
    <row r="280" spans="1:14" x14ac:dyDescent="0.35">
      <c r="A280" s="126"/>
      <c r="B280" s="127"/>
      <c r="C280" s="126"/>
      <c r="D280" s="126"/>
      <c r="E280" s="128"/>
      <c r="F280" s="128"/>
      <c r="G280" s="128"/>
      <c r="H280" s="128"/>
      <c r="I280" s="128"/>
      <c r="J280" s="126"/>
      <c r="K280" s="126"/>
      <c r="L280" s="126"/>
      <c r="M280" s="125"/>
      <c r="N280" s="126"/>
    </row>
    <row r="281" spans="1:14" x14ac:dyDescent="0.35">
      <c r="A281" s="126"/>
      <c r="B281" s="127"/>
      <c r="C281" s="126"/>
      <c r="D281" s="126"/>
      <c r="E281" s="128"/>
      <c r="F281" s="128"/>
      <c r="G281" s="128"/>
      <c r="H281" s="128"/>
      <c r="I281" s="128"/>
      <c r="J281" s="126"/>
      <c r="K281" s="126"/>
      <c r="L281" s="126"/>
      <c r="M281" s="125"/>
      <c r="N281" s="126"/>
    </row>
    <row r="282" spans="1:14" x14ac:dyDescent="0.35">
      <c r="A282" s="126"/>
      <c r="B282" s="127"/>
      <c r="C282" s="126"/>
      <c r="D282" s="126"/>
      <c r="E282" s="128"/>
      <c r="F282" s="128"/>
      <c r="G282" s="128"/>
      <c r="H282" s="128"/>
      <c r="I282" s="128"/>
      <c r="J282" s="126"/>
      <c r="K282" s="126"/>
      <c r="L282" s="126"/>
      <c r="M282" s="125"/>
      <c r="N282" s="126"/>
    </row>
    <row r="283" spans="1:14" x14ac:dyDescent="0.35">
      <c r="A283" s="126"/>
      <c r="B283" s="127"/>
      <c r="C283" s="126"/>
      <c r="D283" s="126"/>
      <c r="E283" s="128"/>
      <c r="F283" s="128"/>
      <c r="G283" s="128"/>
      <c r="H283" s="128"/>
      <c r="I283" s="128"/>
      <c r="J283" s="126"/>
      <c r="K283" s="126"/>
      <c r="L283" s="126"/>
      <c r="M283" s="125"/>
      <c r="N283" s="126"/>
    </row>
    <row r="284" spans="1:14" x14ac:dyDescent="0.35">
      <c r="A284" s="126"/>
      <c r="B284" s="127"/>
      <c r="C284" s="126"/>
      <c r="D284" s="126"/>
      <c r="E284" s="128"/>
      <c r="F284" s="128"/>
      <c r="G284" s="128"/>
      <c r="H284" s="128"/>
      <c r="I284" s="128"/>
      <c r="J284" s="126"/>
      <c r="K284" s="126"/>
      <c r="L284" s="126"/>
      <c r="M284" s="125"/>
      <c r="N284" s="126"/>
    </row>
    <row r="285" spans="1:14" x14ac:dyDescent="0.35">
      <c r="A285" s="126"/>
      <c r="B285" s="127"/>
      <c r="C285" s="126"/>
      <c r="D285" s="126"/>
      <c r="E285" s="128"/>
      <c r="F285" s="128"/>
      <c r="G285" s="128"/>
      <c r="H285" s="128"/>
      <c r="I285" s="128"/>
      <c r="J285" s="126"/>
      <c r="K285" s="126"/>
      <c r="L285" s="126"/>
      <c r="M285" s="125"/>
      <c r="N285" s="126"/>
    </row>
    <row r="286" spans="1:14" x14ac:dyDescent="0.35">
      <c r="A286" s="126"/>
      <c r="B286" s="127"/>
      <c r="C286" s="126"/>
      <c r="D286" s="126"/>
      <c r="E286" s="128"/>
      <c r="F286" s="128"/>
      <c r="G286" s="128"/>
      <c r="H286" s="128"/>
      <c r="I286" s="128"/>
      <c r="J286" s="126"/>
      <c r="K286" s="126"/>
      <c r="L286" s="126"/>
      <c r="M286" s="125"/>
      <c r="N286" s="126"/>
    </row>
    <row r="287" spans="1:14" x14ac:dyDescent="0.35">
      <c r="A287" s="126"/>
      <c r="B287" s="127"/>
      <c r="C287" s="126"/>
      <c r="D287" s="126"/>
      <c r="E287" s="128"/>
      <c r="F287" s="128"/>
      <c r="G287" s="128"/>
      <c r="H287" s="128"/>
      <c r="I287" s="128"/>
      <c r="J287" s="126"/>
      <c r="K287" s="126"/>
      <c r="L287" s="126"/>
      <c r="M287" s="125"/>
      <c r="N287" s="126"/>
    </row>
    <row r="288" spans="1:14" x14ac:dyDescent="0.35">
      <c r="A288" s="126"/>
      <c r="B288" s="127"/>
      <c r="C288" s="126"/>
      <c r="D288" s="126"/>
      <c r="E288" s="128"/>
      <c r="F288" s="128"/>
      <c r="G288" s="128"/>
      <c r="H288" s="128"/>
      <c r="I288" s="128"/>
      <c r="J288" s="126"/>
      <c r="K288" s="126"/>
      <c r="L288" s="126"/>
      <c r="M288" s="125"/>
      <c r="N288" s="126"/>
    </row>
    <row r="289" spans="1:14" x14ac:dyDescent="0.35">
      <c r="A289" s="126"/>
      <c r="B289" s="127"/>
      <c r="C289" s="126"/>
      <c r="D289" s="126"/>
      <c r="E289" s="128"/>
      <c r="F289" s="128"/>
      <c r="G289" s="128"/>
      <c r="H289" s="128"/>
      <c r="I289" s="128"/>
      <c r="J289" s="126"/>
      <c r="K289" s="126"/>
      <c r="L289" s="126"/>
      <c r="M289" s="125"/>
      <c r="N289" s="126"/>
    </row>
    <row r="290" spans="1:14" x14ac:dyDescent="0.35">
      <c r="A290" s="126"/>
      <c r="B290" s="127"/>
      <c r="C290" s="126"/>
      <c r="D290" s="126"/>
      <c r="E290" s="128"/>
      <c r="F290" s="128"/>
      <c r="G290" s="128"/>
      <c r="H290" s="128"/>
      <c r="I290" s="128"/>
      <c r="J290" s="126"/>
      <c r="K290" s="126"/>
      <c r="L290" s="126"/>
      <c r="M290" s="125"/>
      <c r="N290" s="126"/>
    </row>
    <row r="291" spans="1:14" x14ac:dyDescent="0.35">
      <c r="A291" s="126"/>
      <c r="B291" s="127"/>
      <c r="C291" s="126"/>
      <c r="D291" s="126"/>
      <c r="E291" s="128"/>
      <c r="F291" s="128"/>
      <c r="G291" s="128"/>
      <c r="H291" s="128"/>
      <c r="I291" s="128"/>
      <c r="J291" s="126"/>
      <c r="K291" s="126"/>
      <c r="L291" s="126"/>
      <c r="M291" s="125"/>
      <c r="N291" s="126"/>
    </row>
    <row r="292" spans="1:14" x14ac:dyDescent="0.35">
      <c r="A292" s="126"/>
      <c r="B292" s="127"/>
      <c r="C292" s="126"/>
      <c r="D292" s="126"/>
      <c r="E292" s="128"/>
      <c r="F292" s="128"/>
      <c r="G292" s="128"/>
      <c r="H292" s="128"/>
      <c r="I292" s="128"/>
      <c r="J292" s="126"/>
      <c r="K292" s="126"/>
      <c r="L292" s="126"/>
      <c r="M292" s="125"/>
      <c r="N292" s="126"/>
    </row>
    <row r="293" spans="1:14" x14ac:dyDescent="0.35">
      <c r="A293" s="126"/>
      <c r="B293" s="127"/>
      <c r="C293" s="126"/>
      <c r="D293" s="126"/>
      <c r="E293" s="128"/>
      <c r="F293" s="128"/>
      <c r="G293" s="128"/>
      <c r="H293" s="128"/>
      <c r="I293" s="128"/>
      <c r="J293" s="126"/>
      <c r="K293" s="126"/>
      <c r="L293" s="126"/>
      <c r="M293" s="125"/>
      <c r="N293" s="126"/>
    </row>
    <row r="294" spans="1:14" x14ac:dyDescent="0.35">
      <c r="A294" s="126"/>
      <c r="B294" s="127"/>
      <c r="C294" s="126"/>
      <c r="D294" s="126"/>
      <c r="E294" s="128"/>
      <c r="F294" s="128"/>
      <c r="G294" s="128"/>
      <c r="H294" s="128"/>
      <c r="I294" s="128"/>
      <c r="J294" s="126"/>
      <c r="K294" s="126"/>
      <c r="L294" s="126"/>
      <c r="M294" s="125"/>
      <c r="N294" s="126"/>
    </row>
    <row r="295" spans="1:14" x14ac:dyDescent="0.35">
      <c r="A295" s="126"/>
      <c r="B295" s="127"/>
      <c r="C295" s="126"/>
      <c r="D295" s="126"/>
      <c r="E295" s="128"/>
      <c r="F295" s="128"/>
      <c r="G295" s="128"/>
      <c r="H295" s="128"/>
      <c r="I295" s="128"/>
      <c r="J295" s="126"/>
      <c r="K295" s="126"/>
      <c r="L295" s="126"/>
      <c r="M295" s="125"/>
      <c r="N295" s="126"/>
    </row>
    <row r="296" spans="1:14" x14ac:dyDescent="0.35">
      <c r="A296" s="126"/>
      <c r="B296" s="127"/>
      <c r="C296" s="126"/>
      <c r="D296" s="126"/>
      <c r="E296" s="128"/>
      <c r="F296" s="128"/>
      <c r="G296" s="128"/>
      <c r="H296" s="128"/>
      <c r="I296" s="128"/>
      <c r="J296" s="126"/>
      <c r="K296" s="126"/>
      <c r="L296" s="126"/>
      <c r="M296" s="125"/>
      <c r="N296" s="126"/>
    </row>
    <row r="297" spans="1:14" x14ac:dyDescent="0.35">
      <c r="A297" s="126"/>
      <c r="B297" s="127"/>
      <c r="C297" s="126"/>
      <c r="D297" s="126"/>
      <c r="E297" s="128"/>
      <c r="F297" s="128"/>
      <c r="G297" s="128"/>
      <c r="H297" s="128"/>
      <c r="I297" s="128"/>
      <c r="J297" s="126"/>
      <c r="K297" s="126"/>
      <c r="L297" s="126"/>
      <c r="M297" s="125"/>
      <c r="N297" s="126"/>
    </row>
    <row r="298" spans="1:14" x14ac:dyDescent="0.35">
      <c r="A298" s="126"/>
      <c r="B298" s="127"/>
      <c r="C298" s="126"/>
      <c r="D298" s="126"/>
      <c r="E298" s="128"/>
      <c r="F298" s="128"/>
      <c r="G298" s="128"/>
      <c r="H298" s="128"/>
      <c r="I298" s="128"/>
      <c r="J298" s="126"/>
      <c r="K298" s="126"/>
      <c r="L298" s="126"/>
      <c r="M298" s="125"/>
      <c r="N298" s="126"/>
    </row>
    <row r="299" spans="1:14" x14ac:dyDescent="0.35">
      <c r="A299" s="126"/>
      <c r="B299" s="127"/>
      <c r="C299" s="126"/>
      <c r="D299" s="126"/>
      <c r="E299" s="128"/>
      <c r="F299" s="128"/>
      <c r="G299" s="128"/>
      <c r="H299" s="128"/>
      <c r="I299" s="128"/>
      <c r="J299" s="126"/>
      <c r="K299" s="126"/>
      <c r="L299" s="126"/>
      <c r="M299" s="125"/>
      <c r="N299" s="126"/>
    </row>
    <row r="300" spans="1:14" x14ac:dyDescent="0.35">
      <c r="A300" s="126"/>
      <c r="B300" s="127"/>
      <c r="C300" s="126"/>
      <c r="D300" s="126"/>
      <c r="E300" s="128"/>
      <c r="F300" s="128"/>
      <c r="G300" s="128"/>
      <c r="H300" s="128"/>
      <c r="I300" s="128"/>
      <c r="J300" s="126"/>
      <c r="K300" s="126"/>
      <c r="L300" s="126"/>
      <c r="M300" s="125"/>
      <c r="N300" s="126"/>
    </row>
    <row r="301" spans="1:14" x14ac:dyDescent="0.35">
      <c r="A301" s="126"/>
      <c r="B301" s="127"/>
      <c r="C301" s="126"/>
      <c r="D301" s="126"/>
      <c r="E301" s="128"/>
      <c r="F301" s="128"/>
      <c r="G301" s="128"/>
      <c r="H301" s="128"/>
      <c r="I301" s="128"/>
      <c r="J301" s="126"/>
      <c r="K301" s="126"/>
      <c r="L301" s="126"/>
      <c r="M301" s="125"/>
      <c r="N301" s="126"/>
    </row>
    <row r="302" spans="1:14" x14ac:dyDescent="0.35">
      <c r="A302" s="126"/>
      <c r="B302" s="127"/>
      <c r="C302" s="126"/>
      <c r="D302" s="126"/>
      <c r="E302" s="128"/>
      <c r="F302" s="128"/>
      <c r="G302" s="128"/>
      <c r="H302" s="128"/>
      <c r="I302" s="128"/>
      <c r="J302" s="126"/>
      <c r="K302" s="126"/>
      <c r="L302" s="126"/>
      <c r="M302" s="125"/>
      <c r="N302" s="126"/>
    </row>
    <row r="303" spans="1:14" x14ac:dyDescent="0.35">
      <c r="A303" s="126"/>
      <c r="B303" s="127"/>
      <c r="C303" s="126"/>
      <c r="D303" s="126"/>
      <c r="E303" s="128"/>
      <c r="F303" s="128"/>
      <c r="G303" s="128"/>
      <c r="H303" s="128"/>
      <c r="I303" s="128"/>
      <c r="J303" s="126"/>
      <c r="K303" s="126"/>
      <c r="L303" s="126"/>
      <c r="M303" s="125"/>
      <c r="N303" s="126"/>
    </row>
    <row r="304" spans="1:14" x14ac:dyDescent="0.35">
      <c r="A304" s="126"/>
      <c r="B304" s="127"/>
      <c r="C304" s="126"/>
      <c r="D304" s="126"/>
      <c r="E304" s="128"/>
      <c r="F304" s="128"/>
      <c r="G304" s="128"/>
      <c r="H304" s="128"/>
      <c r="I304" s="128"/>
      <c r="J304" s="126"/>
      <c r="K304" s="126"/>
      <c r="L304" s="126"/>
      <c r="M304" s="125"/>
      <c r="N304" s="126"/>
    </row>
    <row r="305" spans="1:14" x14ac:dyDescent="0.35">
      <c r="A305" s="126"/>
      <c r="B305" s="127"/>
      <c r="C305" s="126"/>
      <c r="D305" s="126"/>
      <c r="E305" s="128"/>
      <c r="F305" s="128"/>
      <c r="G305" s="128"/>
      <c r="H305" s="128"/>
      <c r="I305" s="128"/>
      <c r="J305" s="126"/>
      <c r="K305" s="126"/>
      <c r="L305" s="126"/>
      <c r="M305" s="125"/>
      <c r="N305" s="126"/>
    </row>
    <row r="306" spans="1:14" x14ac:dyDescent="0.35">
      <c r="A306" s="126"/>
      <c r="B306" s="127"/>
      <c r="C306" s="126"/>
      <c r="D306" s="126"/>
      <c r="E306" s="128"/>
      <c r="F306" s="128"/>
      <c r="G306" s="128"/>
      <c r="H306" s="128"/>
      <c r="I306" s="128"/>
      <c r="J306" s="126"/>
      <c r="K306" s="126"/>
      <c r="L306" s="126"/>
      <c r="M306" s="125"/>
      <c r="N306" s="126"/>
    </row>
    <row r="307" spans="1:14" x14ac:dyDescent="0.35">
      <c r="A307" s="126"/>
      <c r="B307" s="127"/>
      <c r="C307" s="126"/>
      <c r="D307" s="126"/>
      <c r="E307" s="128"/>
      <c r="F307" s="128"/>
      <c r="G307" s="128"/>
      <c r="H307" s="128"/>
      <c r="I307" s="128"/>
      <c r="J307" s="126"/>
      <c r="K307" s="126"/>
      <c r="L307" s="126"/>
      <c r="M307" s="125"/>
      <c r="N307" s="126"/>
    </row>
    <row r="308" spans="1:14" x14ac:dyDescent="0.35">
      <c r="A308" s="126"/>
      <c r="B308" s="127"/>
      <c r="C308" s="126"/>
      <c r="D308" s="126"/>
      <c r="E308" s="128"/>
      <c r="F308" s="128"/>
      <c r="G308" s="128"/>
      <c r="H308" s="128"/>
      <c r="I308" s="128"/>
      <c r="J308" s="126"/>
      <c r="K308" s="126"/>
      <c r="L308" s="126"/>
      <c r="M308" s="125"/>
      <c r="N308" s="126"/>
    </row>
    <row r="309" spans="1:14" x14ac:dyDescent="0.35">
      <c r="A309" s="126"/>
      <c r="B309" s="127"/>
      <c r="C309" s="126"/>
      <c r="D309" s="126"/>
      <c r="E309" s="128"/>
      <c r="F309" s="128"/>
      <c r="G309" s="128"/>
      <c r="H309" s="128"/>
      <c r="I309" s="128"/>
      <c r="J309" s="126"/>
      <c r="K309" s="126"/>
      <c r="L309" s="126"/>
      <c r="M309" s="125"/>
      <c r="N309" s="126"/>
    </row>
    <row r="310" spans="1:14" x14ac:dyDescent="0.35">
      <c r="A310" s="126"/>
      <c r="B310" s="127"/>
      <c r="C310" s="126"/>
      <c r="D310" s="126"/>
      <c r="E310" s="128"/>
      <c r="F310" s="128"/>
      <c r="G310" s="128"/>
      <c r="H310" s="128"/>
      <c r="I310" s="128"/>
      <c r="J310" s="126"/>
      <c r="K310" s="126"/>
      <c r="L310" s="126"/>
      <c r="M310" s="125"/>
      <c r="N310" s="126"/>
    </row>
    <row r="311" spans="1:14" x14ac:dyDescent="0.35">
      <c r="A311" s="126"/>
      <c r="B311" s="127"/>
      <c r="C311" s="126"/>
      <c r="D311" s="126"/>
      <c r="E311" s="128"/>
      <c r="F311" s="128"/>
      <c r="G311" s="128"/>
      <c r="H311" s="128"/>
      <c r="I311" s="128"/>
      <c r="J311" s="126"/>
      <c r="K311" s="126"/>
      <c r="L311" s="126"/>
      <c r="M311" s="125"/>
      <c r="N311" s="126"/>
    </row>
    <row r="312" spans="1:14" x14ac:dyDescent="0.35">
      <c r="A312" s="126"/>
      <c r="B312" s="127"/>
      <c r="C312" s="126"/>
      <c r="D312" s="126"/>
      <c r="E312" s="128"/>
      <c r="F312" s="128"/>
      <c r="G312" s="128"/>
      <c r="H312" s="128"/>
      <c r="I312" s="128"/>
      <c r="J312" s="126"/>
      <c r="K312" s="126"/>
      <c r="L312" s="126"/>
      <c r="M312" s="125"/>
      <c r="N312" s="126"/>
    </row>
    <row r="313" spans="1:14" x14ac:dyDescent="0.35">
      <c r="A313" s="126"/>
      <c r="B313" s="127"/>
      <c r="C313" s="126"/>
      <c r="D313" s="126"/>
      <c r="E313" s="128"/>
      <c r="F313" s="128"/>
      <c r="G313" s="128"/>
      <c r="H313" s="128"/>
      <c r="I313" s="128"/>
      <c r="J313" s="126"/>
      <c r="K313" s="126"/>
      <c r="L313" s="126"/>
      <c r="M313" s="125"/>
      <c r="N313" s="126"/>
    </row>
    <row r="314" spans="1:14" x14ac:dyDescent="0.35">
      <c r="A314" s="126"/>
      <c r="B314" s="127"/>
      <c r="C314" s="126"/>
      <c r="D314" s="126"/>
      <c r="E314" s="128"/>
      <c r="F314" s="128"/>
      <c r="G314" s="128"/>
      <c r="H314" s="128"/>
      <c r="I314" s="128"/>
      <c r="J314" s="126"/>
      <c r="K314" s="126"/>
      <c r="L314" s="126"/>
      <c r="M314" s="125"/>
      <c r="N314" s="126"/>
    </row>
    <row r="315" spans="1:14" x14ac:dyDescent="0.35">
      <c r="A315" s="126"/>
      <c r="B315" s="127"/>
      <c r="C315" s="126"/>
      <c r="D315" s="126"/>
      <c r="E315" s="128"/>
      <c r="F315" s="128"/>
      <c r="G315" s="128"/>
      <c r="H315" s="128"/>
      <c r="I315" s="128"/>
      <c r="J315" s="126"/>
      <c r="K315" s="126"/>
      <c r="L315" s="126"/>
      <c r="M315" s="125"/>
      <c r="N315" s="126"/>
    </row>
    <row r="316" spans="1:14" x14ac:dyDescent="0.35">
      <c r="A316" s="126"/>
      <c r="B316" s="127"/>
      <c r="C316" s="126"/>
      <c r="D316" s="126"/>
      <c r="E316" s="128"/>
      <c r="F316" s="128"/>
      <c r="G316" s="128"/>
      <c r="H316" s="128"/>
      <c r="I316" s="128"/>
      <c r="J316" s="126"/>
      <c r="K316" s="126"/>
      <c r="L316" s="126"/>
      <c r="M316" s="125"/>
      <c r="N316" s="126"/>
    </row>
    <row r="317" spans="1:14" x14ac:dyDescent="0.35">
      <c r="A317" s="126"/>
      <c r="B317" s="127"/>
      <c r="C317" s="126"/>
      <c r="D317" s="126"/>
      <c r="E317" s="128"/>
      <c r="F317" s="128"/>
      <c r="G317" s="128"/>
      <c r="H317" s="128"/>
      <c r="I317" s="128"/>
      <c r="J317" s="126"/>
      <c r="K317" s="126"/>
      <c r="L317" s="126"/>
      <c r="M317" s="125"/>
      <c r="N317" s="126"/>
    </row>
    <row r="318" spans="1:14" x14ac:dyDescent="0.35">
      <c r="A318" s="126"/>
      <c r="B318" s="127"/>
      <c r="C318" s="126"/>
      <c r="D318" s="126"/>
      <c r="E318" s="128"/>
      <c r="F318" s="128"/>
      <c r="G318" s="128"/>
      <c r="H318" s="128"/>
      <c r="I318" s="128"/>
      <c r="J318" s="126"/>
      <c r="K318" s="126"/>
      <c r="L318" s="126"/>
      <c r="M318" s="125"/>
      <c r="N318" s="126"/>
    </row>
    <row r="319" spans="1:14" x14ac:dyDescent="0.35">
      <c r="A319" s="126"/>
      <c r="B319" s="127"/>
      <c r="C319" s="126"/>
      <c r="D319" s="126"/>
      <c r="E319" s="128"/>
      <c r="F319" s="128"/>
      <c r="G319" s="128"/>
      <c r="H319" s="128"/>
      <c r="I319" s="128"/>
      <c r="J319" s="126"/>
      <c r="K319" s="126"/>
      <c r="L319" s="126"/>
      <c r="M319" s="125"/>
      <c r="N319" s="126"/>
    </row>
    <row r="320" spans="1:14" x14ac:dyDescent="0.35">
      <c r="A320" s="126"/>
      <c r="B320" s="127"/>
      <c r="C320" s="126"/>
      <c r="D320" s="126"/>
      <c r="E320" s="128"/>
      <c r="F320" s="128"/>
      <c r="G320" s="128"/>
      <c r="H320" s="128"/>
      <c r="I320" s="128"/>
      <c r="J320" s="126"/>
      <c r="K320" s="126"/>
      <c r="L320" s="126"/>
      <c r="M320" s="125"/>
      <c r="N320" s="126"/>
    </row>
    <row r="321" spans="1:14" x14ac:dyDescent="0.35">
      <c r="A321" s="126"/>
      <c r="B321" s="127"/>
      <c r="C321" s="126"/>
      <c r="D321" s="126"/>
      <c r="E321" s="128"/>
      <c r="F321" s="128"/>
      <c r="G321" s="128"/>
      <c r="H321" s="128"/>
      <c r="I321" s="128"/>
      <c r="J321" s="126"/>
      <c r="K321" s="126"/>
      <c r="L321" s="126"/>
      <c r="M321" s="125"/>
      <c r="N321" s="126"/>
    </row>
    <row r="322" spans="1:14" x14ac:dyDescent="0.35">
      <c r="A322" s="126"/>
      <c r="B322" s="127"/>
      <c r="C322" s="126"/>
      <c r="D322" s="126"/>
      <c r="E322" s="128"/>
      <c r="F322" s="128"/>
      <c r="G322" s="128"/>
      <c r="H322" s="128"/>
      <c r="I322" s="128"/>
      <c r="J322" s="126"/>
      <c r="K322" s="126"/>
      <c r="L322" s="126"/>
      <c r="M322" s="125"/>
      <c r="N322" s="126"/>
    </row>
    <row r="323" spans="1:14" x14ac:dyDescent="0.35">
      <c r="A323" s="126"/>
      <c r="B323" s="127"/>
      <c r="C323" s="126"/>
      <c r="D323" s="126"/>
      <c r="E323" s="128"/>
      <c r="F323" s="128"/>
      <c r="G323" s="128"/>
      <c r="H323" s="128"/>
      <c r="I323" s="128"/>
      <c r="J323" s="126"/>
      <c r="K323" s="126"/>
      <c r="L323" s="126"/>
      <c r="M323" s="125"/>
      <c r="N323" s="126"/>
    </row>
    <row r="324" spans="1:14" x14ac:dyDescent="0.35">
      <c r="A324" s="126"/>
      <c r="B324" s="127"/>
      <c r="C324" s="126"/>
      <c r="D324" s="126"/>
      <c r="E324" s="128"/>
      <c r="F324" s="128"/>
      <c r="G324" s="128"/>
      <c r="H324" s="128"/>
      <c r="I324" s="128"/>
      <c r="J324" s="126"/>
      <c r="K324" s="126"/>
      <c r="L324" s="126"/>
      <c r="M324" s="125"/>
      <c r="N324" s="126"/>
    </row>
    <row r="325" spans="1:14" x14ac:dyDescent="0.35">
      <c r="A325" s="126"/>
      <c r="B325" s="127"/>
      <c r="C325" s="126"/>
      <c r="D325" s="126"/>
      <c r="E325" s="128"/>
      <c r="F325" s="128"/>
      <c r="G325" s="128"/>
      <c r="H325" s="128"/>
      <c r="I325" s="128"/>
      <c r="J325" s="126"/>
      <c r="K325" s="126"/>
      <c r="L325" s="126"/>
      <c r="M325" s="125"/>
      <c r="N325" s="126"/>
    </row>
    <row r="326" spans="1:14" x14ac:dyDescent="0.35">
      <c r="A326" s="126"/>
      <c r="B326" s="127"/>
      <c r="C326" s="126"/>
      <c r="D326" s="126"/>
      <c r="E326" s="128"/>
      <c r="F326" s="128"/>
      <c r="G326" s="128"/>
      <c r="H326" s="128"/>
      <c r="I326" s="128"/>
      <c r="J326" s="126"/>
      <c r="K326" s="126"/>
      <c r="L326" s="126"/>
      <c r="M326" s="125"/>
      <c r="N326" s="126"/>
    </row>
    <row r="327" spans="1:14" x14ac:dyDescent="0.35">
      <c r="A327" s="126"/>
      <c r="B327" s="127"/>
      <c r="C327" s="126"/>
      <c r="D327" s="126"/>
      <c r="E327" s="128"/>
      <c r="F327" s="128"/>
      <c r="G327" s="128"/>
      <c r="H327" s="128"/>
      <c r="I327" s="128"/>
      <c r="J327" s="126"/>
      <c r="K327" s="126"/>
      <c r="L327" s="126"/>
      <c r="M327" s="125"/>
      <c r="N327" s="126"/>
    </row>
    <row r="328" spans="1:14" x14ac:dyDescent="0.35">
      <c r="A328" s="126"/>
      <c r="B328" s="127"/>
      <c r="C328" s="126"/>
      <c r="D328" s="126"/>
      <c r="E328" s="128"/>
      <c r="F328" s="128"/>
      <c r="G328" s="128"/>
      <c r="H328" s="128"/>
      <c r="I328" s="128"/>
      <c r="J328" s="126"/>
      <c r="K328" s="126"/>
      <c r="L328" s="126"/>
      <c r="M328" s="125"/>
      <c r="N328" s="126"/>
    </row>
    <row r="329" spans="1:14" x14ac:dyDescent="0.35">
      <c r="A329" s="126"/>
      <c r="B329" s="127"/>
      <c r="C329" s="126"/>
      <c r="D329" s="126"/>
      <c r="E329" s="128"/>
      <c r="F329" s="128"/>
      <c r="G329" s="128"/>
      <c r="H329" s="128"/>
      <c r="I329" s="128"/>
      <c r="J329" s="126"/>
      <c r="K329" s="126"/>
      <c r="L329" s="126"/>
      <c r="M329" s="125"/>
      <c r="N329" s="126"/>
    </row>
    <row r="330" spans="1:14" x14ac:dyDescent="0.35">
      <c r="A330" s="126"/>
      <c r="B330" s="127"/>
      <c r="C330" s="126"/>
      <c r="D330" s="126"/>
      <c r="E330" s="128"/>
      <c r="F330" s="128"/>
      <c r="G330" s="128"/>
      <c r="H330" s="128"/>
      <c r="I330" s="128"/>
      <c r="J330" s="126"/>
      <c r="K330" s="126"/>
      <c r="L330" s="126"/>
      <c r="M330" s="125"/>
      <c r="N330" s="126"/>
    </row>
    <row r="331" spans="1:14" x14ac:dyDescent="0.35">
      <c r="A331" s="126"/>
      <c r="B331" s="127"/>
      <c r="C331" s="126"/>
      <c r="D331" s="126"/>
      <c r="E331" s="128"/>
      <c r="F331" s="128"/>
      <c r="G331" s="128"/>
      <c r="H331" s="128"/>
      <c r="I331" s="128"/>
      <c r="J331" s="126"/>
      <c r="K331" s="126"/>
      <c r="L331" s="126"/>
      <c r="M331" s="125"/>
      <c r="N331" s="126"/>
    </row>
    <row r="332" spans="1:14" x14ac:dyDescent="0.35">
      <c r="A332" s="126"/>
      <c r="B332" s="127"/>
      <c r="C332" s="126"/>
      <c r="D332" s="126"/>
      <c r="E332" s="128"/>
      <c r="F332" s="128"/>
      <c r="G332" s="128"/>
      <c r="H332" s="128"/>
      <c r="I332" s="128"/>
      <c r="J332" s="126"/>
      <c r="K332" s="126"/>
      <c r="L332" s="126"/>
      <c r="M332" s="125"/>
      <c r="N332" s="126"/>
    </row>
    <row r="333" spans="1:14" x14ac:dyDescent="0.35">
      <c r="A333" s="126"/>
      <c r="B333" s="127"/>
      <c r="C333" s="126"/>
      <c r="D333" s="126"/>
      <c r="E333" s="128"/>
      <c r="F333" s="128"/>
      <c r="G333" s="128"/>
      <c r="H333" s="128"/>
      <c r="I333" s="128"/>
      <c r="J333" s="126"/>
      <c r="K333" s="126"/>
      <c r="L333" s="126"/>
      <c r="M333" s="125"/>
      <c r="N333" s="126"/>
    </row>
    <row r="334" spans="1:14" x14ac:dyDescent="0.35">
      <c r="A334" s="126"/>
      <c r="B334" s="127"/>
      <c r="C334" s="126"/>
      <c r="D334" s="126"/>
      <c r="E334" s="128"/>
      <c r="F334" s="128"/>
      <c r="G334" s="128"/>
      <c r="H334" s="128"/>
      <c r="I334" s="128"/>
      <c r="J334" s="126"/>
      <c r="K334" s="126"/>
      <c r="L334" s="126"/>
      <c r="M334" s="125"/>
      <c r="N334" s="126"/>
    </row>
    <row r="335" spans="1:14" x14ac:dyDescent="0.35">
      <c r="A335" s="126"/>
      <c r="B335" s="127"/>
      <c r="C335" s="126"/>
      <c r="D335" s="126"/>
      <c r="E335" s="128"/>
      <c r="F335" s="128"/>
      <c r="G335" s="128"/>
      <c r="H335" s="128"/>
      <c r="I335" s="128"/>
      <c r="J335" s="126"/>
      <c r="K335" s="126"/>
      <c r="L335" s="126"/>
      <c r="M335" s="125"/>
      <c r="N335" s="126"/>
    </row>
    <row r="336" spans="1:14" x14ac:dyDescent="0.35">
      <c r="A336" s="126"/>
      <c r="B336" s="127"/>
      <c r="C336" s="126"/>
      <c r="D336" s="126"/>
      <c r="E336" s="128"/>
      <c r="F336" s="128"/>
      <c r="G336" s="128"/>
      <c r="H336" s="128"/>
      <c r="I336" s="128"/>
      <c r="J336" s="126"/>
      <c r="K336" s="126"/>
      <c r="L336" s="126"/>
      <c r="M336" s="125"/>
      <c r="N336" s="126"/>
    </row>
    <row r="337" spans="1:14" x14ac:dyDescent="0.35">
      <c r="A337" s="126"/>
      <c r="B337" s="127"/>
      <c r="C337" s="126"/>
      <c r="D337" s="126"/>
      <c r="E337" s="128"/>
      <c r="F337" s="128"/>
      <c r="G337" s="128"/>
      <c r="H337" s="128"/>
      <c r="I337" s="128"/>
      <c r="J337" s="126"/>
      <c r="K337" s="126"/>
      <c r="L337" s="126"/>
      <c r="M337" s="125"/>
      <c r="N337" s="126"/>
    </row>
    <row r="338" spans="1:14" x14ac:dyDescent="0.35">
      <c r="A338" s="126"/>
      <c r="B338" s="127"/>
      <c r="C338" s="126"/>
      <c r="D338" s="126"/>
      <c r="E338" s="128"/>
      <c r="F338" s="128"/>
      <c r="G338" s="128"/>
      <c r="H338" s="128"/>
      <c r="I338" s="128"/>
      <c r="J338" s="126"/>
      <c r="K338" s="126"/>
      <c r="L338" s="126"/>
      <c r="M338" s="125"/>
      <c r="N338" s="126"/>
    </row>
    <row r="339" spans="1:14" x14ac:dyDescent="0.35">
      <c r="A339" s="126"/>
      <c r="B339" s="127"/>
      <c r="C339" s="126"/>
      <c r="D339" s="126"/>
      <c r="E339" s="128"/>
      <c r="F339" s="128"/>
      <c r="G339" s="128"/>
      <c r="H339" s="128"/>
      <c r="I339" s="128"/>
      <c r="J339" s="126"/>
      <c r="K339" s="126"/>
      <c r="L339" s="126"/>
      <c r="M339" s="125"/>
      <c r="N339" s="126"/>
    </row>
    <row r="340" spans="1:14" x14ac:dyDescent="0.35">
      <c r="A340" s="126"/>
      <c r="B340" s="127"/>
      <c r="C340" s="126"/>
      <c r="D340" s="126"/>
      <c r="E340" s="128"/>
      <c r="F340" s="128"/>
      <c r="G340" s="128"/>
      <c r="H340" s="128"/>
      <c r="I340" s="128"/>
      <c r="J340" s="126"/>
      <c r="K340" s="126"/>
      <c r="L340" s="126"/>
      <c r="M340" s="125"/>
      <c r="N340" s="126"/>
    </row>
    <row r="341" spans="1:14" x14ac:dyDescent="0.35">
      <c r="A341" s="126"/>
      <c r="B341" s="127"/>
      <c r="C341" s="126"/>
      <c r="D341" s="126"/>
      <c r="E341" s="128"/>
      <c r="F341" s="128"/>
      <c r="G341" s="128"/>
      <c r="H341" s="128"/>
      <c r="I341" s="128"/>
      <c r="J341" s="126"/>
      <c r="K341" s="126"/>
      <c r="L341" s="126"/>
      <c r="M341" s="125"/>
      <c r="N341" s="126"/>
    </row>
    <row r="342" spans="1:14" x14ac:dyDescent="0.35">
      <c r="A342" s="126"/>
      <c r="B342" s="127"/>
      <c r="C342" s="126"/>
      <c r="D342" s="126"/>
      <c r="E342" s="128"/>
      <c r="F342" s="128"/>
      <c r="G342" s="128"/>
      <c r="H342" s="128"/>
      <c r="I342" s="128"/>
      <c r="J342" s="126"/>
      <c r="K342" s="126"/>
      <c r="L342" s="126"/>
      <c r="M342" s="125"/>
      <c r="N342" s="126"/>
    </row>
    <row r="343" spans="1:14" x14ac:dyDescent="0.35">
      <c r="A343" s="126"/>
      <c r="B343" s="127"/>
      <c r="C343" s="126"/>
      <c r="D343" s="126"/>
      <c r="E343" s="128"/>
      <c r="F343" s="128"/>
      <c r="G343" s="128"/>
      <c r="H343" s="128"/>
      <c r="I343" s="128"/>
      <c r="J343" s="126"/>
      <c r="K343" s="126"/>
      <c r="L343" s="126"/>
      <c r="M343" s="125"/>
      <c r="N343" s="126"/>
    </row>
    <row r="344" spans="1:14" x14ac:dyDescent="0.35">
      <c r="A344" s="126"/>
      <c r="B344" s="127"/>
      <c r="C344" s="126"/>
      <c r="D344" s="126"/>
      <c r="E344" s="128"/>
      <c r="F344" s="128"/>
      <c r="G344" s="128"/>
      <c r="H344" s="128"/>
      <c r="I344" s="128"/>
      <c r="J344" s="126"/>
      <c r="K344" s="126"/>
      <c r="L344" s="126"/>
      <c r="M344" s="125"/>
      <c r="N344" s="126"/>
    </row>
    <row r="345" spans="1:14" x14ac:dyDescent="0.35">
      <c r="A345" s="126"/>
      <c r="B345" s="127"/>
      <c r="C345" s="126"/>
      <c r="D345" s="126"/>
      <c r="E345" s="128"/>
      <c r="F345" s="128"/>
      <c r="G345" s="128"/>
      <c r="H345" s="128"/>
      <c r="I345" s="128"/>
      <c r="J345" s="126"/>
      <c r="K345" s="126"/>
      <c r="L345" s="126"/>
      <c r="M345" s="125"/>
      <c r="N345" s="126"/>
    </row>
    <row r="346" spans="1:14" x14ac:dyDescent="0.35">
      <c r="A346" s="126"/>
      <c r="B346" s="127"/>
      <c r="C346" s="126"/>
      <c r="D346" s="126"/>
      <c r="E346" s="128"/>
      <c r="F346" s="128"/>
      <c r="G346" s="128"/>
      <c r="H346" s="128"/>
      <c r="I346" s="128"/>
      <c r="J346" s="126"/>
      <c r="K346" s="126"/>
      <c r="L346" s="126"/>
      <c r="M346" s="125"/>
      <c r="N346" s="126"/>
    </row>
    <row r="347" spans="1:14" x14ac:dyDescent="0.35">
      <c r="A347" s="126"/>
      <c r="B347" s="127"/>
      <c r="C347" s="126"/>
      <c r="D347" s="126"/>
      <c r="E347" s="128"/>
      <c r="F347" s="128"/>
      <c r="G347" s="128"/>
      <c r="H347" s="128"/>
      <c r="I347" s="128"/>
      <c r="J347" s="126"/>
      <c r="K347" s="126"/>
      <c r="L347" s="126"/>
      <c r="M347" s="125"/>
      <c r="N347" s="126"/>
    </row>
    <row r="348" spans="1:14" x14ac:dyDescent="0.35">
      <c r="A348" s="126"/>
      <c r="B348" s="127"/>
      <c r="C348" s="126"/>
      <c r="D348" s="126"/>
      <c r="E348" s="128"/>
      <c r="F348" s="128"/>
      <c r="G348" s="128"/>
      <c r="H348" s="128"/>
      <c r="I348" s="128"/>
      <c r="J348" s="126"/>
      <c r="K348" s="126"/>
      <c r="L348" s="126"/>
      <c r="M348" s="125"/>
      <c r="N348" s="126"/>
    </row>
    <row r="349" spans="1:14" x14ac:dyDescent="0.35">
      <c r="A349" s="126"/>
      <c r="B349" s="127"/>
      <c r="C349" s="126"/>
      <c r="D349" s="126"/>
      <c r="E349" s="128"/>
      <c r="F349" s="128"/>
      <c r="G349" s="128"/>
      <c r="H349" s="128"/>
      <c r="I349" s="128"/>
      <c r="J349" s="126"/>
      <c r="K349" s="126"/>
      <c r="L349" s="126"/>
      <c r="M349" s="125"/>
      <c r="N349" s="126"/>
    </row>
    <row r="350" spans="1:14" x14ac:dyDescent="0.35">
      <c r="A350" s="126"/>
      <c r="B350" s="127"/>
      <c r="C350" s="126"/>
      <c r="D350" s="126"/>
      <c r="E350" s="128"/>
      <c r="F350" s="128"/>
      <c r="G350" s="128"/>
      <c r="H350" s="128"/>
      <c r="I350" s="128"/>
      <c r="J350" s="126"/>
      <c r="K350" s="126"/>
      <c r="L350" s="126"/>
      <c r="M350" s="125"/>
      <c r="N350" s="126"/>
    </row>
    <row r="351" spans="1:14" x14ac:dyDescent="0.35">
      <c r="A351" s="126"/>
      <c r="B351" s="127"/>
      <c r="C351" s="126"/>
      <c r="D351" s="126"/>
      <c r="E351" s="128"/>
      <c r="F351" s="128"/>
      <c r="G351" s="128"/>
      <c r="H351" s="128"/>
      <c r="I351" s="128"/>
      <c r="J351" s="126"/>
      <c r="K351" s="126"/>
      <c r="L351" s="126"/>
      <c r="M351" s="125"/>
      <c r="N351" s="126"/>
    </row>
    <row r="352" spans="1:14" x14ac:dyDescent="0.35">
      <c r="A352" s="126"/>
      <c r="B352" s="127"/>
      <c r="C352" s="126"/>
      <c r="D352" s="126"/>
      <c r="E352" s="128"/>
      <c r="F352" s="128"/>
      <c r="G352" s="128"/>
      <c r="H352" s="128"/>
      <c r="I352" s="128"/>
      <c r="J352" s="126"/>
      <c r="K352" s="126"/>
      <c r="L352" s="126"/>
      <c r="M352" s="125"/>
      <c r="N352" s="126"/>
    </row>
    <row r="353" spans="1:14" x14ac:dyDescent="0.35">
      <c r="A353" s="126"/>
      <c r="B353" s="127"/>
      <c r="C353" s="126"/>
      <c r="D353" s="126"/>
      <c r="E353" s="128"/>
      <c r="F353" s="128"/>
      <c r="G353" s="128"/>
      <c r="H353" s="128"/>
      <c r="I353" s="128"/>
      <c r="J353" s="126"/>
      <c r="K353" s="126"/>
      <c r="L353" s="126"/>
      <c r="M353" s="125"/>
      <c r="N353" s="126"/>
    </row>
    <row r="354" spans="1:14" x14ac:dyDescent="0.35">
      <c r="A354" s="126"/>
      <c r="B354" s="127"/>
      <c r="C354" s="126"/>
      <c r="D354" s="126"/>
      <c r="E354" s="128"/>
      <c r="F354" s="128"/>
      <c r="G354" s="128"/>
      <c r="H354" s="128"/>
      <c r="I354" s="128"/>
      <c r="J354" s="126"/>
      <c r="K354" s="126"/>
      <c r="L354" s="126"/>
      <c r="M354" s="125"/>
      <c r="N354" s="126"/>
    </row>
    <row r="355" spans="1:14" x14ac:dyDescent="0.35">
      <c r="A355" s="126"/>
      <c r="B355" s="127"/>
      <c r="C355" s="126"/>
      <c r="D355" s="126"/>
      <c r="E355" s="128"/>
      <c r="F355" s="128"/>
      <c r="G355" s="128"/>
      <c r="H355" s="128"/>
      <c r="I355" s="128"/>
      <c r="J355" s="126"/>
      <c r="K355" s="126"/>
      <c r="L355" s="126"/>
      <c r="M355" s="125"/>
      <c r="N355" s="126"/>
    </row>
    <row r="356" spans="1:14" x14ac:dyDescent="0.35">
      <c r="A356" s="126"/>
      <c r="B356" s="127"/>
      <c r="C356" s="126"/>
      <c r="D356" s="126"/>
      <c r="E356" s="128"/>
      <c r="F356" s="128"/>
      <c r="G356" s="128"/>
      <c r="H356" s="128"/>
      <c r="I356" s="128"/>
      <c r="J356" s="126"/>
      <c r="K356" s="126"/>
      <c r="L356" s="126"/>
      <c r="M356" s="125"/>
      <c r="N356" s="126"/>
    </row>
    <row r="357" spans="1:14" x14ac:dyDescent="0.35">
      <c r="A357" s="126"/>
      <c r="B357" s="127"/>
      <c r="C357" s="126"/>
      <c r="D357" s="126"/>
      <c r="E357" s="128"/>
      <c r="F357" s="128"/>
      <c r="G357" s="128"/>
      <c r="H357" s="128"/>
      <c r="I357" s="128"/>
      <c r="J357" s="126"/>
      <c r="K357" s="126"/>
      <c r="L357" s="126"/>
      <c r="M357" s="125"/>
      <c r="N357" s="126"/>
    </row>
    <row r="358" spans="1:14" x14ac:dyDescent="0.35">
      <c r="A358" s="126"/>
      <c r="B358" s="127"/>
      <c r="C358" s="126"/>
      <c r="D358" s="126"/>
      <c r="E358" s="128"/>
      <c r="F358" s="128"/>
      <c r="G358" s="128"/>
      <c r="H358" s="128"/>
      <c r="I358" s="128"/>
      <c r="J358" s="126"/>
      <c r="K358" s="126"/>
      <c r="L358" s="126"/>
      <c r="M358" s="125"/>
      <c r="N358" s="126"/>
    </row>
    <row r="359" spans="1:14" x14ac:dyDescent="0.35">
      <c r="A359" s="126"/>
      <c r="B359" s="127"/>
      <c r="C359" s="126"/>
      <c r="D359" s="126"/>
      <c r="E359" s="128"/>
      <c r="F359" s="128"/>
      <c r="G359" s="128"/>
      <c r="H359" s="128"/>
      <c r="I359" s="128"/>
      <c r="J359" s="126"/>
      <c r="K359" s="126"/>
      <c r="L359" s="126"/>
      <c r="M359" s="125"/>
      <c r="N359" s="126"/>
    </row>
    <row r="360" spans="1:14" x14ac:dyDescent="0.35">
      <c r="A360" s="126"/>
      <c r="B360" s="127"/>
      <c r="C360" s="126"/>
      <c r="D360" s="126"/>
      <c r="E360" s="128"/>
      <c r="F360" s="128"/>
      <c r="G360" s="128"/>
      <c r="H360" s="128"/>
      <c r="I360" s="128"/>
      <c r="J360" s="126"/>
      <c r="K360" s="126"/>
      <c r="L360" s="126"/>
      <c r="M360" s="125"/>
      <c r="N360" s="126"/>
    </row>
    <row r="361" spans="1:14" x14ac:dyDescent="0.35">
      <c r="A361" s="126"/>
      <c r="B361" s="127"/>
      <c r="C361" s="126"/>
      <c r="D361" s="126"/>
      <c r="E361" s="128"/>
      <c r="F361" s="128"/>
      <c r="G361" s="128"/>
      <c r="H361" s="128"/>
      <c r="I361" s="128"/>
      <c r="J361" s="126"/>
      <c r="K361" s="126"/>
      <c r="L361" s="126"/>
      <c r="M361" s="125"/>
      <c r="N361" s="126"/>
    </row>
    <row r="362" spans="1:14" x14ac:dyDescent="0.35">
      <c r="A362" s="126"/>
      <c r="B362" s="127"/>
      <c r="C362" s="126"/>
      <c r="D362" s="126"/>
      <c r="E362" s="128"/>
      <c r="F362" s="128"/>
      <c r="G362" s="128"/>
      <c r="H362" s="128"/>
      <c r="I362" s="128"/>
      <c r="J362" s="126"/>
      <c r="K362" s="126"/>
      <c r="L362" s="126"/>
      <c r="M362" s="125"/>
      <c r="N362" s="126"/>
    </row>
    <row r="363" spans="1:14" x14ac:dyDescent="0.35">
      <c r="A363" s="126"/>
      <c r="B363" s="127"/>
      <c r="C363" s="126"/>
      <c r="D363" s="126"/>
      <c r="E363" s="128"/>
      <c r="F363" s="128"/>
      <c r="G363" s="128"/>
      <c r="H363" s="128"/>
      <c r="I363" s="128"/>
      <c r="J363" s="126"/>
      <c r="K363" s="126"/>
      <c r="L363" s="126"/>
      <c r="M363" s="125"/>
      <c r="N363" s="126"/>
    </row>
    <row r="364" spans="1:14" x14ac:dyDescent="0.35">
      <c r="A364" s="126"/>
      <c r="B364" s="127"/>
      <c r="C364" s="126"/>
      <c r="D364" s="126"/>
      <c r="E364" s="128"/>
      <c r="F364" s="128"/>
      <c r="G364" s="128"/>
      <c r="H364" s="128"/>
      <c r="I364" s="128"/>
      <c r="J364" s="126"/>
      <c r="K364" s="126"/>
      <c r="L364" s="126"/>
      <c r="M364" s="125"/>
      <c r="N364" s="126"/>
    </row>
    <row r="365" spans="1:14" x14ac:dyDescent="0.35">
      <c r="A365" s="126"/>
      <c r="B365" s="127"/>
      <c r="C365" s="126"/>
      <c r="D365" s="126"/>
      <c r="E365" s="128"/>
      <c r="F365" s="128"/>
      <c r="G365" s="128"/>
      <c r="H365" s="128"/>
      <c r="I365" s="128"/>
      <c r="J365" s="126"/>
      <c r="K365" s="126"/>
      <c r="L365" s="126"/>
      <c r="M365" s="125"/>
      <c r="N365" s="126"/>
    </row>
    <row r="366" spans="1:14" x14ac:dyDescent="0.35">
      <c r="A366" s="126"/>
      <c r="B366" s="127"/>
      <c r="C366" s="126"/>
      <c r="D366" s="126"/>
      <c r="E366" s="128"/>
      <c r="F366" s="128"/>
      <c r="G366" s="128"/>
      <c r="H366" s="128"/>
      <c r="I366" s="128"/>
      <c r="J366" s="126"/>
      <c r="K366" s="126"/>
      <c r="L366" s="126"/>
      <c r="M366" s="125"/>
      <c r="N366" s="126"/>
    </row>
    <row r="367" spans="1:14" x14ac:dyDescent="0.35">
      <c r="A367" s="126"/>
      <c r="B367" s="127"/>
      <c r="C367" s="126"/>
      <c r="D367" s="126"/>
      <c r="E367" s="128"/>
      <c r="F367" s="128"/>
      <c r="G367" s="128"/>
      <c r="H367" s="128"/>
      <c r="I367" s="128"/>
      <c r="J367" s="126"/>
      <c r="K367" s="126"/>
      <c r="L367" s="126"/>
      <c r="M367" s="125"/>
      <c r="N367" s="126"/>
    </row>
    <row r="368" spans="1:14" x14ac:dyDescent="0.35">
      <c r="A368" s="126"/>
      <c r="B368" s="127"/>
      <c r="C368" s="126"/>
      <c r="D368" s="126"/>
      <c r="E368" s="128"/>
      <c r="F368" s="128"/>
      <c r="G368" s="128"/>
      <c r="H368" s="128"/>
      <c r="I368" s="128"/>
      <c r="J368" s="126"/>
      <c r="K368" s="126"/>
      <c r="L368" s="126"/>
      <c r="M368" s="125"/>
      <c r="N368" s="126"/>
    </row>
    <row r="369" spans="1:14" x14ac:dyDescent="0.35">
      <c r="A369" s="126"/>
      <c r="B369" s="127"/>
      <c r="C369" s="126"/>
      <c r="D369" s="126"/>
      <c r="E369" s="128"/>
      <c r="F369" s="128"/>
      <c r="G369" s="128"/>
      <c r="H369" s="128"/>
      <c r="I369" s="128"/>
      <c r="J369" s="126"/>
      <c r="K369" s="126"/>
      <c r="L369" s="126"/>
      <c r="M369" s="125"/>
      <c r="N369" s="126"/>
    </row>
    <row r="370" spans="1:14" x14ac:dyDescent="0.35">
      <c r="A370" s="126"/>
      <c r="B370" s="127"/>
      <c r="C370" s="126"/>
      <c r="D370" s="126"/>
      <c r="E370" s="128"/>
      <c r="F370" s="128"/>
      <c r="G370" s="128"/>
      <c r="H370" s="128"/>
      <c r="I370" s="128"/>
      <c r="J370" s="126"/>
      <c r="K370" s="126"/>
      <c r="L370" s="126"/>
      <c r="M370" s="125"/>
      <c r="N370" s="126"/>
    </row>
    <row r="371" spans="1:14" x14ac:dyDescent="0.35">
      <c r="A371" s="126"/>
      <c r="B371" s="127"/>
      <c r="C371" s="126"/>
      <c r="D371" s="126"/>
      <c r="E371" s="128"/>
      <c r="F371" s="128"/>
      <c r="G371" s="128"/>
      <c r="H371" s="128"/>
      <c r="I371" s="128"/>
      <c r="J371" s="126"/>
      <c r="K371" s="126"/>
      <c r="L371" s="126"/>
      <c r="M371" s="125"/>
      <c r="N371" s="126"/>
    </row>
    <row r="372" spans="1:14" x14ac:dyDescent="0.35">
      <c r="A372" s="126"/>
      <c r="B372" s="127"/>
      <c r="C372" s="126"/>
      <c r="D372" s="126"/>
      <c r="E372" s="128"/>
      <c r="F372" s="128"/>
      <c r="G372" s="128"/>
      <c r="H372" s="128"/>
      <c r="I372" s="128"/>
      <c r="J372" s="126"/>
      <c r="K372" s="126"/>
      <c r="L372" s="126"/>
      <c r="M372" s="125"/>
      <c r="N372" s="126"/>
    </row>
    <row r="373" spans="1:14" x14ac:dyDescent="0.35">
      <c r="A373" s="126"/>
      <c r="B373" s="127"/>
      <c r="C373" s="126"/>
      <c r="D373" s="126"/>
      <c r="E373" s="128"/>
      <c r="F373" s="128"/>
      <c r="G373" s="128"/>
      <c r="H373" s="128"/>
      <c r="I373" s="128"/>
      <c r="J373" s="126"/>
      <c r="K373" s="126"/>
      <c r="L373" s="126"/>
      <c r="M373" s="125"/>
      <c r="N373" s="126"/>
    </row>
    <row r="374" spans="1:14" x14ac:dyDescent="0.35">
      <c r="A374" s="126"/>
      <c r="B374" s="127"/>
      <c r="C374" s="126"/>
      <c r="D374" s="126"/>
      <c r="E374" s="128"/>
      <c r="F374" s="128"/>
      <c r="G374" s="128"/>
      <c r="H374" s="128"/>
      <c r="I374" s="128"/>
      <c r="J374" s="126"/>
      <c r="K374" s="126"/>
      <c r="L374" s="126"/>
      <c r="M374" s="125"/>
      <c r="N374" s="126"/>
    </row>
    <row r="375" spans="1:14" x14ac:dyDescent="0.35">
      <c r="A375" s="126"/>
      <c r="B375" s="127"/>
      <c r="C375" s="126"/>
      <c r="D375" s="126"/>
      <c r="E375" s="128"/>
      <c r="F375" s="128"/>
      <c r="G375" s="128"/>
      <c r="H375" s="128"/>
      <c r="I375" s="128"/>
      <c r="J375" s="126"/>
      <c r="K375" s="126"/>
      <c r="L375" s="126"/>
      <c r="M375" s="125"/>
      <c r="N375" s="126"/>
    </row>
    <row r="376" spans="1:14" x14ac:dyDescent="0.35">
      <c r="A376" s="126"/>
      <c r="B376" s="127"/>
      <c r="C376" s="126"/>
      <c r="D376" s="126"/>
      <c r="E376" s="128"/>
      <c r="F376" s="128"/>
      <c r="G376" s="128"/>
      <c r="H376" s="128"/>
      <c r="I376" s="128"/>
      <c r="J376" s="126"/>
      <c r="K376" s="126"/>
      <c r="L376" s="126"/>
      <c r="M376" s="125"/>
      <c r="N376" s="126"/>
    </row>
    <row r="377" spans="1:14" x14ac:dyDescent="0.35">
      <c r="A377" s="126"/>
      <c r="B377" s="127"/>
      <c r="C377" s="126"/>
      <c r="D377" s="126"/>
      <c r="E377" s="128"/>
      <c r="F377" s="128"/>
      <c r="G377" s="128"/>
      <c r="H377" s="128"/>
      <c r="I377" s="128"/>
      <c r="J377" s="126"/>
      <c r="K377" s="126"/>
      <c r="L377" s="126"/>
      <c r="M377" s="125"/>
      <c r="N377" s="126"/>
    </row>
    <row r="378" spans="1:14" x14ac:dyDescent="0.35">
      <c r="A378" s="126"/>
      <c r="B378" s="127"/>
      <c r="C378" s="126"/>
      <c r="D378" s="126"/>
      <c r="E378" s="128"/>
      <c r="F378" s="128"/>
      <c r="G378" s="128"/>
      <c r="H378" s="128"/>
      <c r="I378" s="128"/>
      <c r="J378" s="126"/>
      <c r="K378" s="126"/>
      <c r="L378" s="126"/>
      <c r="M378" s="125"/>
      <c r="N378" s="126"/>
    </row>
    <row r="379" spans="1:14" x14ac:dyDescent="0.35">
      <c r="A379" s="126"/>
      <c r="B379" s="127"/>
      <c r="C379" s="126"/>
      <c r="D379" s="126"/>
      <c r="E379" s="128"/>
      <c r="F379" s="128"/>
      <c r="G379" s="128"/>
      <c r="H379" s="128"/>
      <c r="I379" s="128"/>
      <c r="J379" s="126"/>
      <c r="K379" s="126"/>
      <c r="L379" s="126"/>
      <c r="M379" s="125"/>
      <c r="N379" s="126"/>
    </row>
    <row r="380" spans="1:14" x14ac:dyDescent="0.35">
      <c r="A380" s="126"/>
      <c r="B380" s="127"/>
      <c r="C380" s="126"/>
      <c r="D380" s="126"/>
      <c r="E380" s="128"/>
      <c r="F380" s="128"/>
      <c r="G380" s="128"/>
      <c r="H380" s="128"/>
      <c r="I380" s="128"/>
      <c r="J380" s="126"/>
      <c r="K380" s="126"/>
      <c r="L380" s="126"/>
      <c r="M380" s="125"/>
      <c r="N380" s="126"/>
    </row>
    <row r="381" spans="1:14" x14ac:dyDescent="0.35">
      <c r="A381" s="126"/>
      <c r="B381" s="127"/>
      <c r="C381" s="126"/>
      <c r="D381" s="126"/>
      <c r="E381" s="128"/>
      <c r="F381" s="128"/>
      <c r="G381" s="128"/>
      <c r="H381" s="128"/>
      <c r="I381" s="128"/>
      <c r="J381" s="126"/>
      <c r="K381" s="126"/>
      <c r="L381" s="126"/>
      <c r="M381" s="125"/>
      <c r="N381" s="126"/>
    </row>
    <row r="382" spans="1:14" x14ac:dyDescent="0.35">
      <c r="A382" s="126"/>
      <c r="B382" s="127"/>
      <c r="C382" s="126"/>
      <c r="D382" s="126"/>
      <c r="E382" s="128"/>
      <c r="F382" s="128"/>
      <c r="G382" s="128"/>
      <c r="H382" s="128"/>
      <c r="I382" s="128"/>
      <c r="J382" s="126"/>
      <c r="K382" s="126"/>
      <c r="L382" s="126"/>
      <c r="M382" s="125"/>
      <c r="N382" s="126"/>
    </row>
    <row r="383" spans="1:14" x14ac:dyDescent="0.35">
      <c r="A383" s="126"/>
      <c r="B383" s="127"/>
      <c r="C383" s="126"/>
      <c r="D383" s="126"/>
      <c r="E383" s="128"/>
      <c r="F383" s="128"/>
      <c r="G383" s="128"/>
      <c r="H383" s="128"/>
      <c r="I383" s="128"/>
      <c r="J383" s="126"/>
      <c r="K383" s="126"/>
      <c r="L383" s="126"/>
      <c r="M383" s="125"/>
      <c r="N383" s="126"/>
    </row>
    <row r="384" spans="1:14" x14ac:dyDescent="0.35">
      <c r="A384" s="126"/>
      <c r="B384" s="127"/>
      <c r="C384" s="126"/>
      <c r="D384" s="126"/>
      <c r="E384" s="128"/>
      <c r="F384" s="128"/>
      <c r="G384" s="128"/>
      <c r="H384" s="128"/>
      <c r="I384" s="128"/>
      <c r="J384" s="126"/>
      <c r="K384" s="126"/>
      <c r="L384" s="126"/>
      <c r="M384" s="125"/>
      <c r="N384" s="126"/>
    </row>
    <row r="385" spans="1:14" x14ac:dyDescent="0.35">
      <c r="A385" s="126"/>
      <c r="B385" s="127"/>
      <c r="C385" s="126"/>
      <c r="D385" s="126"/>
      <c r="E385" s="128"/>
      <c r="F385" s="128"/>
      <c r="G385" s="128"/>
      <c r="H385" s="128"/>
      <c r="I385" s="128"/>
      <c r="J385" s="126"/>
      <c r="K385" s="126"/>
      <c r="L385" s="126"/>
      <c r="M385" s="125"/>
      <c r="N385" s="126"/>
    </row>
    <row r="386" spans="1:14" x14ac:dyDescent="0.35">
      <c r="A386" s="126"/>
      <c r="B386" s="127"/>
      <c r="C386" s="126"/>
      <c r="D386" s="126"/>
      <c r="E386" s="128"/>
      <c r="F386" s="128"/>
      <c r="G386" s="128"/>
      <c r="H386" s="128"/>
      <c r="I386" s="128"/>
      <c r="J386" s="126"/>
      <c r="K386" s="126"/>
      <c r="L386" s="126"/>
      <c r="M386" s="125"/>
      <c r="N386" s="126"/>
    </row>
    <row r="387" spans="1:14" x14ac:dyDescent="0.35">
      <c r="A387" s="126"/>
      <c r="B387" s="127"/>
      <c r="C387" s="126"/>
      <c r="D387" s="126"/>
      <c r="E387" s="128"/>
      <c r="F387" s="128"/>
      <c r="G387" s="128"/>
      <c r="H387" s="128"/>
      <c r="I387" s="128"/>
      <c r="J387" s="126"/>
      <c r="K387" s="126"/>
      <c r="L387" s="126"/>
      <c r="M387" s="125"/>
      <c r="N387" s="126"/>
    </row>
    <row r="388" spans="1:14" x14ac:dyDescent="0.35">
      <c r="A388" s="126"/>
      <c r="B388" s="127"/>
      <c r="C388" s="126"/>
      <c r="D388" s="126"/>
      <c r="E388" s="128"/>
      <c r="F388" s="128"/>
      <c r="G388" s="128"/>
      <c r="H388" s="128"/>
      <c r="I388" s="128"/>
      <c r="J388" s="126"/>
      <c r="K388" s="126"/>
      <c r="L388" s="126"/>
      <c r="M388" s="125"/>
      <c r="N388" s="126"/>
    </row>
    <row r="389" spans="1:14" x14ac:dyDescent="0.35">
      <c r="A389" s="126"/>
      <c r="B389" s="127"/>
      <c r="C389" s="126"/>
      <c r="D389" s="126"/>
      <c r="E389" s="128"/>
      <c r="F389" s="128"/>
      <c r="G389" s="128"/>
      <c r="H389" s="128"/>
      <c r="I389" s="128"/>
      <c r="J389" s="126"/>
      <c r="K389" s="126"/>
      <c r="L389" s="126"/>
      <c r="M389" s="125"/>
      <c r="N389" s="126"/>
    </row>
    <row r="390" spans="1:14" x14ac:dyDescent="0.35">
      <c r="A390" s="126"/>
      <c r="B390" s="127"/>
      <c r="C390" s="126"/>
      <c r="D390" s="126"/>
      <c r="E390" s="128"/>
      <c r="F390" s="128"/>
      <c r="G390" s="128"/>
      <c r="H390" s="128"/>
      <c r="I390" s="128"/>
      <c r="J390" s="126"/>
      <c r="K390" s="126"/>
      <c r="L390" s="126"/>
      <c r="M390" s="125"/>
      <c r="N390" s="126"/>
    </row>
    <row r="391" spans="1:14" x14ac:dyDescent="0.35">
      <c r="A391" s="126"/>
      <c r="B391" s="127"/>
      <c r="C391" s="126"/>
      <c r="D391" s="126"/>
      <c r="E391" s="128"/>
      <c r="F391" s="128"/>
      <c r="G391" s="128"/>
      <c r="H391" s="128"/>
      <c r="I391" s="128"/>
      <c r="J391" s="126"/>
      <c r="K391" s="126"/>
      <c r="L391" s="126"/>
      <c r="M391" s="125"/>
      <c r="N391" s="126"/>
    </row>
    <row r="392" spans="1:14" x14ac:dyDescent="0.35">
      <c r="A392" s="126"/>
      <c r="B392" s="127"/>
      <c r="C392" s="126"/>
      <c r="D392" s="126"/>
      <c r="E392" s="128"/>
      <c r="F392" s="128"/>
      <c r="G392" s="128"/>
      <c r="H392" s="128"/>
      <c r="I392" s="128"/>
      <c r="J392" s="126"/>
      <c r="K392" s="126"/>
      <c r="L392" s="126"/>
      <c r="M392" s="125"/>
      <c r="N392" s="126"/>
    </row>
    <row r="393" spans="1:14" x14ac:dyDescent="0.35">
      <c r="A393" s="126"/>
      <c r="B393" s="127"/>
      <c r="C393" s="126"/>
      <c r="D393" s="126"/>
      <c r="E393" s="128"/>
      <c r="F393" s="128"/>
      <c r="G393" s="128"/>
      <c r="H393" s="128"/>
      <c r="I393" s="128"/>
      <c r="J393" s="126"/>
      <c r="K393" s="126"/>
      <c r="L393" s="126"/>
      <c r="M393" s="125"/>
      <c r="N393" s="126"/>
    </row>
    <row r="394" spans="1:14" x14ac:dyDescent="0.35">
      <c r="A394" s="126"/>
      <c r="B394" s="127"/>
      <c r="C394" s="126"/>
      <c r="D394" s="126"/>
      <c r="E394" s="128"/>
      <c r="F394" s="128"/>
      <c r="G394" s="128"/>
      <c r="H394" s="128"/>
      <c r="I394" s="128"/>
      <c r="J394" s="126"/>
      <c r="K394" s="126"/>
      <c r="L394" s="126"/>
      <c r="M394" s="125"/>
      <c r="N394" s="126"/>
    </row>
    <row r="395" spans="1:14" x14ac:dyDescent="0.35">
      <c r="A395" s="126"/>
      <c r="B395" s="127"/>
      <c r="C395" s="126"/>
      <c r="D395" s="126"/>
      <c r="E395" s="128"/>
      <c r="F395" s="128"/>
      <c r="G395" s="128"/>
      <c r="H395" s="128"/>
      <c r="I395" s="128"/>
      <c r="J395" s="126"/>
      <c r="K395" s="126"/>
      <c r="L395" s="126"/>
      <c r="M395" s="125"/>
      <c r="N395" s="126"/>
    </row>
    <row r="396" spans="1:14" x14ac:dyDescent="0.35">
      <c r="A396" s="126"/>
      <c r="B396" s="127"/>
      <c r="C396" s="126"/>
      <c r="D396" s="126"/>
      <c r="E396" s="128"/>
      <c r="F396" s="128"/>
      <c r="G396" s="128"/>
      <c r="H396" s="128"/>
      <c r="I396" s="128"/>
      <c r="J396" s="126"/>
      <c r="K396" s="126"/>
      <c r="L396" s="126"/>
      <c r="M396" s="125"/>
      <c r="N396" s="126"/>
    </row>
    <row r="397" spans="1:14" x14ac:dyDescent="0.35">
      <c r="A397" s="126"/>
      <c r="B397" s="127"/>
      <c r="C397" s="126"/>
      <c r="D397" s="126"/>
      <c r="E397" s="128"/>
      <c r="F397" s="128"/>
      <c r="G397" s="128"/>
      <c r="H397" s="128"/>
      <c r="I397" s="128"/>
      <c r="J397" s="126"/>
      <c r="K397" s="126"/>
      <c r="L397" s="126"/>
      <c r="M397" s="125"/>
      <c r="N397" s="126"/>
    </row>
    <row r="398" spans="1:14" x14ac:dyDescent="0.35">
      <c r="A398" s="126"/>
      <c r="B398" s="127"/>
      <c r="C398" s="126"/>
      <c r="D398" s="126"/>
      <c r="E398" s="128"/>
      <c r="F398" s="128"/>
      <c r="G398" s="128"/>
      <c r="H398" s="128"/>
      <c r="I398" s="128"/>
      <c r="J398" s="126"/>
      <c r="K398" s="126"/>
      <c r="L398" s="126"/>
      <c r="M398" s="125"/>
      <c r="N398" s="126"/>
    </row>
    <row r="399" spans="1:14" x14ac:dyDescent="0.35">
      <c r="A399" s="126"/>
      <c r="B399" s="127"/>
      <c r="C399" s="126"/>
      <c r="D399" s="126"/>
      <c r="E399" s="128"/>
      <c r="F399" s="128"/>
      <c r="G399" s="128"/>
      <c r="H399" s="128"/>
      <c r="I399" s="128"/>
      <c r="J399" s="126"/>
      <c r="K399" s="126"/>
      <c r="L399" s="126"/>
      <c r="M399" s="125"/>
      <c r="N399" s="126"/>
    </row>
    <row r="400" spans="1:14" x14ac:dyDescent="0.35">
      <c r="A400" s="126"/>
      <c r="B400" s="127"/>
      <c r="C400" s="126"/>
      <c r="D400" s="126"/>
      <c r="E400" s="128"/>
      <c r="F400" s="128"/>
      <c r="G400" s="128"/>
      <c r="H400" s="128"/>
      <c r="I400" s="128"/>
      <c r="J400" s="126"/>
      <c r="K400" s="126"/>
      <c r="L400" s="126"/>
      <c r="M400" s="125"/>
      <c r="N400" s="126"/>
    </row>
    <row r="401" spans="1:14" x14ac:dyDescent="0.35">
      <c r="A401" s="126"/>
      <c r="B401" s="127"/>
      <c r="C401" s="126"/>
      <c r="D401" s="126"/>
      <c r="E401" s="128"/>
      <c r="F401" s="128"/>
      <c r="G401" s="128"/>
      <c r="H401" s="128"/>
      <c r="I401" s="128"/>
      <c r="J401" s="126"/>
      <c r="K401" s="126"/>
      <c r="L401" s="126"/>
      <c r="M401" s="125"/>
      <c r="N401" s="126"/>
    </row>
    <row r="402" spans="1:14" x14ac:dyDescent="0.35">
      <c r="A402" s="126"/>
      <c r="B402" s="127"/>
      <c r="C402" s="126"/>
      <c r="D402" s="126"/>
      <c r="E402" s="128"/>
      <c r="F402" s="128"/>
      <c r="G402" s="128"/>
      <c r="H402" s="128"/>
      <c r="I402" s="128"/>
      <c r="J402" s="126"/>
      <c r="K402" s="126"/>
      <c r="L402" s="126"/>
      <c r="M402" s="125"/>
      <c r="N402" s="126"/>
    </row>
    <row r="403" spans="1:14" x14ac:dyDescent="0.35">
      <c r="A403" s="126"/>
      <c r="B403" s="127"/>
      <c r="C403" s="126"/>
      <c r="D403" s="126"/>
      <c r="E403" s="128"/>
      <c r="F403" s="128"/>
      <c r="G403" s="128"/>
      <c r="H403" s="128"/>
      <c r="I403" s="128"/>
      <c r="J403" s="126"/>
      <c r="K403" s="126"/>
      <c r="L403" s="126"/>
      <c r="M403" s="125"/>
      <c r="N403" s="126"/>
    </row>
    <row r="404" spans="1:14" x14ac:dyDescent="0.35">
      <c r="A404" s="126"/>
      <c r="B404" s="127"/>
      <c r="C404" s="126"/>
      <c r="D404" s="126"/>
      <c r="E404" s="128"/>
      <c r="F404" s="128"/>
      <c r="G404" s="128"/>
      <c r="H404" s="128"/>
      <c r="I404" s="128"/>
      <c r="J404" s="126"/>
      <c r="K404" s="126"/>
      <c r="L404" s="126"/>
      <c r="M404" s="125"/>
      <c r="N404" s="126"/>
    </row>
    <row r="405" spans="1:14" x14ac:dyDescent="0.35">
      <c r="A405" s="126"/>
      <c r="B405" s="127"/>
      <c r="C405" s="126"/>
      <c r="D405" s="126"/>
      <c r="E405" s="128"/>
      <c r="F405" s="128"/>
      <c r="G405" s="128"/>
      <c r="H405" s="128"/>
      <c r="I405" s="128"/>
      <c r="J405" s="126"/>
      <c r="K405" s="126"/>
      <c r="L405" s="126"/>
      <c r="M405" s="125"/>
      <c r="N405" s="126"/>
    </row>
    <row r="406" spans="1:14" x14ac:dyDescent="0.35">
      <c r="A406" s="126"/>
      <c r="B406" s="127"/>
      <c r="C406" s="126"/>
      <c r="D406" s="126"/>
      <c r="E406" s="128"/>
      <c r="F406" s="128"/>
      <c r="G406" s="128"/>
      <c r="H406" s="128"/>
      <c r="I406" s="128"/>
      <c r="J406" s="126"/>
      <c r="K406" s="126"/>
      <c r="L406" s="126"/>
      <c r="M406" s="125"/>
      <c r="N406" s="126"/>
    </row>
    <row r="407" spans="1:14" x14ac:dyDescent="0.35">
      <c r="A407" s="126"/>
      <c r="B407" s="127"/>
      <c r="C407" s="126"/>
      <c r="D407" s="126"/>
      <c r="E407" s="128"/>
      <c r="F407" s="128"/>
      <c r="G407" s="128"/>
      <c r="H407" s="128"/>
      <c r="I407" s="128"/>
      <c r="J407" s="126"/>
      <c r="K407" s="126"/>
      <c r="L407" s="126"/>
      <c r="M407" s="125"/>
      <c r="N407" s="126"/>
    </row>
    <row r="408" spans="1:14" x14ac:dyDescent="0.35">
      <c r="A408" s="126"/>
      <c r="B408" s="127"/>
      <c r="C408" s="126"/>
      <c r="D408" s="126"/>
      <c r="E408" s="128"/>
      <c r="F408" s="128"/>
      <c r="G408" s="128"/>
      <c r="H408" s="128"/>
      <c r="I408" s="128"/>
      <c r="J408" s="126"/>
      <c r="K408" s="126"/>
      <c r="L408" s="126"/>
      <c r="M408" s="125"/>
      <c r="N408" s="126"/>
    </row>
    <row r="409" spans="1:14" x14ac:dyDescent="0.35">
      <c r="A409" s="126"/>
      <c r="B409" s="127"/>
      <c r="C409" s="126"/>
      <c r="D409" s="126"/>
      <c r="E409" s="128"/>
      <c r="F409" s="128"/>
      <c r="G409" s="128"/>
      <c r="H409" s="128"/>
      <c r="I409" s="128"/>
      <c r="J409" s="126"/>
      <c r="K409" s="126"/>
      <c r="L409" s="126"/>
      <c r="M409" s="125"/>
      <c r="N409" s="126"/>
    </row>
    <row r="410" spans="1:14" x14ac:dyDescent="0.35">
      <c r="A410" s="126"/>
      <c r="B410" s="127"/>
      <c r="C410" s="126"/>
      <c r="D410" s="126"/>
      <c r="E410" s="128"/>
      <c r="F410" s="128"/>
      <c r="G410" s="128"/>
      <c r="H410" s="128"/>
      <c r="I410" s="128"/>
      <c r="J410" s="126"/>
      <c r="K410" s="126"/>
      <c r="L410" s="126"/>
      <c r="M410" s="125"/>
      <c r="N410" s="126"/>
    </row>
    <row r="411" spans="1:14" x14ac:dyDescent="0.35">
      <c r="A411" s="126"/>
      <c r="B411" s="127"/>
      <c r="C411" s="126"/>
      <c r="D411" s="126"/>
      <c r="E411" s="128"/>
      <c r="F411" s="128"/>
      <c r="G411" s="128"/>
      <c r="H411" s="128"/>
      <c r="I411" s="128"/>
      <c r="J411" s="126"/>
      <c r="K411" s="126"/>
      <c r="L411" s="126"/>
      <c r="M411" s="125"/>
      <c r="N411" s="126"/>
    </row>
    <row r="412" spans="1:14" x14ac:dyDescent="0.35">
      <c r="A412" s="126"/>
      <c r="B412" s="127"/>
      <c r="C412" s="126"/>
      <c r="D412" s="126"/>
      <c r="E412" s="128"/>
      <c r="F412" s="128"/>
      <c r="G412" s="128"/>
      <c r="H412" s="128"/>
      <c r="I412" s="128"/>
      <c r="J412" s="126"/>
      <c r="K412" s="126"/>
      <c r="L412" s="126"/>
      <c r="M412" s="125"/>
      <c r="N412" s="126"/>
    </row>
    <row r="413" spans="1:14" x14ac:dyDescent="0.35">
      <c r="A413" s="126"/>
      <c r="B413" s="127"/>
      <c r="C413" s="126"/>
      <c r="D413" s="126"/>
      <c r="E413" s="128"/>
      <c r="F413" s="128"/>
      <c r="G413" s="128"/>
      <c r="H413" s="128"/>
      <c r="I413" s="128"/>
      <c r="J413" s="126"/>
      <c r="K413" s="126"/>
      <c r="L413" s="126"/>
      <c r="M413" s="125"/>
      <c r="N413" s="126"/>
    </row>
    <row r="414" spans="1:14" x14ac:dyDescent="0.35">
      <c r="A414" s="126"/>
      <c r="B414" s="127"/>
      <c r="C414" s="126"/>
      <c r="D414" s="126"/>
      <c r="E414" s="128"/>
      <c r="F414" s="128"/>
      <c r="G414" s="128"/>
      <c r="H414" s="128"/>
      <c r="I414" s="128"/>
      <c r="J414" s="126"/>
      <c r="K414" s="126"/>
      <c r="L414" s="126"/>
      <c r="M414" s="125"/>
      <c r="N414" s="126"/>
    </row>
    <row r="415" spans="1:14" x14ac:dyDescent="0.35">
      <c r="A415" s="126"/>
      <c r="B415" s="127"/>
      <c r="C415" s="126"/>
      <c r="D415" s="126"/>
      <c r="E415" s="128"/>
      <c r="F415" s="128"/>
      <c r="G415" s="128"/>
      <c r="H415" s="128"/>
      <c r="I415" s="128"/>
      <c r="J415" s="126"/>
      <c r="K415" s="126"/>
      <c r="L415" s="126"/>
      <c r="M415" s="125"/>
      <c r="N415" s="126"/>
    </row>
    <row r="416" spans="1:14" x14ac:dyDescent="0.35">
      <c r="A416" s="126"/>
      <c r="B416" s="127"/>
      <c r="C416" s="126"/>
      <c r="D416" s="126"/>
      <c r="E416" s="128"/>
      <c r="F416" s="128"/>
      <c r="G416" s="128"/>
      <c r="H416" s="128"/>
      <c r="I416" s="128"/>
      <c r="J416" s="126"/>
      <c r="K416" s="126"/>
      <c r="L416" s="126"/>
      <c r="M416" s="125"/>
      <c r="N416" s="126"/>
    </row>
    <row r="417" spans="1:14" x14ac:dyDescent="0.35">
      <c r="A417" s="126"/>
      <c r="B417" s="127"/>
      <c r="C417" s="126"/>
      <c r="D417" s="126"/>
      <c r="E417" s="128"/>
      <c r="F417" s="128"/>
      <c r="G417" s="128"/>
      <c r="H417" s="128"/>
      <c r="I417" s="128"/>
      <c r="J417" s="126"/>
      <c r="K417" s="126"/>
      <c r="L417" s="126"/>
      <c r="M417" s="125"/>
      <c r="N417" s="126"/>
    </row>
    <row r="418" spans="1:14" x14ac:dyDescent="0.35">
      <c r="A418" s="126"/>
      <c r="B418" s="127"/>
      <c r="C418" s="126"/>
      <c r="D418" s="126"/>
      <c r="E418" s="128"/>
      <c r="F418" s="128"/>
      <c r="G418" s="128"/>
      <c r="H418" s="128"/>
      <c r="I418" s="128"/>
      <c r="J418" s="126"/>
      <c r="K418" s="126"/>
      <c r="L418" s="126"/>
      <c r="M418" s="125"/>
      <c r="N418" s="126"/>
    </row>
    <row r="419" spans="1:14" x14ac:dyDescent="0.35">
      <c r="A419" s="126"/>
      <c r="B419" s="127"/>
      <c r="C419" s="126"/>
      <c r="D419" s="126"/>
      <c r="E419" s="128"/>
      <c r="F419" s="128"/>
      <c r="G419" s="128"/>
      <c r="H419" s="128"/>
      <c r="I419" s="128"/>
      <c r="J419" s="126"/>
      <c r="K419" s="126"/>
      <c r="L419" s="126"/>
      <c r="M419" s="125"/>
      <c r="N419" s="126"/>
    </row>
    <row r="420" spans="1:14" x14ac:dyDescent="0.35">
      <c r="A420" s="126"/>
      <c r="B420" s="127"/>
      <c r="C420" s="126"/>
      <c r="D420" s="126"/>
      <c r="E420" s="128"/>
      <c r="F420" s="128"/>
      <c r="G420" s="128"/>
      <c r="H420" s="128"/>
      <c r="I420" s="128"/>
      <c r="J420" s="126"/>
      <c r="K420" s="126"/>
      <c r="L420" s="126"/>
      <c r="M420" s="125"/>
      <c r="N420" s="126"/>
    </row>
    <row r="421" spans="1:14" x14ac:dyDescent="0.35">
      <c r="A421" s="126"/>
      <c r="B421" s="127"/>
      <c r="C421" s="126"/>
      <c r="D421" s="126"/>
      <c r="E421" s="128"/>
      <c r="F421" s="128"/>
      <c r="G421" s="128"/>
      <c r="H421" s="128"/>
      <c r="I421" s="128"/>
      <c r="J421" s="126"/>
      <c r="K421" s="126"/>
      <c r="L421" s="126"/>
      <c r="M421" s="125"/>
      <c r="N421" s="126"/>
    </row>
    <row r="422" spans="1:14" x14ac:dyDescent="0.35">
      <c r="A422" s="126"/>
      <c r="B422" s="127"/>
      <c r="C422" s="126"/>
      <c r="D422" s="126"/>
      <c r="E422" s="128"/>
      <c r="F422" s="128"/>
      <c r="G422" s="128"/>
      <c r="H422" s="128"/>
      <c r="I422" s="128"/>
      <c r="J422" s="126"/>
      <c r="K422" s="126"/>
      <c r="L422" s="126"/>
      <c r="M422" s="125"/>
      <c r="N422" s="126"/>
    </row>
    <row r="423" spans="1:14" x14ac:dyDescent="0.35">
      <c r="A423" s="126"/>
      <c r="B423" s="127"/>
      <c r="C423" s="126"/>
      <c r="D423" s="126"/>
      <c r="E423" s="128"/>
      <c r="F423" s="128"/>
      <c r="G423" s="128"/>
      <c r="H423" s="128"/>
      <c r="I423" s="128"/>
      <c r="J423" s="126"/>
      <c r="K423" s="126"/>
      <c r="L423" s="126"/>
      <c r="M423" s="125"/>
      <c r="N423" s="126"/>
    </row>
    <row r="424" spans="1:14" x14ac:dyDescent="0.35">
      <c r="A424" s="126"/>
      <c r="B424" s="127"/>
      <c r="C424" s="126"/>
      <c r="D424" s="126"/>
      <c r="E424" s="128"/>
      <c r="F424" s="128"/>
      <c r="G424" s="128"/>
      <c r="H424" s="128"/>
      <c r="I424" s="128"/>
      <c r="J424" s="126"/>
      <c r="K424" s="126"/>
      <c r="L424" s="126"/>
      <c r="M424" s="125"/>
      <c r="N424" s="126"/>
    </row>
    <row r="425" spans="1:14" x14ac:dyDescent="0.35">
      <c r="A425" s="126"/>
      <c r="B425" s="127"/>
      <c r="C425" s="126"/>
      <c r="D425" s="126"/>
      <c r="E425" s="128"/>
      <c r="F425" s="128"/>
      <c r="G425" s="128"/>
      <c r="H425" s="128"/>
      <c r="I425" s="128"/>
      <c r="J425" s="126"/>
      <c r="K425" s="126"/>
      <c r="L425" s="126"/>
      <c r="M425" s="125"/>
      <c r="N425" s="126"/>
    </row>
    <row r="426" spans="1:14" x14ac:dyDescent="0.35">
      <c r="A426" s="126"/>
      <c r="B426" s="127"/>
      <c r="C426" s="126"/>
      <c r="D426" s="126"/>
      <c r="E426" s="128"/>
      <c r="F426" s="128"/>
      <c r="G426" s="128"/>
      <c r="H426" s="128"/>
      <c r="I426" s="128"/>
      <c r="J426" s="126"/>
      <c r="K426" s="126"/>
      <c r="L426" s="126"/>
      <c r="M426" s="125"/>
      <c r="N426" s="126"/>
    </row>
    <row r="427" spans="1:14" x14ac:dyDescent="0.35">
      <c r="A427" s="126"/>
      <c r="B427" s="127"/>
      <c r="C427" s="126"/>
      <c r="D427" s="126"/>
      <c r="E427" s="128"/>
      <c r="F427" s="128"/>
      <c r="G427" s="128"/>
      <c r="H427" s="128"/>
      <c r="I427" s="128"/>
      <c r="J427" s="126"/>
      <c r="K427" s="126"/>
      <c r="L427" s="126"/>
      <c r="M427" s="125"/>
      <c r="N427" s="126"/>
    </row>
    <row r="428" spans="1:14" x14ac:dyDescent="0.35">
      <c r="A428" s="126"/>
      <c r="B428" s="127"/>
      <c r="C428" s="126"/>
      <c r="D428" s="126"/>
      <c r="E428" s="128"/>
      <c r="F428" s="128"/>
      <c r="G428" s="128"/>
      <c r="H428" s="128"/>
      <c r="I428" s="128"/>
      <c r="J428" s="126"/>
      <c r="K428" s="126"/>
      <c r="L428" s="126"/>
      <c r="M428" s="125"/>
      <c r="N428" s="126"/>
    </row>
    <row r="429" spans="1:14" x14ac:dyDescent="0.35">
      <c r="A429" s="126"/>
      <c r="B429" s="127"/>
      <c r="C429" s="126"/>
      <c r="D429" s="126"/>
      <c r="E429" s="128"/>
      <c r="F429" s="128"/>
      <c r="G429" s="128"/>
      <c r="H429" s="128"/>
      <c r="I429" s="128"/>
      <c r="J429" s="126"/>
      <c r="K429" s="126"/>
      <c r="L429" s="126"/>
      <c r="M429" s="125"/>
      <c r="N429" s="126"/>
    </row>
    <row r="430" spans="1:14" x14ac:dyDescent="0.35">
      <c r="A430" s="126"/>
      <c r="B430" s="127"/>
      <c r="C430" s="126"/>
      <c r="D430" s="126"/>
      <c r="E430" s="128"/>
      <c r="F430" s="128"/>
      <c r="G430" s="128"/>
      <c r="H430" s="128"/>
      <c r="I430" s="128"/>
      <c r="J430" s="126"/>
      <c r="K430" s="126"/>
      <c r="L430" s="126"/>
      <c r="M430" s="125"/>
      <c r="N430" s="126"/>
    </row>
    <row r="431" spans="1:14" x14ac:dyDescent="0.35">
      <c r="A431" s="126"/>
      <c r="B431" s="127"/>
      <c r="C431" s="126"/>
      <c r="D431" s="126"/>
      <c r="E431" s="128"/>
      <c r="F431" s="128"/>
      <c r="G431" s="128"/>
      <c r="H431" s="128"/>
      <c r="I431" s="128"/>
      <c r="J431" s="126"/>
      <c r="K431" s="126"/>
      <c r="L431" s="126"/>
      <c r="M431" s="125"/>
      <c r="N431" s="126"/>
    </row>
    <row r="432" spans="1:14" x14ac:dyDescent="0.35">
      <c r="A432" s="126"/>
      <c r="B432" s="127"/>
      <c r="C432" s="126"/>
      <c r="D432" s="126"/>
      <c r="E432" s="128"/>
      <c r="F432" s="128"/>
      <c r="G432" s="128"/>
      <c r="H432" s="128"/>
      <c r="I432" s="128"/>
      <c r="J432" s="126"/>
      <c r="K432" s="126"/>
      <c r="L432" s="126"/>
      <c r="M432" s="125"/>
      <c r="N432" s="126"/>
    </row>
    <row r="433" spans="1:14" x14ac:dyDescent="0.35">
      <c r="A433" s="126"/>
      <c r="B433" s="127"/>
      <c r="C433" s="126"/>
      <c r="D433" s="126"/>
      <c r="E433" s="128"/>
      <c r="F433" s="128"/>
      <c r="G433" s="128"/>
      <c r="H433" s="128"/>
      <c r="I433" s="128"/>
      <c r="J433" s="126"/>
      <c r="K433" s="126"/>
      <c r="L433" s="126"/>
      <c r="M433" s="125"/>
      <c r="N433" s="126"/>
    </row>
    <row r="434" spans="1:14" x14ac:dyDescent="0.35">
      <c r="A434" s="126"/>
      <c r="B434" s="127"/>
      <c r="C434" s="126"/>
      <c r="D434" s="126"/>
      <c r="E434" s="128"/>
      <c r="F434" s="128"/>
      <c r="G434" s="128"/>
      <c r="H434" s="128"/>
      <c r="I434" s="128"/>
      <c r="J434" s="126"/>
      <c r="K434" s="126"/>
      <c r="L434" s="126"/>
      <c r="M434" s="125"/>
      <c r="N434" s="126"/>
    </row>
    <row r="435" spans="1:14" x14ac:dyDescent="0.35">
      <c r="A435" s="126"/>
      <c r="B435" s="127"/>
      <c r="C435" s="126"/>
      <c r="D435" s="126"/>
      <c r="E435" s="128"/>
      <c r="F435" s="128"/>
      <c r="G435" s="128"/>
      <c r="H435" s="128"/>
      <c r="I435" s="128"/>
      <c r="J435" s="126"/>
      <c r="K435" s="126"/>
      <c r="L435" s="126"/>
      <c r="M435" s="125"/>
      <c r="N435" s="126"/>
    </row>
    <row r="436" spans="1:14" x14ac:dyDescent="0.35">
      <c r="A436" s="126"/>
      <c r="B436" s="127"/>
      <c r="C436" s="126"/>
      <c r="D436" s="126"/>
      <c r="E436" s="128"/>
      <c r="F436" s="128"/>
      <c r="G436" s="128"/>
      <c r="H436" s="128"/>
      <c r="I436" s="128"/>
      <c r="J436" s="126"/>
      <c r="K436" s="126"/>
      <c r="L436" s="126"/>
      <c r="M436" s="125"/>
      <c r="N436" s="126"/>
    </row>
    <row r="437" spans="1:14" x14ac:dyDescent="0.35">
      <c r="A437" s="126"/>
      <c r="B437" s="127"/>
      <c r="C437" s="126"/>
      <c r="D437" s="126"/>
      <c r="E437" s="128"/>
      <c r="F437" s="128"/>
      <c r="G437" s="128"/>
      <c r="H437" s="128"/>
      <c r="I437" s="128"/>
      <c r="J437" s="126"/>
      <c r="K437" s="126"/>
      <c r="L437" s="126"/>
      <c r="M437" s="125"/>
      <c r="N437" s="126"/>
    </row>
    <row r="438" spans="1:14" x14ac:dyDescent="0.35">
      <c r="A438" s="126"/>
      <c r="B438" s="127"/>
      <c r="C438" s="126"/>
      <c r="D438" s="126"/>
      <c r="E438" s="128"/>
      <c r="F438" s="128"/>
      <c r="G438" s="128"/>
      <c r="H438" s="128"/>
      <c r="I438" s="128"/>
      <c r="J438" s="126"/>
      <c r="K438" s="126"/>
      <c r="L438" s="126"/>
      <c r="M438" s="125"/>
      <c r="N438" s="126"/>
    </row>
    <row r="439" spans="1:14" x14ac:dyDescent="0.35">
      <c r="A439" s="126"/>
      <c r="B439" s="127"/>
      <c r="C439" s="126"/>
      <c r="D439" s="126"/>
      <c r="E439" s="128"/>
      <c r="F439" s="128"/>
      <c r="G439" s="128"/>
      <c r="H439" s="128"/>
      <c r="I439" s="128"/>
      <c r="J439" s="126"/>
      <c r="K439" s="126"/>
      <c r="L439" s="126"/>
      <c r="M439" s="125"/>
      <c r="N439" s="126"/>
    </row>
    <row r="440" spans="1:14" x14ac:dyDescent="0.35">
      <c r="A440" s="126"/>
      <c r="B440" s="127"/>
      <c r="C440" s="126"/>
      <c r="D440" s="126"/>
      <c r="E440" s="128"/>
      <c r="F440" s="128"/>
      <c r="G440" s="128"/>
      <c r="H440" s="128"/>
      <c r="I440" s="128"/>
      <c r="J440" s="126"/>
      <c r="K440" s="126"/>
      <c r="L440" s="126"/>
      <c r="M440" s="125"/>
      <c r="N440" s="126"/>
    </row>
    <row r="441" spans="1:14" x14ac:dyDescent="0.35">
      <c r="A441" s="126"/>
      <c r="B441" s="127"/>
      <c r="C441" s="126"/>
      <c r="D441" s="126"/>
      <c r="E441" s="128"/>
      <c r="F441" s="128"/>
      <c r="G441" s="128"/>
      <c r="H441" s="128"/>
      <c r="I441" s="128"/>
      <c r="J441" s="126"/>
      <c r="K441" s="126"/>
      <c r="L441" s="126"/>
      <c r="M441" s="125"/>
      <c r="N441" s="126"/>
    </row>
    <row r="442" spans="1:14" x14ac:dyDescent="0.35">
      <c r="A442" s="126"/>
      <c r="B442" s="127"/>
      <c r="C442" s="126"/>
      <c r="D442" s="126"/>
      <c r="E442" s="128"/>
      <c r="F442" s="128"/>
      <c r="G442" s="128"/>
      <c r="H442" s="128"/>
      <c r="I442" s="128"/>
      <c r="J442" s="126"/>
      <c r="K442" s="126"/>
      <c r="L442" s="126"/>
      <c r="M442" s="125"/>
      <c r="N442" s="126"/>
    </row>
    <row r="443" spans="1:14" x14ac:dyDescent="0.35">
      <c r="A443" s="126"/>
      <c r="B443" s="127"/>
      <c r="C443" s="126"/>
      <c r="D443" s="126"/>
      <c r="E443" s="128"/>
      <c r="F443" s="128"/>
      <c r="G443" s="128"/>
      <c r="H443" s="128"/>
      <c r="I443" s="128"/>
      <c r="J443" s="126"/>
      <c r="K443" s="126"/>
      <c r="L443" s="126"/>
      <c r="M443" s="125"/>
      <c r="N443" s="126"/>
    </row>
    <row r="444" spans="1:14" x14ac:dyDescent="0.35">
      <c r="A444" s="126"/>
      <c r="B444" s="127"/>
      <c r="C444" s="126"/>
      <c r="D444" s="126"/>
      <c r="E444" s="128"/>
      <c r="F444" s="128"/>
      <c r="G444" s="128"/>
      <c r="H444" s="128"/>
      <c r="I444" s="128"/>
      <c r="J444" s="126"/>
      <c r="K444" s="126"/>
      <c r="L444" s="126"/>
      <c r="M444" s="125"/>
      <c r="N444" s="126"/>
    </row>
    <row r="445" spans="1:14" x14ac:dyDescent="0.35">
      <c r="A445" s="126"/>
      <c r="B445" s="127"/>
      <c r="C445" s="126"/>
      <c r="D445" s="126"/>
      <c r="E445" s="128"/>
      <c r="F445" s="128"/>
      <c r="G445" s="128"/>
      <c r="H445" s="128"/>
      <c r="I445" s="128"/>
      <c r="J445" s="126"/>
      <c r="K445" s="126"/>
      <c r="L445" s="126"/>
      <c r="M445" s="125"/>
      <c r="N445" s="126"/>
    </row>
    <row r="446" spans="1:14" x14ac:dyDescent="0.35">
      <c r="A446" s="126"/>
      <c r="B446" s="127"/>
      <c r="C446" s="126"/>
      <c r="D446" s="126"/>
      <c r="E446" s="128"/>
      <c r="F446" s="128"/>
      <c r="G446" s="128"/>
      <c r="H446" s="128"/>
      <c r="I446" s="128"/>
      <c r="J446" s="126"/>
      <c r="K446" s="126"/>
      <c r="L446" s="126"/>
      <c r="M446" s="125"/>
      <c r="N446" s="126"/>
    </row>
    <row r="447" spans="1:14" x14ac:dyDescent="0.35">
      <c r="A447" s="126"/>
      <c r="B447" s="127"/>
      <c r="C447" s="126"/>
      <c r="D447" s="126"/>
      <c r="E447" s="128"/>
      <c r="F447" s="128"/>
      <c r="G447" s="128"/>
      <c r="H447" s="128"/>
      <c r="I447" s="128"/>
      <c r="J447" s="126"/>
      <c r="K447" s="126"/>
      <c r="L447" s="126"/>
      <c r="M447" s="125"/>
      <c r="N447" s="126"/>
    </row>
    <row r="448" spans="1:14" x14ac:dyDescent="0.35">
      <c r="A448" s="126"/>
      <c r="B448" s="127"/>
      <c r="C448" s="126"/>
      <c r="D448" s="126"/>
      <c r="E448" s="128"/>
      <c r="F448" s="128"/>
      <c r="G448" s="128"/>
      <c r="H448" s="128"/>
      <c r="I448" s="128"/>
      <c r="J448" s="126"/>
      <c r="K448" s="126"/>
      <c r="L448" s="126"/>
      <c r="M448" s="125"/>
      <c r="N448" s="126"/>
    </row>
    <row r="449" spans="1:14" x14ac:dyDescent="0.35">
      <c r="A449" s="126"/>
      <c r="B449" s="127"/>
      <c r="C449" s="126"/>
      <c r="D449" s="126"/>
      <c r="E449" s="128"/>
      <c r="F449" s="128"/>
      <c r="G449" s="128"/>
      <c r="H449" s="128"/>
      <c r="I449" s="128"/>
      <c r="J449" s="126"/>
      <c r="K449" s="126"/>
      <c r="L449" s="126"/>
      <c r="M449" s="125"/>
      <c r="N449" s="126"/>
    </row>
    <row r="450" spans="1:14" x14ac:dyDescent="0.35">
      <c r="A450" s="126"/>
      <c r="B450" s="127"/>
      <c r="C450" s="126"/>
      <c r="D450" s="126"/>
      <c r="E450" s="128"/>
      <c r="F450" s="128"/>
      <c r="G450" s="128"/>
      <c r="H450" s="128"/>
      <c r="I450" s="128"/>
      <c r="J450" s="126"/>
      <c r="K450" s="126"/>
      <c r="L450" s="126"/>
      <c r="M450" s="125"/>
      <c r="N450" s="126"/>
    </row>
    <row r="451" spans="1:14" x14ac:dyDescent="0.35">
      <c r="A451" s="126"/>
      <c r="B451" s="127"/>
      <c r="C451" s="126"/>
      <c r="D451" s="126"/>
      <c r="E451" s="128"/>
      <c r="F451" s="128"/>
      <c r="G451" s="128"/>
      <c r="H451" s="128"/>
      <c r="I451" s="128"/>
      <c r="J451" s="126"/>
      <c r="K451" s="126"/>
      <c r="L451" s="126"/>
      <c r="M451" s="125"/>
      <c r="N451" s="126"/>
    </row>
    <row r="452" spans="1:14" x14ac:dyDescent="0.35">
      <c r="A452" s="126"/>
      <c r="B452" s="127"/>
      <c r="C452" s="126"/>
      <c r="D452" s="126"/>
      <c r="E452" s="128"/>
      <c r="F452" s="128"/>
      <c r="G452" s="128"/>
      <c r="H452" s="128"/>
      <c r="I452" s="128"/>
      <c r="J452" s="126"/>
      <c r="K452" s="126"/>
      <c r="L452" s="126"/>
      <c r="M452" s="125"/>
      <c r="N452" s="126"/>
    </row>
    <row r="453" spans="1:14" x14ac:dyDescent="0.35">
      <c r="A453" s="126"/>
      <c r="B453" s="127"/>
      <c r="C453" s="126"/>
      <c r="D453" s="126"/>
      <c r="E453" s="128"/>
      <c r="F453" s="128"/>
      <c r="G453" s="128"/>
      <c r="H453" s="128"/>
      <c r="I453" s="128"/>
      <c r="J453" s="126"/>
      <c r="K453" s="126"/>
      <c r="L453" s="126"/>
      <c r="M453" s="125"/>
      <c r="N453" s="126"/>
    </row>
    <row r="454" spans="1:14" x14ac:dyDescent="0.35">
      <c r="A454" s="126"/>
      <c r="B454" s="127"/>
      <c r="C454" s="126"/>
      <c r="D454" s="126"/>
      <c r="E454" s="128"/>
      <c r="F454" s="128"/>
      <c r="G454" s="128"/>
      <c r="H454" s="128"/>
      <c r="I454" s="128"/>
      <c r="J454" s="126"/>
      <c r="K454" s="126"/>
      <c r="L454" s="126"/>
      <c r="M454" s="125"/>
      <c r="N454" s="126"/>
    </row>
    <row r="455" spans="1:14" x14ac:dyDescent="0.35">
      <c r="A455" s="126"/>
      <c r="B455" s="127"/>
      <c r="C455" s="126"/>
      <c r="D455" s="126"/>
      <c r="E455" s="128"/>
      <c r="F455" s="128"/>
      <c r="G455" s="128"/>
      <c r="H455" s="128"/>
      <c r="I455" s="128"/>
      <c r="J455" s="126"/>
      <c r="K455" s="126"/>
      <c r="L455" s="126"/>
      <c r="M455" s="125"/>
      <c r="N455" s="126"/>
    </row>
    <row r="456" spans="1:14" x14ac:dyDescent="0.35">
      <c r="A456" s="126"/>
      <c r="B456" s="127"/>
      <c r="C456" s="126"/>
      <c r="D456" s="126"/>
      <c r="E456" s="128"/>
      <c r="F456" s="128"/>
      <c r="G456" s="128"/>
      <c r="H456" s="128"/>
      <c r="I456" s="128"/>
      <c r="J456" s="126"/>
      <c r="K456" s="126"/>
      <c r="L456" s="126"/>
      <c r="M456" s="125"/>
      <c r="N456" s="126"/>
    </row>
    <row r="457" spans="1:14" x14ac:dyDescent="0.35">
      <c r="A457" s="126"/>
      <c r="B457" s="127"/>
      <c r="C457" s="126"/>
      <c r="D457" s="126"/>
      <c r="E457" s="128"/>
      <c r="F457" s="128"/>
      <c r="G457" s="128"/>
      <c r="H457" s="128"/>
      <c r="I457" s="128"/>
      <c r="J457" s="126"/>
      <c r="K457" s="126"/>
      <c r="L457" s="126"/>
      <c r="M457" s="125"/>
      <c r="N457" s="126"/>
    </row>
    <row r="458" spans="1:14" x14ac:dyDescent="0.35">
      <c r="A458" s="126"/>
      <c r="B458" s="127"/>
      <c r="C458" s="126"/>
      <c r="D458" s="126"/>
      <c r="E458" s="128"/>
      <c r="F458" s="128"/>
      <c r="G458" s="128"/>
      <c r="H458" s="128"/>
      <c r="I458" s="128"/>
      <c r="J458" s="126"/>
      <c r="K458" s="126"/>
      <c r="L458" s="126"/>
      <c r="M458" s="125"/>
      <c r="N458" s="126"/>
    </row>
    <row r="459" spans="1:14" x14ac:dyDescent="0.35">
      <c r="A459" s="126"/>
      <c r="B459" s="127"/>
      <c r="C459" s="126"/>
      <c r="D459" s="126"/>
      <c r="E459" s="128"/>
      <c r="F459" s="128"/>
      <c r="G459" s="128"/>
      <c r="H459" s="128"/>
      <c r="I459" s="128"/>
      <c r="J459" s="126"/>
      <c r="K459" s="126"/>
      <c r="L459" s="126"/>
      <c r="M459" s="125"/>
      <c r="N459" s="126"/>
    </row>
    <row r="460" spans="1:14" x14ac:dyDescent="0.35">
      <c r="A460" s="126"/>
      <c r="B460" s="127"/>
      <c r="C460" s="126"/>
      <c r="D460" s="126"/>
      <c r="E460" s="128"/>
      <c r="F460" s="128"/>
      <c r="G460" s="128"/>
      <c r="H460" s="128"/>
      <c r="I460" s="128"/>
      <c r="J460" s="126"/>
      <c r="K460" s="126"/>
      <c r="L460" s="126"/>
      <c r="M460" s="125"/>
      <c r="N460" s="126"/>
    </row>
    <row r="461" spans="1:14" x14ac:dyDescent="0.35">
      <c r="A461" s="126"/>
      <c r="B461" s="127"/>
      <c r="C461" s="126"/>
      <c r="D461" s="126"/>
      <c r="E461" s="128"/>
      <c r="F461" s="128"/>
      <c r="G461" s="128"/>
      <c r="H461" s="128"/>
      <c r="I461" s="128"/>
      <c r="J461" s="126"/>
      <c r="K461" s="126"/>
      <c r="L461" s="126"/>
      <c r="M461" s="125"/>
      <c r="N461" s="126"/>
    </row>
    <row r="462" spans="1:14" x14ac:dyDescent="0.35">
      <c r="A462" s="126"/>
      <c r="B462" s="127"/>
      <c r="C462" s="126"/>
      <c r="D462" s="126"/>
      <c r="E462" s="128"/>
      <c r="F462" s="128"/>
      <c r="G462" s="128"/>
      <c r="H462" s="128"/>
      <c r="I462" s="128"/>
      <c r="J462" s="126"/>
      <c r="K462" s="126"/>
      <c r="L462" s="126"/>
      <c r="M462" s="125"/>
      <c r="N462" s="126"/>
    </row>
    <row r="463" spans="1:14" x14ac:dyDescent="0.35">
      <c r="A463" s="126"/>
      <c r="B463" s="127"/>
      <c r="C463" s="126"/>
      <c r="D463" s="126"/>
      <c r="E463" s="128"/>
      <c r="F463" s="128"/>
      <c r="G463" s="128"/>
      <c r="H463" s="128"/>
      <c r="I463" s="128"/>
      <c r="J463" s="126"/>
      <c r="K463" s="126"/>
      <c r="L463" s="126"/>
      <c r="M463" s="125"/>
      <c r="N463" s="126"/>
    </row>
    <row r="464" spans="1:14" x14ac:dyDescent="0.35">
      <c r="A464" s="126"/>
      <c r="B464" s="127"/>
      <c r="C464" s="126"/>
      <c r="D464" s="126"/>
      <c r="E464" s="128"/>
      <c r="F464" s="128"/>
      <c r="G464" s="128"/>
      <c r="H464" s="128"/>
      <c r="I464" s="128"/>
      <c r="J464" s="126"/>
      <c r="K464" s="126"/>
      <c r="L464" s="126"/>
      <c r="M464" s="125"/>
      <c r="N464" s="126"/>
    </row>
    <row r="465" spans="1:14" x14ac:dyDescent="0.35">
      <c r="A465" s="126"/>
      <c r="B465" s="127"/>
      <c r="C465" s="126"/>
      <c r="D465" s="126"/>
      <c r="E465" s="128"/>
      <c r="F465" s="128"/>
      <c r="G465" s="128"/>
      <c r="H465" s="128"/>
      <c r="I465" s="128"/>
      <c r="J465" s="126"/>
      <c r="K465" s="126"/>
      <c r="L465" s="126"/>
      <c r="M465" s="125"/>
      <c r="N465" s="126"/>
    </row>
    <row r="466" spans="1:14" x14ac:dyDescent="0.35">
      <c r="A466" s="126"/>
      <c r="B466" s="127"/>
      <c r="C466" s="126"/>
      <c r="D466" s="126"/>
      <c r="E466" s="128"/>
      <c r="F466" s="128"/>
      <c r="G466" s="128"/>
      <c r="H466" s="128"/>
      <c r="I466" s="128"/>
      <c r="J466" s="126"/>
      <c r="K466" s="126"/>
      <c r="L466" s="126"/>
      <c r="M466" s="125"/>
      <c r="N466" s="126"/>
    </row>
    <row r="467" spans="1:14" x14ac:dyDescent="0.35">
      <c r="A467" s="126"/>
      <c r="B467" s="127"/>
      <c r="C467" s="126"/>
      <c r="D467" s="126"/>
      <c r="E467" s="128"/>
      <c r="F467" s="128"/>
      <c r="G467" s="128"/>
      <c r="H467" s="128"/>
      <c r="I467" s="128"/>
      <c r="J467" s="126"/>
      <c r="K467" s="126"/>
      <c r="L467" s="126"/>
      <c r="M467" s="125"/>
      <c r="N467" s="126"/>
    </row>
    <row r="468" spans="1:14" x14ac:dyDescent="0.35">
      <c r="A468" s="126"/>
      <c r="B468" s="127"/>
      <c r="C468" s="126"/>
      <c r="D468" s="126"/>
      <c r="E468" s="128"/>
      <c r="F468" s="128"/>
      <c r="G468" s="128"/>
      <c r="H468" s="128"/>
      <c r="I468" s="128"/>
      <c r="J468" s="126"/>
      <c r="K468" s="126"/>
      <c r="L468" s="126"/>
      <c r="M468" s="125"/>
      <c r="N468" s="126"/>
    </row>
    <row r="469" spans="1:14" x14ac:dyDescent="0.35">
      <c r="A469" s="126"/>
      <c r="B469" s="127"/>
      <c r="C469" s="126"/>
      <c r="D469" s="126"/>
      <c r="E469" s="128"/>
      <c r="F469" s="128"/>
      <c r="G469" s="128"/>
      <c r="H469" s="128"/>
      <c r="I469" s="128"/>
      <c r="J469" s="126"/>
      <c r="K469" s="126"/>
      <c r="L469" s="126"/>
      <c r="M469" s="125"/>
      <c r="N469" s="126"/>
    </row>
    <row r="470" spans="1:14" x14ac:dyDescent="0.35">
      <c r="A470" s="126"/>
      <c r="B470" s="127"/>
      <c r="C470" s="126"/>
      <c r="D470" s="126"/>
      <c r="E470" s="128"/>
      <c r="F470" s="128"/>
      <c r="G470" s="128"/>
      <c r="H470" s="128"/>
      <c r="I470" s="128"/>
      <c r="J470" s="126"/>
      <c r="K470" s="126"/>
      <c r="L470" s="126"/>
      <c r="M470" s="125"/>
      <c r="N470" s="126"/>
    </row>
    <row r="471" spans="1:14" x14ac:dyDescent="0.35">
      <c r="A471" s="126"/>
      <c r="B471" s="127"/>
      <c r="C471" s="126"/>
      <c r="D471" s="126"/>
      <c r="E471" s="128"/>
      <c r="F471" s="128"/>
      <c r="G471" s="128"/>
      <c r="H471" s="128"/>
      <c r="I471" s="128"/>
      <c r="J471" s="126"/>
      <c r="K471" s="126"/>
      <c r="L471" s="126"/>
      <c r="M471" s="125"/>
      <c r="N471" s="126"/>
    </row>
    <row r="472" spans="1:14" x14ac:dyDescent="0.35">
      <c r="A472" s="126"/>
      <c r="B472" s="127"/>
      <c r="C472" s="126"/>
      <c r="D472" s="126"/>
      <c r="E472" s="128"/>
      <c r="F472" s="128"/>
      <c r="G472" s="128"/>
      <c r="H472" s="128"/>
      <c r="I472" s="128"/>
      <c r="J472" s="126"/>
      <c r="K472" s="126"/>
      <c r="L472" s="126"/>
      <c r="M472" s="125"/>
      <c r="N472" s="126"/>
    </row>
    <row r="473" spans="1:14" x14ac:dyDescent="0.35">
      <c r="A473" s="126"/>
      <c r="B473" s="127"/>
      <c r="C473" s="126"/>
      <c r="D473" s="126"/>
      <c r="E473" s="128"/>
      <c r="F473" s="128"/>
      <c r="G473" s="128"/>
      <c r="H473" s="128"/>
      <c r="I473" s="128"/>
      <c r="J473" s="126"/>
      <c r="K473" s="126"/>
      <c r="L473" s="126"/>
      <c r="M473" s="125"/>
      <c r="N473" s="126"/>
    </row>
    <row r="474" spans="1:14" x14ac:dyDescent="0.35">
      <c r="A474" s="126"/>
      <c r="B474" s="127"/>
      <c r="C474" s="126"/>
      <c r="D474" s="126"/>
      <c r="E474" s="128"/>
      <c r="F474" s="128"/>
      <c r="G474" s="128"/>
      <c r="H474" s="128"/>
      <c r="I474" s="128"/>
      <c r="J474" s="126"/>
      <c r="K474" s="126"/>
      <c r="L474" s="126"/>
      <c r="M474" s="125"/>
      <c r="N474" s="126"/>
    </row>
    <row r="475" spans="1:14" x14ac:dyDescent="0.35">
      <c r="A475" s="126"/>
      <c r="B475" s="127"/>
      <c r="C475" s="126"/>
      <c r="D475" s="126"/>
      <c r="E475" s="128"/>
      <c r="F475" s="128"/>
      <c r="G475" s="128"/>
      <c r="H475" s="128"/>
      <c r="I475" s="128"/>
      <c r="J475" s="126"/>
      <c r="K475" s="126"/>
      <c r="L475" s="126"/>
      <c r="M475" s="125"/>
      <c r="N475" s="126"/>
    </row>
    <row r="476" spans="1:14" x14ac:dyDescent="0.35">
      <c r="A476" s="126"/>
      <c r="B476" s="127"/>
      <c r="C476" s="126"/>
      <c r="D476" s="126"/>
      <c r="E476" s="128"/>
      <c r="F476" s="128"/>
      <c r="G476" s="128"/>
      <c r="H476" s="128"/>
      <c r="I476" s="128"/>
      <c r="J476" s="126"/>
      <c r="K476" s="126"/>
      <c r="L476" s="126"/>
      <c r="M476" s="125"/>
      <c r="N476" s="126"/>
    </row>
    <row r="477" spans="1:14" x14ac:dyDescent="0.35">
      <c r="A477" s="126"/>
      <c r="B477" s="127"/>
      <c r="C477" s="126"/>
      <c r="D477" s="126"/>
      <c r="E477" s="128"/>
      <c r="F477" s="128"/>
      <c r="G477" s="128"/>
      <c r="H477" s="128"/>
      <c r="I477" s="128"/>
      <c r="J477" s="126"/>
      <c r="K477" s="126"/>
      <c r="L477" s="126"/>
      <c r="M477" s="125"/>
      <c r="N477" s="126"/>
    </row>
    <row r="478" spans="1:14" x14ac:dyDescent="0.35">
      <c r="A478" s="126"/>
      <c r="B478" s="127"/>
      <c r="C478" s="126"/>
      <c r="D478" s="126"/>
      <c r="E478" s="128"/>
      <c r="F478" s="128"/>
      <c r="G478" s="128"/>
      <c r="H478" s="128"/>
      <c r="I478" s="128"/>
      <c r="J478" s="126"/>
      <c r="K478" s="126"/>
      <c r="L478" s="126"/>
      <c r="M478" s="125"/>
      <c r="N478" s="126"/>
    </row>
    <row r="479" spans="1:14" x14ac:dyDescent="0.35">
      <c r="A479" s="126"/>
      <c r="B479" s="127"/>
      <c r="C479" s="126"/>
      <c r="D479" s="126"/>
      <c r="E479" s="128"/>
      <c r="F479" s="128"/>
      <c r="G479" s="128"/>
      <c r="H479" s="128"/>
      <c r="I479" s="128"/>
      <c r="J479" s="126"/>
      <c r="K479" s="126"/>
      <c r="L479" s="126"/>
      <c r="M479" s="125"/>
      <c r="N479" s="126"/>
    </row>
    <row r="480" spans="1:14" x14ac:dyDescent="0.35">
      <c r="A480" s="126"/>
      <c r="B480" s="127"/>
      <c r="C480" s="126"/>
      <c r="D480" s="126"/>
      <c r="E480" s="128"/>
      <c r="F480" s="128"/>
      <c r="G480" s="128"/>
      <c r="H480" s="128"/>
      <c r="I480" s="128"/>
      <c r="J480" s="126"/>
      <c r="K480" s="126"/>
      <c r="L480" s="126"/>
      <c r="M480" s="125"/>
      <c r="N480" s="126"/>
    </row>
    <row r="481" spans="1:14" x14ac:dyDescent="0.35">
      <c r="A481" s="126"/>
      <c r="B481" s="127"/>
      <c r="C481" s="126"/>
      <c r="D481" s="126"/>
      <c r="E481" s="128"/>
      <c r="F481" s="128"/>
      <c r="G481" s="128"/>
      <c r="H481" s="128"/>
      <c r="I481" s="128"/>
      <c r="J481" s="126"/>
      <c r="K481" s="126"/>
      <c r="L481" s="126"/>
      <c r="M481" s="125"/>
      <c r="N481" s="126"/>
    </row>
    <row r="482" spans="1:14" x14ac:dyDescent="0.35">
      <c r="A482" s="126"/>
      <c r="B482" s="127"/>
      <c r="C482" s="126"/>
      <c r="D482" s="126"/>
      <c r="E482" s="128"/>
      <c r="F482" s="128"/>
      <c r="G482" s="128"/>
      <c r="H482" s="128"/>
      <c r="I482" s="128"/>
      <c r="J482" s="126"/>
      <c r="K482" s="126"/>
      <c r="L482" s="126"/>
      <c r="M482" s="125"/>
      <c r="N482" s="126"/>
    </row>
    <row r="483" spans="1:14" x14ac:dyDescent="0.35">
      <c r="A483" s="126"/>
      <c r="B483" s="127"/>
      <c r="C483" s="126"/>
      <c r="D483" s="126"/>
      <c r="E483" s="128"/>
      <c r="F483" s="128"/>
      <c r="G483" s="128"/>
      <c r="H483" s="128"/>
      <c r="I483" s="128"/>
      <c r="J483" s="126"/>
      <c r="K483" s="126"/>
      <c r="L483" s="126"/>
      <c r="M483" s="125"/>
      <c r="N483" s="126"/>
    </row>
    <row r="484" spans="1:14" x14ac:dyDescent="0.35">
      <c r="A484" s="126"/>
      <c r="B484" s="127"/>
      <c r="C484" s="126"/>
      <c r="D484" s="126"/>
      <c r="E484" s="128"/>
      <c r="F484" s="128"/>
      <c r="G484" s="128"/>
      <c r="H484" s="128"/>
      <c r="I484" s="128"/>
      <c r="J484" s="126"/>
      <c r="K484" s="126"/>
      <c r="L484" s="126"/>
      <c r="M484" s="125"/>
      <c r="N484" s="126"/>
    </row>
    <row r="485" spans="1:14" x14ac:dyDescent="0.35">
      <c r="A485" s="126"/>
      <c r="B485" s="127"/>
      <c r="C485" s="126"/>
      <c r="D485" s="126"/>
      <c r="E485" s="128"/>
      <c r="F485" s="128"/>
      <c r="G485" s="128"/>
      <c r="H485" s="128"/>
      <c r="I485" s="128"/>
      <c r="J485" s="126"/>
      <c r="K485" s="126"/>
      <c r="L485" s="126"/>
      <c r="M485" s="125"/>
      <c r="N485" s="126"/>
    </row>
    <row r="486" spans="1:14" x14ac:dyDescent="0.35">
      <c r="A486" s="126"/>
      <c r="B486" s="127"/>
      <c r="C486" s="126"/>
      <c r="D486" s="126"/>
      <c r="E486" s="128"/>
      <c r="F486" s="128"/>
      <c r="G486" s="128"/>
      <c r="H486" s="128"/>
      <c r="I486" s="128"/>
      <c r="J486" s="126"/>
      <c r="K486" s="126"/>
      <c r="L486" s="126"/>
      <c r="M486" s="125"/>
      <c r="N486" s="126"/>
    </row>
    <row r="487" spans="1:14" x14ac:dyDescent="0.35">
      <c r="A487" s="126"/>
      <c r="B487" s="127"/>
      <c r="C487" s="126"/>
      <c r="D487" s="126"/>
      <c r="E487" s="128"/>
      <c r="F487" s="128"/>
      <c r="G487" s="128"/>
      <c r="H487" s="128"/>
      <c r="I487" s="128"/>
      <c r="J487" s="126"/>
      <c r="K487" s="126"/>
      <c r="L487" s="126"/>
      <c r="M487" s="125"/>
      <c r="N487" s="126"/>
    </row>
    <row r="488" spans="1:14" x14ac:dyDescent="0.35">
      <c r="A488" s="126"/>
      <c r="B488" s="127"/>
      <c r="C488" s="126"/>
      <c r="D488" s="126"/>
      <c r="E488" s="128"/>
      <c r="F488" s="128"/>
      <c r="G488" s="128"/>
      <c r="H488" s="128"/>
      <c r="I488" s="128"/>
      <c r="J488" s="126"/>
      <c r="K488" s="126"/>
      <c r="L488" s="126"/>
      <c r="M488" s="125"/>
      <c r="N488" s="126"/>
    </row>
    <row r="489" spans="1:14" x14ac:dyDescent="0.35">
      <c r="A489" s="126"/>
      <c r="B489" s="127"/>
      <c r="C489" s="126"/>
      <c r="D489" s="126"/>
      <c r="E489" s="128"/>
      <c r="F489" s="128"/>
      <c r="G489" s="128"/>
      <c r="H489" s="128"/>
      <c r="I489" s="128"/>
      <c r="J489" s="126"/>
      <c r="K489" s="126"/>
      <c r="L489" s="126"/>
      <c r="M489" s="125"/>
      <c r="N489" s="126"/>
    </row>
    <row r="490" spans="1:14" x14ac:dyDescent="0.35">
      <c r="A490" s="126"/>
      <c r="B490" s="127"/>
      <c r="C490" s="126"/>
      <c r="D490" s="126"/>
      <c r="E490" s="128"/>
      <c r="F490" s="128"/>
      <c r="G490" s="128"/>
      <c r="H490" s="128"/>
      <c r="I490" s="128"/>
      <c r="J490" s="126"/>
      <c r="K490" s="126"/>
      <c r="L490" s="126"/>
      <c r="M490" s="125"/>
      <c r="N490" s="126"/>
    </row>
    <row r="491" spans="1:14" x14ac:dyDescent="0.35">
      <c r="A491" s="126"/>
      <c r="B491" s="127"/>
      <c r="C491" s="126"/>
      <c r="D491" s="126"/>
      <c r="E491" s="128"/>
      <c r="F491" s="128"/>
      <c r="G491" s="128"/>
      <c r="H491" s="128"/>
      <c r="I491" s="128"/>
      <c r="J491" s="126"/>
      <c r="K491" s="126"/>
      <c r="L491" s="126"/>
      <c r="M491" s="125"/>
      <c r="N491" s="126"/>
    </row>
    <row r="492" spans="1:14" x14ac:dyDescent="0.35">
      <c r="A492" s="126"/>
      <c r="B492" s="127"/>
      <c r="C492" s="126"/>
      <c r="D492" s="126"/>
      <c r="E492" s="128"/>
      <c r="F492" s="128"/>
      <c r="G492" s="128"/>
      <c r="H492" s="128"/>
      <c r="I492" s="128"/>
      <c r="J492" s="126"/>
      <c r="K492" s="126"/>
      <c r="L492" s="126"/>
      <c r="M492" s="125"/>
      <c r="N492" s="126"/>
    </row>
    <row r="493" spans="1:14" x14ac:dyDescent="0.35">
      <c r="A493" s="126"/>
      <c r="B493" s="127"/>
      <c r="C493" s="126"/>
      <c r="D493" s="126"/>
      <c r="E493" s="128"/>
      <c r="F493" s="128"/>
      <c r="G493" s="128"/>
      <c r="H493" s="128"/>
      <c r="I493" s="128"/>
      <c r="J493" s="126"/>
      <c r="K493" s="126"/>
      <c r="L493" s="126"/>
      <c r="M493" s="125"/>
      <c r="N493" s="126"/>
    </row>
    <row r="494" spans="1:14" x14ac:dyDescent="0.35">
      <c r="A494" s="126"/>
      <c r="B494" s="127"/>
      <c r="C494" s="126"/>
      <c r="D494" s="126"/>
      <c r="E494" s="128"/>
      <c r="F494" s="128"/>
      <c r="G494" s="128"/>
      <c r="H494" s="128"/>
      <c r="I494" s="128"/>
      <c r="J494" s="126"/>
      <c r="K494" s="126"/>
      <c r="L494" s="126"/>
      <c r="M494" s="125"/>
      <c r="N494" s="126"/>
    </row>
    <row r="495" spans="1:14" x14ac:dyDescent="0.35">
      <c r="A495" s="126"/>
      <c r="B495" s="127"/>
      <c r="C495" s="126"/>
      <c r="D495" s="126"/>
      <c r="E495" s="128"/>
      <c r="F495" s="128"/>
      <c r="G495" s="128"/>
      <c r="H495" s="128"/>
      <c r="I495" s="128"/>
      <c r="J495" s="126"/>
      <c r="K495" s="126"/>
      <c r="L495" s="126"/>
      <c r="M495" s="125"/>
      <c r="N495" s="126"/>
    </row>
    <row r="496" spans="1:14" x14ac:dyDescent="0.35">
      <c r="A496" s="126"/>
      <c r="B496" s="127"/>
      <c r="C496" s="126"/>
      <c r="D496" s="126"/>
      <c r="E496" s="128"/>
      <c r="F496" s="128"/>
      <c r="G496" s="128"/>
      <c r="H496" s="128"/>
      <c r="I496" s="128"/>
      <c r="J496" s="126"/>
      <c r="K496" s="126"/>
      <c r="L496" s="126"/>
      <c r="M496" s="125"/>
      <c r="N496" s="126"/>
    </row>
    <row r="497" spans="1:14" x14ac:dyDescent="0.35">
      <c r="A497" s="126"/>
      <c r="B497" s="127"/>
      <c r="C497" s="126"/>
      <c r="D497" s="126"/>
      <c r="E497" s="128"/>
      <c r="F497" s="128"/>
      <c r="G497" s="128"/>
      <c r="H497" s="128"/>
      <c r="I497" s="128"/>
      <c r="J497" s="126"/>
      <c r="K497" s="126"/>
      <c r="L497" s="126"/>
      <c r="M497" s="125"/>
      <c r="N497" s="126"/>
    </row>
    <row r="498" spans="1:14" x14ac:dyDescent="0.35">
      <c r="A498" s="126"/>
      <c r="B498" s="127"/>
      <c r="C498" s="126"/>
      <c r="D498" s="126"/>
      <c r="E498" s="128"/>
      <c r="F498" s="128"/>
      <c r="G498" s="128"/>
      <c r="H498" s="128"/>
      <c r="I498" s="128"/>
      <c r="J498" s="126"/>
      <c r="K498" s="126"/>
      <c r="L498" s="126"/>
      <c r="M498" s="125"/>
      <c r="N498" s="126"/>
    </row>
    <row r="499" spans="1:14" x14ac:dyDescent="0.35">
      <c r="A499" s="126"/>
      <c r="B499" s="127"/>
      <c r="C499" s="126"/>
      <c r="D499" s="126"/>
      <c r="E499" s="128"/>
      <c r="F499" s="128"/>
      <c r="G499" s="128"/>
      <c r="H499" s="128"/>
      <c r="I499" s="128"/>
      <c r="J499" s="126"/>
      <c r="K499" s="126"/>
      <c r="L499" s="126"/>
      <c r="M499" s="125"/>
      <c r="N499" s="126"/>
    </row>
    <row r="500" spans="1:14" x14ac:dyDescent="0.35">
      <c r="A500" s="126"/>
      <c r="B500" s="127"/>
      <c r="C500" s="126"/>
      <c r="D500" s="126"/>
      <c r="E500" s="128"/>
      <c r="F500" s="128"/>
      <c r="G500" s="128"/>
      <c r="H500" s="128"/>
      <c r="I500" s="128"/>
      <c r="J500" s="126"/>
      <c r="K500" s="126"/>
      <c r="L500" s="126"/>
      <c r="M500" s="125"/>
      <c r="N500" s="126"/>
    </row>
    <row r="501" spans="1:14" x14ac:dyDescent="0.35">
      <c r="A501" s="126"/>
      <c r="B501" s="127"/>
      <c r="C501" s="126"/>
      <c r="D501" s="126"/>
      <c r="E501" s="128"/>
      <c r="F501" s="128"/>
      <c r="G501" s="128"/>
      <c r="H501" s="128"/>
      <c r="I501" s="128"/>
      <c r="J501" s="126"/>
      <c r="K501" s="126"/>
      <c r="L501" s="126"/>
      <c r="M501" s="125"/>
      <c r="N501" s="126"/>
    </row>
    <row r="502" spans="1:14" x14ac:dyDescent="0.35">
      <c r="A502" s="126"/>
      <c r="B502" s="127"/>
      <c r="C502" s="126"/>
      <c r="D502" s="126"/>
      <c r="E502" s="128"/>
      <c r="F502" s="128"/>
      <c r="G502" s="128"/>
      <c r="H502" s="128"/>
      <c r="I502" s="128"/>
      <c r="J502" s="126"/>
      <c r="K502" s="126"/>
      <c r="L502" s="126"/>
      <c r="M502" s="125"/>
      <c r="N502" s="126"/>
    </row>
    <row r="503" spans="1:14" x14ac:dyDescent="0.35">
      <c r="A503" s="126"/>
      <c r="B503" s="127"/>
      <c r="C503" s="126"/>
      <c r="D503" s="126"/>
      <c r="E503" s="128"/>
      <c r="F503" s="128"/>
      <c r="G503" s="128"/>
      <c r="H503" s="128"/>
      <c r="I503" s="128"/>
      <c r="J503" s="126"/>
      <c r="K503" s="126"/>
      <c r="L503" s="126"/>
      <c r="M503" s="125"/>
      <c r="N503" s="126"/>
    </row>
    <row r="504" spans="1:14" x14ac:dyDescent="0.35">
      <c r="A504" s="126"/>
      <c r="B504" s="127"/>
      <c r="C504" s="126"/>
      <c r="D504" s="126"/>
      <c r="E504" s="128"/>
      <c r="F504" s="128"/>
      <c r="G504" s="128"/>
      <c r="H504" s="128"/>
      <c r="I504" s="128"/>
      <c r="J504" s="126"/>
      <c r="K504" s="126"/>
      <c r="L504" s="126"/>
      <c r="M504" s="125"/>
      <c r="N504" s="126"/>
    </row>
    <row r="505" spans="1:14" x14ac:dyDescent="0.35">
      <c r="A505" s="126"/>
      <c r="B505" s="127"/>
      <c r="C505" s="126"/>
      <c r="D505" s="126"/>
      <c r="E505" s="128"/>
      <c r="F505" s="128"/>
      <c r="G505" s="128"/>
      <c r="H505" s="128"/>
      <c r="I505" s="128"/>
      <c r="J505" s="126"/>
      <c r="K505" s="126"/>
      <c r="L505" s="126"/>
      <c r="M505" s="125"/>
      <c r="N505" s="126"/>
    </row>
    <row r="506" spans="1:14" x14ac:dyDescent="0.35">
      <c r="A506" s="126"/>
      <c r="B506" s="127"/>
      <c r="C506" s="126"/>
      <c r="D506" s="126"/>
      <c r="E506" s="128"/>
      <c r="F506" s="128"/>
      <c r="G506" s="128"/>
      <c r="H506" s="128"/>
      <c r="I506" s="128"/>
      <c r="J506" s="126"/>
      <c r="K506" s="126"/>
      <c r="L506" s="126"/>
      <c r="M506" s="125"/>
      <c r="N506" s="126"/>
    </row>
    <row r="507" spans="1:14" x14ac:dyDescent="0.35">
      <c r="A507" s="126"/>
      <c r="B507" s="127"/>
      <c r="C507" s="126"/>
      <c r="D507" s="126"/>
      <c r="E507" s="128"/>
      <c r="F507" s="128"/>
      <c r="G507" s="128"/>
      <c r="H507" s="128"/>
      <c r="I507" s="128"/>
      <c r="J507" s="126"/>
      <c r="K507" s="126"/>
      <c r="L507" s="126"/>
      <c r="M507" s="125"/>
      <c r="N507" s="126"/>
    </row>
    <row r="508" spans="1:14" x14ac:dyDescent="0.35">
      <c r="A508" s="126"/>
      <c r="B508" s="127"/>
      <c r="C508" s="126"/>
      <c r="D508" s="126"/>
      <c r="E508" s="128"/>
      <c r="F508" s="128"/>
      <c r="G508" s="128"/>
      <c r="H508" s="128"/>
      <c r="I508" s="128"/>
      <c r="J508" s="126"/>
      <c r="K508" s="126"/>
      <c r="L508" s="126"/>
      <c r="M508" s="125"/>
      <c r="N508" s="126"/>
    </row>
    <row r="509" spans="1:14" x14ac:dyDescent="0.35">
      <c r="A509" s="126"/>
      <c r="B509" s="127"/>
      <c r="C509" s="126"/>
      <c r="D509" s="126"/>
      <c r="E509" s="128"/>
      <c r="F509" s="128"/>
      <c r="G509" s="128"/>
      <c r="H509" s="128"/>
      <c r="I509" s="128"/>
      <c r="J509" s="126"/>
      <c r="K509" s="126"/>
      <c r="L509" s="126"/>
      <c r="M509" s="125"/>
      <c r="N509" s="126"/>
    </row>
    <row r="510" spans="1:14" x14ac:dyDescent="0.35">
      <c r="A510" s="126"/>
      <c r="B510" s="127"/>
      <c r="C510" s="126"/>
      <c r="D510" s="126"/>
      <c r="E510" s="128"/>
      <c r="F510" s="128"/>
      <c r="G510" s="128"/>
      <c r="H510" s="128"/>
      <c r="I510" s="128"/>
      <c r="J510" s="126"/>
      <c r="K510" s="126"/>
      <c r="L510" s="126"/>
      <c r="M510" s="125"/>
      <c r="N510" s="126"/>
    </row>
    <row r="511" spans="1:14" x14ac:dyDescent="0.35">
      <c r="A511" s="126"/>
      <c r="B511" s="127"/>
      <c r="C511" s="126"/>
      <c r="D511" s="126"/>
      <c r="E511" s="128"/>
      <c r="F511" s="128"/>
      <c r="G511" s="128"/>
      <c r="H511" s="128"/>
      <c r="I511" s="128"/>
      <c r="J511" s="126"/>
      <c r="K511" s="126"/>
      <c r="L511" s="126"/>
      <c r="M511" s="125"/>
      <c r="N511" s="126"/>
    </row>
    <row r="512" spans="1:14" x14ac:dyDescent="0.35">
      <c r="A512" s="126"/>
      <c r="B512" s="127"/>
      <c r="C512" s="126"/>
      <c r="D512" s="126"/>
      <c r="E512" s="128"/>
      <c r="F512" s="128"/>
      <c r="G512" s="128"/>
      <c r="H512" s="128"/>
      <c r="I512" s="128"/>
      <c r="J512" s="126"/>
      <c r="K512" s="126"/>
      <c r="L512" s="126"/>
      <c r="M512" s="125"/>
      <c r="N512" s="126"/>
    </row>
    <row r="513" spans="1:14" x14ac:dyDescent="0.35">
      <c r="A513" s="126"/>
      <c r="B513" s="127"/>
      <c r="C513" s="126"/>
      <c r="D513" s="126"/>
      <c r="E513" s="128"/>
      <c r="F513" s="128"/>
      <c r="G513" s="128"/>
      <c r="H513" s="128"/>
      <c r="I513" s="128"/>
      <c r="J513" s="126"/>
      <c r="K513" s="126"/>
      <c r="L513" s="126"/>
      <c r="M513" s="125"/>
      <c r="N513" s="126"/>
    </row>
    <row r="514" spans="1:14" x14ac:dyDescent="0.35">
      <c r="A514" s="126"/>
      <c r="B514" s="127"/>
      <c r="C514" s="126"/>
      <c r="D514" s="126"/>
      <c r="E514" s="128"/>
      <c r="F514" s="128"/>
      <c r="G514" s="128"/>
      <c r="H514" s="128"/>
      <c r="I514" s="128"/>
      <c r="J514" s="126"/>
      <c r="K514" s="126"/>
      <c r="L514" s="126"/>
      <c r="M514" s="125"/>
      <c r="N514" s="126"/>
    </row>
    <row r="515" spans="1:14" x14ac:dyDescent="0.35">
      <c r="A515" s="126"/>
      <c r="B515" s="127"/>
      <c r="C515" s="126"/>
      <c r="D515" s="126"/>
      <c r="E515" s="128"/>
      <c r="F515" s="128"/>
      <c r="G515" s="128"/>
      <c r="H515" s="128"/>
      <c r="I515" s="128"/>
      <c r="J515" s="126"/>
      <c r="K515" s="126"/>
      <c r="L515" s="126"/>
      <c r="M515" s="125"/>
      <c r="N515" s="126"/>
    </row>
    <row r="516" spans="1:14" x14ac:dyDescent="0.35">
      <c r="A516" s="126"/>
      <c r="B516" s="127"/>
      <c r="C516" s="126"/>
      <c r="D516" s="126"/>
      <c r="E516" s="128"/>
      <c r="F516" s="128"/>
      <c r="G516" s="128"/>
      <c r="H516" s="128"/>
      <c r="I516" s="128"/>
      <c r="J516" s="126"/>
      <c r="K516" s="126"/>
      <c r="L516" s="126"/>
      <c r="M516" s="125"/>
      <c r="N516" s="126"/>
    </row>
    <row r="517" spans="1:14" x14ac:dyDescent="0.35">
      <c r="A517" s="126"/>
      <c r="B517" s="127"/>
      <c r="C517" s="126"/>
      <c r="D517" s="126"/>
      <c r="E517" s="128"/>
      <c r="F517" s="128"/>
      <c r="G517" s="128"/>
      <c r="H517" s="128"/>
      <c r="I517" s="128"/>
      <c r="J517" s="126"/>
      <c r="K517" s="126"/>
      <c r="L517" s="126"/>
      <c r="M517" s="125"/>
      <c r="N517" s="126"/>
    </row>
    <row r="518" spans="1:14" x14ac:dyDescent="0.35">
      <c r="A518" s="126"/>
      <c r="B518" s="127"/>
      <c r="C518" s="126"/>
      <c r="D518" s="126"/>
      <c r="E518" s="128"/>
      <c r="F518" s="128"/>
      <c r="G518" s="128"/>
      <c r="H518" s="128"/>
      <c r="I518" s="128"/>
      <c r="J518" s="126"/>
      <c r="K518" s="126"/>
      <c r="L518" s="126"/>
      <c r="M518" s="125"/>
      <c r="N518" s="126"/>
    </row>
    <row r="519" spans="1:14" x14ac:dyDescent="0.35">
      <c r="A519" s="126"/>
      <c r="B519" s="127"/>
      <c r="C519" s="126"/>
      <c r="D519" s="126"/>
      <c r="E519" s="128"/>
      <c r="F519" s="128"/>
      <c r="G519" s="128"/>
      <c r="H519" s="128"/>
      <c r="I519" s="128"/>
      <c r="J519" s="126"/>
      <c r="K519" s="126"/>
      <c r="L519" s="126"/>
      <c r="M519" s="125"/>
      <c r="N519" s="126"/>
    </row>
    <row r="520" spans="1:14" x14ac:dyDescent="0.35">
      <c r="A520" s="126"/>
      <c r="B520" s="127"/>
      <c r="C520" s="126"/>
      <c r="D520" s="126"/>
      <c r="E520" s="128"/>
      <c r="F520" s="128"/>
      <c r="G520" s="128"/>
      <c r="H520" s="128"/>
      <c r="I520" s="128"/>
      <c r="J520" s="126"/>
      <c r="K520" s="126"/>
      <c r="L520" s="126"/>
      <c r="M520" s="125"/>
      <c r="N520" s="126"/>
    </row>
    <row r="521" spans="1:14" x14ac:dyDescent="0.35">
      <c r="A521" s="126"/>
      <c r="B521" s="127"/>
      <c r="C521" s="126"/>
      <c r="D521" s="126"/>
      <c r="E521" s="128"/>
      <c r="F521" s="128"/>
      <c r="G521" s="128"/>
      <c r="H521" s="128"/>
      <c r="I521" s="128"/>
      <c r="J521" s="126"/>
      <c r="K521" s="126"/>
      <c r="L521" s="126"/>
      <c r="M521" s="125"/>
      <c r="N521" s="126"/>
    </row>
    <row r="522" spans="1:14" x14ac:dyDescent="0.35">
      <c r="A522" s="126"/>
      <c r="B522" s="127"/>
      <c r="C522" s="126"/>
      <c r="D522" s="126"/>
      <c r="E522" s="128"/>
      <c r="F522" s="128"/>
      <c r="G522" s="128"/>
      <c r="H522" s="128"/>
      <c r="I522" s="128"/>
      <c r="J522" s="126"/>
      <c r="K522" s="126"/>
      <c r="L522" s="126"/>
      <c r="M522" s="125"/>
      <c r="N522" s="126"/>
    </row>
    <row r="523" spans="1:14" x14ac:dyDescent="0.35">
      <c r="A523" s="126"/>
      <c r="B523" s="127"/>
      <c r="C523" s="126"/>
      <c r="D523" s="126"/>
      <c r="E523" s="128"/>
      <c r="F523" s="128"/>
      <c r="G523" s="128"/>
      <c r="H523" s="128"/>
      <c r="I523" s="128"/>
      <c r="J523" s="126"/>
      <c r="K523" s="126"/>
      <c r="L523" s="126"/>
      <c r="M523" s="125"/>
      <c r="N523" s="126"/>
    </row>
    <row r="524" spans="1:14" x14ac:dyDescent="0.35">
      <c r="A524" s="126"/>
      <c r="B524" s="127"/>
      <c r="C524" s="126"/>
      <c r="D524" s="126"/>
      <c r="E524" s="128"/>
      <c r="F524" s="128"/>
      <c r="G524" s="128"/>
      <c r="H524" s="128"/>
      <c r="I524" s="128"/>
      <c r="J524" s="126"/>
      <c r="K524" s="126"/>
      <c r="L524" s="126"/>
      <c r="M524" s="125"/>
      <c r="N524" s="126"/>
    </row>
    <row r="525" spans="1:14" x14ac:dyDescent="0.35">
      <c r="A525" s="126"/>
      <c r="B525" s="127"/>
      <c r="C525" s="126"/>
      <c r="D525" s="126"/>
      <c r="E525" s="128"/>
      <c r="F525" s="128"/>
      <c r="G525" s="128"/>
      <c r="H525" s="128"/>
      <c r="I525" s="128"/>
      <c r="J525" s="126"/>
      <c r="K525" s="126"/>
      <c r="L525" s="126"/>
      <c r="M525" s="125"/>
      <c r="N525" s="126"/>
    </row>
    <row r="526" spans="1:14" x14ac:dyDescent="0.35">
      <c r="A526" s="126"/>
      <c r="B526" s="127"/>
      <c r="C526" s="126"/>
      <c r="D526" s="126"/>
      <c r="E526" s="128"/>
      <c r="F526" s="128"/>
      <c r="G526" s="128"/>
      <c r="H526" s="128"/>
      <c r="I526" s="128"/>
      <c r="J526" s="126"/>
      <c r="K526" s="126"/>
      <c r="L526" s="126"/>
      <c r="M526" s="125"/>
      <c r="N526" s="126"/>
    </row>
    <row r="527" spans="1:14" x14ac:dyDescent="0.35">
      <c r="A527" s="126"/>
      <c r="B527" s="127"/>
      <c r="C527" s="126"/>
      <c r="D527" s="126"/>
      <c r="E527" s="128"/>
      <c r="F527" s="128"/>
      <c r="G527" s="128"/>
      <c r="H527" s="128"/>
      <c r="I527" s="128"/>
      <c r="J527" s="126"/>
      <c r="K527" s="126"/>
      <c r="L527" s="126"/>
      <c r="M527" s="125"/>
      <c r="N527" s="126"/>
    </row>
    <row r="528" spans="1:14" x14ac:dyDescent="0.35">
      <c r="A528" s="126"/>
      <c r="B528" s="127"/>
      <c r="C528" s="126"/>
      <c r="D528" s="126"/>
      <c r="E528" s="128"/>
      <c r="F528" s="128"/>
      <c r="G528" s="128"/>
      <c r="H528" s="128"/>
      <c r="I528" s="128"/>
      <c r="J528" s="126"/>
      <c r="K528" s="126"/>
      <c r="L528" s="126"/>
      <c r="M528" s="125"/>
      <c r="N528" s="126"/>
    </row>
    <row r="529" spans="1:14" x14ac:dyDescent="0.35">
      <c r="A529" s="126"/>
      <c r="B529" s="127"/>
      <c r="C529" s="126"/>
      <c r="D529" s="126"/>
      <c r="E529" s="128"/>
      <c r="F529" s="128"/>
      <c r="G529" s="128"/>
      <c r="H529" s="128"/>
      <c r="I529" s="128"/>
      <c r="J529" s="126"/>
      <c r="K529" s="126"/>
      <c r="L529" s="126"/>
      <c r="M529" s="125"/>
      <c r="N529" s="126"/>
    </row>
    <row r="530" spans="1:14" x14ac:dyDescent="0.35">
      <c r="A530" s="126"/>
      <c r="B530" s="127"/>
      <c r="C530" s="126"/>
      <c r="D530" s="126"/>
      <c r="E530" s="128"/>
      <c r="F530" s="128"/>
      <c r="G530" s="128"/>
      <c r="H530" s="128"/>
      <c r="I530" s="128"/>
      <c r="J530" s="126"/>
      <c r="K530" s="126"/>
      <c r="L530" s="126"/>
      <c r="M530" s="125"/>
      <c r="N530" s="126"/>
    </row>
    <row r="531" spans="1:14" x14ac:dyDescent="0.35">
      <c r="A531" s="126"/>
      <c r="B531" s="127"/>
      <c r="C531" s="126"/>
      <c r="D531" s="126"/>
      <c r="E531" s="128"/>
      <c r="F531" s="128"/>
      <c r="G531" s="128"/>
      <c r="H531" s="128"/>
      <c r="I531" s="128"/>
      <c r="J531" s="126"/>
      <c r="K531" s="126"/>
      <c r="L531" s="126"/>
      <c r="M531" s="125"/>
      <c r="N531" s="126"/>
    </row>
    <row r="532" spans="1:14" x14ac:dyDescent="0.35">
      <c r="A532" s="126"/>
      <c r="B532" s="127"/>
      <c r="C532" s="126"/>
      <c r="D532" s="126"/>
      <c r="E532" s="128"/>
      <c r="F532" s="128"/>
      <c r="G532" s="128"/>
      <c r="H532" s="128"/>
      <c r="I532" s="128"/>
      <c r="J532" s="126"/>
      <c r="K532" s="126"/>
      <c r="L532" s="126"/>
      <c r="M532" s="125"/>
      <c r="N532" s="126"/>
    </row>
    <row r="533" spans="1:14" x14ac:dyDescent="0.35">
      <c r="A533" s="126"/>
      <c r="B533" s="127"/>
      <c r="C533" s="126"/>
      <c r="D533" s="126"/>
      <c r="E533" s="128"/>
      <c r="F533" s="128"/>
      <c r="G533" s="128"/>
      <c r="H533" s="128"/>
      <c r="I533" s="128"/>
      <c r="J533" s="126"/>
      <c r="K533" s="126"/>
      <c r="L533" s="126"/>
      <c r="M533" s="125"/>
      <c r="N533" s="126"/>
    </row>
    <row r="534" spans="1:14" x14ac:dyDescent="0.35">
      <c r="A534" s="126"/>
      <c r="B534" s="127"/>
      <c r="C534" s="126"/>
      <c r="D534" s="126"/>
      <c r="E534" s="128"/>
      <c r="F534" s="128"/>
      <c r="G534" s="128"/>
      <c r="H534" s="128"/>
      <c r="I534" s="128"/>
      <c r="J534" s="126"/>
      <c r="K534" s="126"/>
      <c r="L534" s="126"/>
      <c r="M534" s="125"/>
      <c r="N534" s="126"/>
    </row>
    <row r="535" spans="1:14" x14ac:dyDescent="0.35">
      <c r="A535" s="126"/>
      <c r="B535" s="127"/>
      <c r="C535" s="126"/>
      <c r="D535" s="126"/>
      <c r="E535" s="128"/>
      <c r="F535" s="128"/>
      <c r="G535" s="128"/>
      <c r="H535" s="128"/>
      <c r="I535" s="128"/>
      <c r="J535" s="126"/>
      <c r="K535" s="126"/>
      <c r="L535" s="126"/>
      <c r="M535" s="125"/>
      <c r="N535" s="126"/>
    </row>
    <row r="536" spans="1:14" x14ac:dyDescent="0.35">
      <c r="A536" s="126"/>
      <c r="B536" s="127"/>
      <c r="C536" s="126"/>
      <c r="D536" s="126"/>
      <c r="E536" s="128"/>
      <c r="F536" s="128"/>
      <c r="G536" s="128"/>
      <c r="H536" s="128"/>
      <c r="I536" s="128"/>
      <c r="J536" s="126"/>
      <c r="K536" s="126"/>
      <c r="L536" s="126"/>
      <c r="M536" s="125"/>
      <c r="N536" s="126"/>
    </row>
    <row r="537" spans="1:14" x14ac:dyDescent="0.35">
      <c r="A537" s="126"/>
      <c r="B537" s="127"/>
      <c r="C537" s="126"/>
      <c r="D537" s="126"/>
      <c r="E537" s="128"/>
      <c r="F537" s="128"/>
      <c r="G537" s="128"/>
      <c r="H537" s="128"/>
      <c r="I537" s="128"/>
      <c r="J537" s="126"/>
      <c r="K537" s="126"/>
      <c r="L537" s="126"/>
      <c r="M537" s="125"/>
      <c r="N537" s="126"/>
    </row>
    <row r="538" spans="1:14" x14ac:dyDescent="0.35">
      <c r="A538" s="126"/>
      <c r="B538" s="127"/>
      <c r="C538" s="126"/>
      <c r="D538" s="126"/>
      <c r="E538" s="128"/>
      <c r="F538" s="128"/>
      <c r="G538" s="128"/>
      <c r="H538" s="128"/>
      <c r="I538" s="128"/>
      <c r="J538" s="126"/>
      <c r="K538" s="126"/>
      <c r="L538" s="126"/>
      <c r="M538" s="125"/>
      <c r="N538" s="126"/>
    </row>
    <row r="539" spans="1:14" x14ac:dyDescent="0.35">
      <c r="A539" s="126"/>
      <c r="B539" s="127"/>
      <c r="C539" s="126"/>
      <c r="D539" s="126"/>
      <c r="E539" s="128"/>
      <c r="F539" s="128"/>
      <c r="G539" s="128"/>
      <c r="H539" s="128"/>
      <c r="I539" s="128"/>
      <c r="J539" s="126"/>
      <c r="K539" s="126"/>
      <c r="L539" s="126"/>
      <c r="M539" s="125"/>
      <c r="N539" s="126"/>
    </row>
    <row r="540" spans="1:14" x14ac:dyDescent="0.35">
      <c r="A540" s="126"/>
      <c r="B540" s="127"/>
      <c r="C540" s="126"/>
      <c r="D540" s="126"/>
      <c r="E540" s="128"/>
      <c r="F540" s="128"/>
      <c r="G540" s="128"/>
      <c r="H540" s="128"/>
      <c r="I540" s="128"/>
      <c r="J540" s="126"/>
      <c r="K540" s="126"/>
      <c r="L540" s="126"/>
      <c r="M540" s="125"/>
      <c r="N540" s="126"/>
    </row>
    <row r="541" spans="1:14" x14ac:dyDescent="0.35">
      <c r="A541" s="126"/>
      <c r="B541" s="127"/>
      <c r="C541" s="126"/>
      <c r="D541" s="126"/>
      <c r="E541" s="128"/>
      <c r="F541" s="128"/>
      <c r="G541" s="128"/>
      <c r="H541" s="128"/>
      <c r="I541" s="128"/>
      <c r="J541" s="126"/>
      <c r="K541" s="126"/>
      <c r="L541" s="126"/>
      <c r="M541" s="125"/>
      <c r="N541" s="126"/>
    </row>
    <row r="542" spans="1:14" x14ac:dyDescent="0.35">
      <c r="A542" s="126"/>
      <c r="B542" s="127"/>
      <c r="C542" s="126"/>
      <c r="D542" s="126"/>
      <c r="E542" s="128"/>
      <c r="F542" s="128"/>
      <c r="G542" s="128"/>
      <c r="H542" s="128"/>
      <c r="I542" s="128"/>
      <c r="J542" s="126"/>
      <c r="K542" s="126"/>
      <c r="L542" s="126"/>
      <c r="M542" s="125"/>
      <c r="N542" s="126"/>
    </row>
    <row r="543" spans="1:14" x14ac:dyDescent="0.35">
      <c r="A543" s="126"/>
      <c r="B543" s="127"/>
      <c r="C543" s="126"/>
      <c r="D543" s="126"/>
      <c r="E543" s="128"/>
      <c r="F543" s="128"/>
      <c r="G543" s="128"/>
      <c r="H543" s="128"/>
      <c r="I543" s="128"/>
      <c r="J543" s="126"/>
      <c r="K543" s="126"/>
      <c r="L543" s="126"/>
      <c r="M543" s="125"/>
      <c r="N543" s="126"/>
    </row>
    <row r="544" spans="1:14" x14ac:dyDescent="0.35">
      <c r="A544" s="126"/>
      <c r="B544" s="127"/>
      <c r="C544" s="126"/>
      <c r="D544" s="126"/>
      <c r="E544" s="128"/>
      <c r="F544" s="128"/>
      <c r="G544" s="128"/>
      <c r="H544" s="128"/>
      <c r="I544" s="128"/>
      <c r="J544" s="126"/>
      <c r="K544" s="126"/>
      <c r="L544" s="126"/>
      <c r="M544" s="125"/>
      <c r="N544" s="126"/>
    </row>
    <row r="545" spans="1:14" x14ac:dyDescent="0.35">
      <c r="A545" s="126"/>
      <c r="B545" s="127"/>
      <c r="C545" s="126"/>
      <c r="D545" s="126"/>
      <c r="E545" s="128"/>
      <c r="F545" s="128"/>
      <c r="G545" s="128"/>
      <c r="H545" s="128"/>
      <c r="I545" s="128"/>
      <c r="J545" s="126"/>
      <c r="K545" s="126"/>
      <c r="L545" s="126"/>
      <c r="M545" s="125"/>
      <c r="N545" s="126"/>
    </row>
    <row r="546" spans="1:14" x14ac:dyDescent="0.35">
      <c r="A546" s="126"/>
      <c r="B546" s="127"/>
      <c r="C546" s="126"/>
      <c r="D546" s="126"/>
      <c r="E546" s="128"/>
      <c r="F546" s="128"/>
      <c r="G546" s="128"/>
      <c r="H546" s="128"/>
      <c r="I546" s="128"/>
      <c r="J546" s="126"/>
      <c r="K546" s="126"/>
      <c r="L546" s="126"/>
      <c r="M546" s="125"/>
      <c r="N546" s="126"/>
    </row>
    <row r="547" spans="1:14" x14ac:dyDescent="0.35">
      <c r="A547" s="126"/>
      <c r="B547" s="127"/>
      <c r="C547" s="126"/>
      <c r="D547" s="126"/>
      <c r="E547" s="128"/>
      <c r="F547" s="128"/>
      <c r="G547" s="128"/>
      <c r="H547" s="128"/>
      <c r="I547" s="128"/>
      <c r="J547" s="126"/>
      <c r="K547" s="126"/>
      <c r="L547" s="126"/>
      <c r="M547" s="125"/>
      <c r="N547" s="126"/>
    </row>
    <row r="548" spans="1:14" x14ac:dyDescent="0.35">
      <c r="A548" s="126"/>
      <c r="B548" s="127"/>
      <c r="C548" s="126"/>
      <c r="D548" s="126"/>
      <c r="E548" s="128"/>
      <c r="F548" s="128"/>
      <c r="G548" s="128"/>
      <c r="H548" s="128"/>
      <c r="I548" s="128"/>
      <c r="J548" s="126"/>
      <c r="K548" s="126"/>
      <c r="L548" s="126"/>
      <c r="M548" s="125"/>
      <c r="N548" s="126"/>
    </row>
    <row r="549" spans="1:14" x14ac:dyDescent="0.35">
      <c r="A549" s="126"/>
      <c r="B549" s="127"/>
      <c r="C549" s="126"/>
      <c r="D549" s="126"/>
      <c r="E549" s="128"/>
      <c r="F549" s="128"/>
      <c r="G549" s="128"/>
      <c r="H549" s="128"/>
      <c r="I549" s="128"/>
      <c r="J549" s="126"/>
      <c r="K549" s="126"/>
      <c r="L549" s="126"/>
      <c r="M549" s="125"/>
      <c r="N549" s="126"/>
    </row>
    <row r="550" spans="1:14" x14ac:dyDescent="0.35">
      <c r="A550" s="126"/>
      <c r="B550" s="127"/>
      <c r="C550" s="126"/>
      <c r="D550" s="126"/>
      <c r="E550" s="128"/>
      <c r="F550" s="128"/>
      <c r="G550" s="128"/>
      <c r="H550" s="128"/>
      <c r="I550" s="128"/>
      <c r="J550" s="126"/>
      <c r="K550" s="126"/>
      <c r="L550" s="126"/>
      <c r="M550" s="125"/>
      <c r="N550" s="126"/>
    </row>
    <row r="551" spans="1:14" x14ac:dyDescent="0.35">
      <c r="A551" s="126"/>
      <c r="B551" s="127"/>
      <c r="C551" s="126"/>
      <c r="D551" s="126"/>
      <c r="E551" s="128"/>
      <c r="F551" s="128"/>
      <c r="G551" s="128"/>
      <c r="H551" s="128"/>
      <c r="I551" s="128"/>
      <c r="J551" s="126"/>
      <c r="K551" s="126"/>
      <c r="L551" s="126"/>
      <c r="M551" s="125"/>
      <c r="N551" s="126"/>
    </row>
    <row r="552" spans="1:14" x14ac:dyDescent="0.35">
      <c r="A552" s="126"/>
      <c r="B552" s="127"/>
      <c r="C552" s="126"/>
      <c r="D552" s="126"/>
      <c r="E552" s="128"/>
      <c r="F552" s="128"/>
      <c r="G552" s="128"/>
      <c r="H552" s="128"/>
      <c r="I552" s="128"/>
      <c r="J552" s="126"/>
      <c r="K552" s="126"/>
      <c r="L552" s="126"/>
      <c r="M552" s="125"/>
      <c r="N552" s="126"/>
    </row>
    <row r="553" spans="1:14" x14ac:dyDescent="0.35">
      <c r="A553" s="126"/>
      <c r="B553" s="127"/>
      <c r="C553" s="126"/>
      <c r="D553" s="126"/>
      <c r="E553" s="128"/>
      <c r="F553" s="128"/>
      <c r="G553" s="128"/>
      <c r="H553" s="128"/>
      <c r="I553" s="128"/>
      <c r="J553" s="126"/>
      <c r="K553" s="126"/>
      <c r="L553" s="126"/>
      <c r="M553" s="125"/>
      <c r="N553" s="126"/>
    </row>
    <row r="554" spans="1:14" x14ac:dyDescent="0.35">
      <c r="A554" s="126"/>
      <c r="B554" s="127"/>
      <c r="C554" s="126"/>
      <c r="D554" s="126"/>
      <c r="E554" s="128"/>
      <c r="F554" s="128"/>
      <c r="G554" s="128"/>
      <c r="H554" s="128"/>
      <c r="I554" s="128"/>
      <c r="J554" s="126"/>
      <c r="K554" s="126"/>
      <c r="L554" s="126"/>
      <c r="M554" s="125"/>
      <c r="N554" s="126"/>
    </row>
    <row r="555" spans="1:14" x14ac:dyDescent="0.35">
      <c r="A555" s="126"/>
      <c r="B555" s="127"/>
      <c r="C555" s="126"/>
      <c r="D555" s="126"/>
      <c r="E555" s="128"/>
      <c r="F555" s="128"/>
      <c r="G555" s="128"/>
      <c r="H555" s="128"/>
      <c r="I555" s="128"/>
      <c r="J555" s="126"/>
      <c r="K555" s="126"/>
      <c r="L555" s="126"/>
      <c r="M555" s="125"/>
      <c r="N555" s="126"/>
    </row>
    <row r="556" spans="1:14" x14ac:dyDescent="0.35">
      <c r="A556" s="126"/>
      <c r="B556" s="127"/>
      <c r="C556" s="126"/>
      <c r="D556" s="126"/>
      <c r="E556" s="128"/>
      <c r="F556" s="128"/>
      <c r="G556" s="128"/>
      <c r="H556" s="128"/>
      <c r="I556" s="128"/>
      <c r="J556" s="126"/>
      <c r="K556" s="126"/>
      <c r="L556" s="126"/>
      <c r="M556" s="125"/>
      <c r="N556" s="126"/>
    </row>
    <row r="557" spans="1:14" x14ac:dyDescent="0.35">
      <c r="A557" s="126"/>
      <c r="B557" s="127"/>
      <c r="C557" s="126"/>
      <c r="D557" s="126"/>
      <c r="E557" s="128"/>
      <c r="F557" s="128"/>
      <c r="G557" s="128"/>
      <c r="H557" s="128"/>
      <c r="I557" s="128"/>
      <c r="J557" s="126"/>
      <c r="K557" s="126"/>
      <c r="L557" s="126"/>
      <c r="M557" s="125"/>
      <c r="N557" s="126"/>
    </row>
    <row r="558" spans="1:14" x14ac:dyDescent="0.35">
      <c r="A558" s="126"/>
      <c r="B558" s="127"/>
      <c r="C558" s="126"/>
      <c r="D558" s="126"/>
      <c r="E558" s="128"/>
      <c r="F558" s="128"/>
      <c r="G558" s="128"/>
      <c r="H558" s="128"/>
      <c r="I558" s="128"/>
      <c r="J558" s="126"/>
      <c r="K558" s="126"/>
      <c r="L558" s="126"/>
      <c r="M558" s="125"/>
      <c r="N558" s="126"/>
    </row>
    <row r="559" spans="1:14" x14ac:dyDescent="0.35">
      <c r="A559" s="126"/>
      <c r="B559" s="127"/>
      <c r="C559" s="126"/>
      <c r="D559" s="126"/>
      <c r="E559" s="128"/>
      <c r="F559" s="128"/>
      <c r="G559" s="128"/>
      <c r="H559" s="128"/>
      <c r="I559" s="128"/>
      <c r="J559" s="126"/>
      <c r="K559" s="126"/>
      <c r="L559" s="126"/>
      <c r="M559" s="125"/>
      <c r="N559" s="126"/>
    </row>
    <row r="560" spans="1:14" x14ac:dyDescent="0.35">
      <c r="A560" s="126"/>
      <c r="B560" s="127"/>
      <c r="C560" s="126"/>
      <c r="D560" s="126"/>
      <c r="E560" s="128"/>
      <c r="F560" s="128"/>
      <c r="G560" s="128"/>
      <c r="H560" s="128"/>
      <c r="I560" s="128"/>
      <c r="J560" s="126"/>
      <c r="K560" s="126"/>
      <c r="L560" s="126"/>
      <c r="M560" s="125"/>
      <c r="N560" s="126"/>
    </row>
    <row r="561" spans="1:14" x14ac:dyDescent="0.35">
      <c r="A561" s="126"/>
      <c r="B561" s="127"/>
      <c r="C561" s="126"/>
      <c r="D561" s="126"/>
      <c r="E561" s="128"/>
      <c r="F561" s="128"/>
      <c r="G561" s="128"/>
      <c r="H561" s="128"/>
      <c r="I561" s="128"/>
      <c r="J561" s="126"/>
      <c r="K561" s="126"/>
      <c r="L561" s="126"/>
      <c r="M561" s="125"/>
      <c r="N561" s="126"/>
    </row>
    <row r="562" spans="1:14" x14ac:dyDescent="0.35">
      <c r="A562" s="126"/>
      <c r="B562" s="127"/>
      <c r="C562" s="126"/>
      <c r="D562" s="126"/>
      <c r="E562" s="128"/>
      <c r="F562" s="128"/>
      <c r="G562" s="128"/>
      <c r="H562" s="128"/>
      <c r="I562" s="128"/>
      <c r="J562" s="126"/>
      <c r="K562" s="126"/>
      <c r="L562" s="126"/>
      <c r="M562" s="125"/>
      <c r="N562" s="126"/>
    </row>
    <row r="563" spans="1:14" x14ac:dyDescent="0.35">
      <c r="A563" s="126"/>
      <c r="B563" s="127"/>
      <c r="C563" s="126"/>
      <c r="D563" s="126"/>
      <c r="E563" s="128"/>
      <c r="F563" s="128"/>
      <c r="G563" s="128"/>
      <c r="H563" s="128"/>
      <c r="I563" s="128"/>
      <c r="J563" s="126"/>
      <c r="K563" s="126"/>
      <c r="L563" s="126"/>
      <c r="M563" s="125"/>
      <c r="N563" s="126"/>
    </row>
    <row r="564" spans="1:14" x14ac:dyDescent="0.35">
      <c r="A564" s="126"/>
      <c r="B564" s="127"/>
      <c r="C564" s="126"/>
      <c r="D564" s="126"/>
      <c r="E564" s="128"/>
      <c r="F564" s="128"/>
      <c r="G564" s="128"/>
      <c r="H564" s="128"/>
      <c r="I564" s="128"/>
      <c r="J564" s="126"/>
      <c r="K564" s="126"/>
      <c r="L564" s="126"/>
      <c r="M564" s="125"/>
      <c r="N564" s="126"/>
    </row>
    <row r="565" spans="1:14" x14ac:dyDescent="0.35">
      <c r="A565" s="126"/>
      <c r="B565" s="127"/>
      <c r="C565" s="126"/>
      <c r="D565" s="126"/>
      <c r="E565" s="128"/>
      <c r="F565" s="128"/>
      <c r="G565" s="128"/>
      <c r="H565" s="128"/>
      <c r="I565" s="128"/>
      <c r="J565" s="126"/>
      <c r="K565" s="126"/>
      <c r="L565" s="126"/>
      <c r="M565" s="125"/>
      <c r="N565" s="126"/>
    </row>
    <row r="566" spans="1:14" x14ac:dyDescent="0.35">
      <c r="A566" s="126"/>
      <c r="B566" s="127"/>
      <c r="C566" s="126"/>
      <c r="D566" s="126"/>
      <c r="E566" s="128"/>
      <c r="F566" s="128"/>
      <c r="G566" s="128"/>
      <c r="H566" s="128"/>
      <c r="I566" s="128"/>
      <c r="J566" s="126"/>
      <c r="K566" s="126"/>
      <c r="L566" s="126"/>
      <c r="M566" s="125"/>
      <c r="N566" s="126"/>
    </row>
    <row r="567" spans="1:14" x14ac:dyDescent="0.35">
      <c r="A567" s="126"/>
      <c r="B567" s="127"/>
      <c r="C567" s="126"/>
      <c r="D567" s="126"/>
      <c r="E567" s="128"/>
      <c r="F567" s="128"/>
      <c r="G567" s="128"/>
      <c r="H567" s="128"/>
      <c r="I567" s="128"/>
      <c r="J567" s="126"/>
      <c r="K567" s="126"/>
      <c r="L567" s="126"/>
      <c r="M567" s="125"/>
      <c r="N567" s="126"/>
    </row>
    <row r="568" spans="1:14" x14ac:dyDescent="0.35">
      <c r="A568" s="126"/>
      <c r="B568" s="127"/>
      <c r="C568" s="126"/>
      <c r="D568" s="126"/>
      <c r="E568" s="128"/>
      <c r="F568" s="128"/>
      <c r="G568" s="128"/>
      <c r="H568" s="128"/>
      <c r="I568" s="128"/>
      <c r="J568" s="126"/>
      <c r="K568" s="126"/>
      <c r="L568" s="126"/>
      <c r="M568" s="125"/>
      <c r="N568" s="126"/>
    </row>
    <row r="569" spans="1:14" x14ac:dyDescent="0.35">
      <c r="A569" s="126"/>
      <c r="B569" s="127"/>
      <c r="C569" s="126"/>
      <c r="D569" s="126"/>
      <c r="E569" s="128"/>
      <c r="F569" s="128"/>
      <c r="G569" s="128"/>
      <c r="H569" s="128"/>
      <c r="I569" s="128"/>
      <c r="J569" s="126"/>
      <c r="K569" s="126"/>
      <c r="L569" s="126"/>
      <c r="M569" s="125"/>
      <c r="N569" s="126"/>
    </row>
    <row r="570" spans="1:14" x14ac:dyDescent="0.35">
      <c r="A570" s="126"/>
      <c r="B570" s="127"/>
      <c r="C570" s="126"/>
      <c r="D570" s="126"/>
      <c r="E570" s="128"/>
      <c r="F570" s="128"/>
      <c r="G570" s="128"/>
      <c r="H570" s="128"/>
      <c r="I570" s="128"/>
      <c r="J570" s="126"/>
      <c r="K570" s="126"/>
      <c r="L570" s="126"/>
      <c r="M570" s="125"/>
      <c r="N570" s="126"/>
    </row>
    <row r="571" spans="1:14" x14ac:dyDescent="0.35">
      <c r="A571" s="126"/>
      <c r="B571" s="127"/>
      <c r="C571" s="126"/>
      <c r="D571" s="126"/>
      <c r="E571" s="128"/>
      <c r="F571" s="128"/>
      <c r="G571" s="128"/>
      <c r="H571" s="128"/>
      <c r="I571" s="128"/>
      <c r="J571" s="126"/>
      <c r="K571" s="126"/>
      <c r="L571" s="126"/>
      <c r="M571" s="125"/>
      <c r="N571" s="126"/>
    </row>
    <row r="572" spans="1:14" x14ac:dyDescent="0.35">
      <c r="A572" s="126"/>
      <c r="B572" s="127"/>
      <c r="C572" s="126"/>
      <c r="D572" s="126"/>
      <c r="E572" s="128"/>
      <c r="F572" s="128"/>
      <c r="G572" s="128"/>
      <c r="H572" s="128"/>
      <c r="I572" s="128"/>
      <c r="J572" s="126"/>
      <c r="K572" s="126"/>
      <c r="L572" s="126"/>
      <c r="M572" s="125"/>
      <c r="N572" s="126"/>
    </row>
    <row r="573" spans="1:14" x14ac:dyDescent="0.35">
      <c r="A573" s="126"/>
      <c r="B573" s="127"/>
      <c r="C573" s="126"/>
      <c r="D573" s="126"/>
      <c r="E573" s="128"/>
      <c r="F573" s="128"/>
      <c r="G573" s="128"/>
      <c r="H573" s="128"/>
      <c r="I573" s="128"/>
      <c r="J573" s="126"/>
      <c r="K573" s="126"/>
      <c r="L573" s="126"/>
      <c r="M573" s="125"/>
      <c r="N573" s="126"/>
    </row>
    <row r="574" spans="1:14" x14ac:dyDescent="0.35">
      <c r="A574" s="126"/>
      <c r="B574" s="127"/>
      <c r="C574" s="126"/>
      <c r="D574" s="126"/>
      <c r="E574" s="128"/>
      <c r="F574" s="128"/>
      <c r="G574" s="128"/>
      <c r="H574" s="128"/>
      <c r="I574" s="128"/>
      <c r="J574" s="126"/>
      <c r="K574" s="126"/>
      <c r="L574" s="126"/>
      <c r="M574" s="125"/>
      <c r="N574" s="126"/>
    </row>
    <row r="575" spans="1:14" x14ac:dyDescent="0.35">
      <c r="A575" s="126"/>
      <c r="B575" s="127"/>
      <c r="C575" s="126"/>
      <c r="D575" s="126"/>
      <c r="E575" s="128"/>
      <c r="F575" s="128"/>
      <c r="G575" s="128"/>
      <c r="H575" s="128"/>
      <c r="I575" s="128"/>
      <c r="J575" s="126"/>
      <c r="K575" s="126"/>
      <c r="L575" s="126"/>
      <c r="M575" s="125"/>
      <c r="N575" s="126"/>
    </row>
    <row r="576" spans="1:14" x14ac:dyDescent="0.35">
      <c r="A576" s="126"/>
      <c r="B576" s="127"/>
      <c r="C576" s="126"/>
      <c r="D576" s="126"/>
      <c r="E576" s="128"/>
      <c r="F576" s="128"/>
      <c r="G576" s="128"/>
      <c r="H576" s="128"/>
      <c r="I576" s="128"/>
      <c r="J576" s="126"/>
      <c r="K576" s="126"/>
      <c r="L576" s="126"/>
      <c r="M576" s="125"/>
      <c r="N576" s="126"/>
    </row>
    <row r="577" spans="1:14" x14ac:dyDescent="0.35">
      <c r="A577" s="126"/>
      <c r="B577" s="127"/>
      <c r="C577" s="126"/>
      <c r="D577" s="126"/>
      <c r="E577" s="128"/>
      <c r="F577" s="128"/>
      <c r="G577" s="128"/>
      <c r="H577" s="128"/>
      <c r="I577" s="128"/>
      <c r="J577" s="126"/>
      <c r="K577" s="126"/>
      <c r="L577" s="126"/>
      <c r="M577" s="125"/>
      <c r="N577" s="126"/>
    </row>
    <row r="578" spans="1:14" x14ac:dyDescent="0.35">
      <c r="A578" s="126"/>
      <c r="B578" s="127"/>
      <c r="C578" s="126"/>
      <c r="D578" s="126"/>
      <c r="E578" s="128"/>
      <c r="F578" s="128"/>
      <c r="G578" s="128"/>
      <c r="H578" s="128"/>
      <c r="I578" s="128"/>
      <c r="J578" s="126"/>
      <c r="K578" s="126"/>
      <c r="L578" s="126"/>
      <c r="M578" s="125"/>
      <c r="N578" s="126"/>
    </row>
    <row r="579" spans="1:14" x14ac:dyDescent="0.35">
      <c r="A579" s="126"/>
      <c r="B579" s="127"/>
      <c r="C579" s="126"/>
      <c r="D579" s="126"/>
      <c r="E579" s="128"/>
      <c r="F579" s="128"/>
      <c r="G579" s="128"/>
      <c r="H579" s="128"/>
      <c r="I579" s="128"/>
      <c r="J579" s="126"/>
      <c r="K579" s="126"/>
      <c r="L579" s="126"/>
      <c r="M579" s="125"/>
      <c r="N579" s="126"/>
    </row>
    <row r="580" spans="1:14" x14ac:dyDescent="0.35">
      <c r="A580" s="126"/>
      <c r="B580" s="127"/>
      <c r="C580" s="126"/>
      <c r="D580" s="126"/>
      <c r="E580" s="128"/>
      <c r="F580" s="128"/>
      <c r="G580" s="128"/>
      <c r="H580" s="128"/>
      <c r="I580" s="128"/>
      <c r="J580" s="126"/>
      <c r="K580" s="126"/>
      <c r="L580" s="126"/>
      <c r="M580" s="125"/>
      <c r="N580" s="126"/>
    </row>
    <row r="581" spans="1:14" x14ac:dyDescent="0.35">
      <c r="A581" s="126"/>
      <c r="B581" s="127"/>
      <c r="C581" s="126"/>
      <c r="D581" s="126"/>
      <c r="E581" s="128"/>
      <c r="F581" s="128"/>
      <c r="G581" s="128"/>
      <c r="H581" s="128"/>
      <c r="I581" s="128"/>
      <c r="J581" s="126"/>
      <c r="K581" s="126"/>
      <c r="L581" s="126"/>
      <c r="M581" s="125"/>
      <c r="N581" s="126"/>
    </row>
    <row r="582" spans="1:14" x14ac:dyDescent="0.35">
      <c r="A582" s="126"/>
      <c r="B582" s="127"/>
      <c r="C582" s="126"/>
      <c r="D582" s="126"/>
      <c r="E582" s="128"/>
      <c r="F582" s="128"/>
      <c r="G582" s="128"/>
      <c r="H582" s="128"/>
      <c r="I582" s="128"/>
      <c r="J582" s="126"/>
      <c r="K582" s="126"/>
      <c r="L582" s="126"/>
      <c r="M582" s="125"/>
      <c r="N582" s="126"/>
    </row>
    <row r="583" spans="1:14" x14ac:dyDescent="0.35">
      <c r="A583" s="126"/>
      <c r="B583" s="127"/>
      <c r="C583" s="126"/>
      <c r="D583" s="126"/>
      <c r="E583" s="128"/>
      <c r="F583" s="128"/>
      <c r="G583" s="128"/>
      <c r="H583" s="128"/>
      <c r="I583" s="128"/>
      <c r="J583" s="126"/>
      <c r="K583" s="126"/>
      <c r="L583" s="126"/>
      <c r="M583" s="125"/>
      <c r="N583" s="126"/>
    </row>
    <row r="584" spans="1:14" x14ac:dyDescent="0.35">
      <c r="A584" s="126"/>
      <c r="B584" s="127"/>
      <c r="C584" s="126"/>
      <c r="D584" s="126"/>
      <c r="E584" s="128"/>
      <c r="F584" s="128"/>
      <c r="G584" s="128"/>
      <c r="H584" s="128"/>
      <c r="I584" s="128"/>
      <c r="J584" s="126"/>
      <c r="K584" s="126"/>
      <c r="L584" s="126"/>
      <c r="M584" s="125"/>
      <c r="N584" s="126"/>
    </row>
    <row r="585" spans="1:14" x14ac:dyDescent="0.35">
      <c r="A585" s="126"/>
      <c r="B585" s="127"/>
      <c r="C585" s="126"/>
      <c r="D585" s="126"/>
      <c r="E585" s="128"/>
      <c r="F585" s="128"/>
      <c r="G585" s="128"/>
      <c r="H585" s="128"/>
      <c r="I585" s="128"/>
      <c r="J585" s="126"/>
      <c r="K585" s="126"/>
      <c r="L585" s="126"/>
      <c r="M585" s="125"/>
      <c r="N585" s="126"/>
    </row>
    <row r="586" spans="1:14" x14ac:dyDescent="0.35">
      <c r="A586" s="126"/>
      <c r="B586" s="127"/>
      <c r="C586" s="126"/>
      <c r="D586" s="126"/>
      <c r="E586" s="128"/>
      <c r="F586" s="128"/>
      <c r="G586" s="128"/>
      <c r="H586" s="128"/>
      <c r="I586" s="128"/>
      <c r="J586" s="126"/>
      <c r="K586" s="126"/>
      <c r="L586" s="126"/>
      <c r="M586" s="125"/>
      <c r="N586" s="126"/>
    </row>
    <row r="587" spans="1:14" x14ac:dyDescent="0.35">
      <c r="A587" s="126"/>
      <c r="B587" s="127"/>
      <c r="C587" s="126"/>
      <c r="D587" s="126"/>
      <c r="E587" s="128"/>
      <c r="F587" s="128"/>
      <c r="G587" s="128"/>
      <c r="H587" s="128"/>
      <c r="I587" s="128"/>
      <c r="J587" s="126"/>
      <c r="K587" s="126"/>
      <c r="L587" s="126"/>
      <c r="M587" s="125"/>
      <c r="N587" s="126"/>
    </row>
    <row r="588" spans="1:14" x14ac:dyDescent="0.35">
      <c r="A588" s="126"/>
      <c r="B588" s="127"/>
      <c r="C588" s="126"/>
      <c r="D588" s="126"/>
      <c r="E588" s="128"/>
      <c r="F588" s="128"/>
      <c r="G588" s="128"/>
      <c r="H588" s="128"/>
      <c r="I588" s="128"/>
      <c r="J588" s="126"/>
      <c r="K588" s="126"/>
      <c r="L588" s="126"/>
      <c r="M588" s="125"/>
      <c r="N588" s="126"/>
    </row>
    <row r="589" spans="1:14" x14ac:dyDescent="0.35">
      <c r="A589" s="126"/>
      <c r="B589" s="127"/>
      <c r="C589" s="126"/>
      <c r="D589" s="126"/>
      <c r="E589" s="128"/>
      <c r="F589" s="128"/>
      <c r="G589" s="128"/>
      <c r="H589" s="128"/>
      <c r="I589" s="128"/>
      <c r="J589" s="126"/>
      <c r="K589" s="126"/>
      <c r="L589" s="126"/>
      <c r="M589" s="125"/>
      <c r="N589" s="126"/>
    </row>
    <row r="590" spans="1:14" x14ac:dyDescent="0.35">
      <c r="A590" s="126"/>
      <c r="B590" s="127"/>
      <c r="C590" s="126"/>
      <c r="D590" s="126"/>
      <c r="E590" s="128"/>
      <c r="F590" s="128"/>
      <c r="G590" s="128"/>
      <c r="H590" s="128"/>
      <c r="I590" s="128"/>
      <c r="J590" s="126"/>
      <c r="K590" s="126"/>
      <c r="L590" s="126"/>
      <c r="M590" s="125"/>
      <c r="N590" s="126"/>
    </row>
    <row r="591" spans="1:14" x14ac:dyDescent="0.35">
      <c r="A591" s="126"/>
      <c r="B591" s="127"/>
      <c r="C591" s="126"/>
      <c r="D591" s="126"/>
      <c r="E591" s="128"/>
      <c r="F591" s="128"/>
      <c r="G591" s="128"/>
      <c r="H591" s="128"/>
      <c r="I591" s="128"/>
      <c r="J591" s="126"/>
      <c r="K591" s="126"/>
      <c r="L591" s="126"/>
      <c r="M591" s="125"/>
      <c r="N591" s="126"/>
    </row>
    <row r="592" spans="1:14" x14ac:dyDescent="0.35">
      <c r="A592" s="126"/>
      <c r="B592" s="127"/>
      <c r="C592" s="126"/>
      <c r="D592" s="126"/>
      <c r="E592" s="128"/>
      <c r="F592" s="128"/>
      <c r="G592" s="128"/>
      <c r="H592" s="128"/>
      <c r="I592" s="128"/>
      <c r="J592" s="126"/>
      <c r="K592" s="126"/>
      <c r="L592" s="126"/>
      <c r="M592" s="125"/>
      <c r="N592" s="126"/>
    </row>
    <row r="593" spans="1:14" x14ac:dyDescent="0.35">
      <c r="A593" s="126"/>
      <c r="B593" s="127"/>
      <c r="C593" s="126"/>
      <c r="D593" s="126"/>
      <c r="E593" s="128"/>
      <c r="F593" s="128"/>
      <c r="G593" s="128"/>
      <c r="H593" s="128"/>
      <c r="I593" s="128"/>
      <c r="J593" s="126"/>
      <c r="K593" s="126"/>
      <c r="L593" s="126"/>
      <c r="M593" s="125"/>
      <c r="N593" s="126"/>
    </row>
    <row r="594" spans="1:14" x14ac:dyDescent="0.35">
      <c r="A594" s="126"/>
      <c r="B594" s="127"/>
      <c r="C594" s="126"/>
      <c r="D594" s="126"/>
      <c r="E594" s="128"/>
      <c r="F594" s="128"/>
      <c r="G594" s="128"/>
      <c r="H594" s="128"/>
      <c r="I594" s="128"/>
      <c r="J594" s="126"/>
      <c r="K594" s="126"/>
      <c r="L594" s="126"/>
      <c r="M594" s="125"/>
      <c r="N594" s="126"/>
    </row>
    <row r="595" spans="1:14" x14ac:dyDescent="0.35">
      <c r="A595" s="126"/>
      <c r="B595" s="127"/>
      <c r="C595" s="126"/>
      <c r="D595" s="126"/>
      <c r="E595" s="128"/>
      <c r="F595" s="128"/>
      <c r="G595" s="128"/>
      <c r="H595" s="128"/>
      <c r="I595" s="128"/>
      <c r="J595" s="126"/>
      <c r="K595" s="126"/>
      <c r="L595" s="126"/>
      <c r="M595" s="125"/>
      <c r="N595" s="126"/>
    </row>
    <row r="596" spans="1:14" x14ac:dyDescent="0.35">
      <c r="A596" s="126"/>
      <c r="B596" s="127"/>
      <c r="C596" s="126"/>
      <c r="D596" s="126"/>
      <c r="E596" s="128"/>
      <c r="F596" s="128"/>
      <c r="G596" s="128"/>
      <c r="H596" s="128"/>
      <c r="I596" s="128"/>
      <c r="J596" s="126"/>
      <c r="K596" s="126"/>
      <c r="L596" s="126"/>
      <c r="M596" s="125"/>
      <c r="N596" s="126"/>
    </row>
    <row r="597" spans="1:14" x14ac:dyDescent="0.35">
      <c r="A597" s="126"/>
      <c r="B597" s="127"/>
      <c r="C597" s="126"/>
      <c r="D597" s="126"/>
      <c r="E597" s="128"/>
      <c r="F597" s="128"/>
      <c r="G597" s="128"/>
      <c r="H597" s="128"/>
      <c r="I597" s="128"/>
      <c r="J597" s="126"/>
      <c r="K597" s="126"/>
      <c r="L597" s="126"/>
      <c r="M597" s="125"/>
      <c r="N597" s="126"/>
    </row>
    <row r="598" spans="1:14" x14ac:dyDescent="0.35">
      <c r="A598" s="126"/>
      <c r="B598" s="127"/>
      <c r="C598" s="126"/>
      <c r="D598" s="126"/>
      <c r="E598" s="128"/>
      <c r="F598" s="128"/>
      <c r="G598" s="128"/>
      <c r="H598" s="128"/>
      <c r="I598" s="128"/>
      <c r="J598" s="126"/>
      <c r="K598" s="126"/>
      <c r="L598" s="126"/>
      <c r="M598" s="125"/>
      <c r="N598" s="126"/>
    </row>
    <row r="599" spans="1:14" x14ac:dyDescent="0.35">
      <c r="A599" s="126"/>
      <c r="B599" s="127"/>
      <c r="C599" s="126"/>
      <c r="D599" s="126"/>
      <c r="E599" s="128"/>
      <c r="F599" s="128"/>
      <c r="G599" s="128"/>
      <c r="H599" s="128"/>
      <c r="I599" s="128"/>
      <c r="J599" s="126"/>
      <c r="K599" s="126"/>
      <c r="L599" s="126"/>
      <c r="M599" s="125"/>
      <c r="N599" s="126"/>
    </row>
    <row r="600" spans="1:14" x14ac:dyDescent="0.35">
      <c r="A600" s="126"/>
      <c r="B600" s="127"/>
      <c r="C600" s="126"/>
      <c r="D600" s="126"/>
      <c r="E600" s="128"/>
      <c r="F600" s="128"/>
      <c r="G600" s="128"/>
      <c r="H600" s="128"/>
      <c r="I600" s="128"/>
      <c r="J600" s="126"/>
      <c r="K600" s="126"/>
      <c r="L600" s="126"/>
      <c r="M600" s="125"/>
      <c r="N600" s="126"/>
    </row>
    <row r="601" spans="1:14" x14ac:dyDescent="0.35">
      <c r="A601" s="126"/>
      <c r="B601" s="127"/>
      <c r="C601" s="126"/>
      <c r="D601" s="126"/>
      <c r="E601" s="128"/>
      <c r="F601" s="128"/>
      <c r="G601" s="128"/>
      <c r="H601" s="128"/>
      <c r="I601" s="128"/>
      <c r="J601" s="126"/>
      <c r="K601" s="126"/>
      <c r="L601" s="126"/>
      <c r="M601" s="125"/>
      <c r="N601" s="126"/>
    </row>
    <row r="602" spans="1:14" x14ac:dyDescent="0.35">
      <c r="A602" s="126"/>
      <c r="B602" s="127"/>
      <c r="C602" s="126"/>
      <c r="D602" s="126"/>
      <c r="E602" s="128"/>
      <c r="F602" s="128"/>
      <c r="G602" s="128"/>
      <c r="H602" s="128"/>
      <c r="I602" s="128"/>
      <c r="J602" s="126"/>
      <c r="K602" s="126"/>
      <c r="L602" s="126"/>
      <c r="M602" s="125"/>
      <c r="N602" s="126"/>
    </row>
    <row r="603" spans="1:14" x14ac:dyDescent="0.35">
      <c r="A603" s="126"/>
      <c r="B603" s="127"/>
      <c r="C603" s="126"/>
      <c r="D603" s="126"/>
      <c r="E603" s="128"/>
      <c r="F603" s="128"/>
      <c r="G603" s="128"/>
      <c r="H603" s="128"/>
      <c r="I603" s="128"/>
      <c r="J603" s="126"/>
      <c r="K603" s="126"/>
      <c r="L603" s="126"/>
      <c r="M603" s="125"/>
      <c r="N603" s="126"/>
    </row>
    <row r="604" spans="1:14" x14ac:dyDescent="0.35">
      <c r="A604" s="126"/>
      <c r="B604" s="127"/>
      <c r="C604" s="126"/>
      <c r="D604" s="126"/>
      <c r="E604" s="128"/>
      <c r="F604" s="128"/>
      <c r="G604" s="128"/>
      <c r="H604" s="128"/>
      <c r="I604" s="128"/>
      <c r="J604" s="126"/>
      <c r="K604" s="126"/>
      <c r="L604" s="126"/>
      <c r="M604" s="125"/>
      <c r="N604" s="126"/>
    </row>
    <row r="605" spans="1:14" x14ac:dyDescent="0.35">
      <c r="A605" s="126"/>
      <c r="B605" s="127"/>
      <c r="C605" s="126"/>
      <c r="D605" s="126"/>
      <c r="E605" s="128"/>
      <c r="F605" s="128"/>
      <c r="G605" s="128"/>
      <c r="H605" s="128"/>
      <c r="I605" s="128"/>
      <c r="J605" s="126"/>
      <c r="K605" s="126"/>
      <c r="L605" s="126"/>
      <c r="M605" s="125"/>
      <c r="N605" s="126"/>
    </row>
    <row r="606" spans="1:14" x14ac:dyDescent="0.35">
      <c r="A606" s="126"/>
      <c r="B606" s="127"/>
      <c r="C606" s="126"/>
      <c r="D606" s="126"/>
      <c r="E606" s="128"/>
      <c r="F606" s="128"/>
      <c r="G606" s="128"/>
      <c r="H606" s="128"/>
      <c r="I606" s="128"/>
      <c r="J606" s="126"/>
      <c r="K606" s="126"/>
      <c r="L606" s="126"/>
      <c r="M606" s="125"/>
      <c r="N606" s="126"/>
    </row>
    <row r="607" spans="1:14" x14ac:dyDescent="0.35">
      <c r="A607" s="126"/>
      <c r="B607" s="127"/>
      <c r="C607" s="126"/>
      <c r="D607" s="126"/>
      <c r="E607" s="128"/>
      <c r="F607" s="128"/>
      <c r="G607" s="128"/>
      <c r="H607" s="128"/>
      <c r="I607" s="128"/>
      <c r="J607" s="126"/>
      <c r="K607" s="126"/>
      <c r="L607" s="126"/>
      <c r="M607" s="125"/>
      <c r="N607" s="126"/>
    </row>
    <row r="608" spans="1:14" x14ac:dyDescent="0.35">
      <c r="A608" s="126"/>
      <c r="B608" s="127"/>
      <c r="C608" s="126"/>
      <c r="D608" s="126"/>
      <c r="E608" s="128"/>
      <c r="F608" s="128"/>
      <c r="G608" s="128"/>
      <c r="H608" s="128"/>
      <c r="I608" s="128"/>
      <c r="J608" s="126"/>
      <c r="K608" s="126"/>
      <c r="L608" s="126"/>
      <c r="M608" s="125"/>
      <c r="N608" s="126"/>
    </row>
    <row r="609" spans="1:14" x14ac:dyDescent="0.35">
      <c r="A609" s="126"/>
      <c r="B609" s="127"/>
      <c r="C609" s="126"/>
      <c r="D609" s="126"/>
      <c r="E609" s="128"/>
      <c r="F609" s="128"/>
      <c r="G609" s="128"/>
      <c r="H609" s="128"/>
      <c r="I609" s="128"/>
      <c r="J609" s="126"/>
      <c r="K609" s="126"/>
      <c r="L609" s="126"/>
      <c r="M609" s="125"/>
      <c r="N609" s="126"/>
    </row>
    <row r="610" spans="1:14" x14ac:dyDescent="0.35">
      <c r="A610" s="126"/>
      <c r="B610" s="127"/>
      <c r="C610" s="126"/>
      <c r="D610" s="126"/>
      <c r="E610" s="128"/>
      <c r="F610" s="128"/>
      <c r="G610" s="128"/>
      <c r="H610" s="128"/>
      <c r="I610" s="128"/>
      <c r="J610" s="126"/>
      <c r="K610" s="126"/>
      <c r="L610" s="126"/>
      <c r="M610" s="125"/>
      <c r="N610" s="126"/>
    </row>
    <row r="611" spans="1:14" x14ac:dyDescent="0.35">
      <c r="A611" s="126"/>
      <c r="B611" s="127"/>
      <c r="C611" s="126"/>
      <c r="D611" s="126"/>
      <c r="E611" s="128"/>
      <c r="F611" s="128"/>
      <c r="G611" s="128"/>
      <c r="H611" s="128"/>
      <c r="I611" s="128"/>
      <c r="J611" s="126"/>
      <c r="K611" s="126"/>
      <c r="L611" s="126"/>
      <c r="M611" s="125"/>
      <c r="N611" s="126"/>
    </row>
    <row r="612" spans="1:14" x14ac:dyDescent="0.35">
      <c r="A612" s="126"/>
      <c r="B612" s="127"/>
      <c r="C612" s="126"/>
      <c r="D612" s="126"/>
      <c r="E612" s="128"/>
      <c r="F612" s="128"/>
      <c r="G612" s="128"/>
      <c r="H612" s="128"/>
      <c r="I612" s="128"/>
      <c r="J612" s="126"/>
      <c r="K612" s="126"/>
      <c r="L612" s="126"/>
      <c r="M612" s="125"/>
      <c r="N612" s="126"/>
    </row>
    <row r="613" spans="1:14" x14ac:dyDescent="0.35">
      <c r="A613" s="126"/>
      <c r="B613" s="127"/>
      <c r="C613" s="126"/>
      <c r="D613" s="126"/>
      <c r="E613" s="128"/>
      <c r="F613" s="128"/>
      <c r="G613" s="128"/>
      <c r="H613" s="128"/>
      <c r="I613" s="128"/>
      <c r="J613" s="126"/>
      <c r="K613" s="126"/>
      <c r="L613" s="126"/>
      <c r="M613" s="125"/>
      <c r="N613" s="126"/>
    </row>
    <row r="614" spans="1:14" x14ac:dyDescent="0.35">
      <c r="A614" s="126"/>
      <c r="B614" s="127"/>
      <c r="C614" s="126"/>
      <c r="D614" s="126"/>
      <c r="E614" s="128"/>
      <c r="F614" s="128"/>
      <c r="G614" s="128"/>
      <c r="H614" s="128"/>
      <c r="I614" s="128"/>
      <c r="J614" s="126"/>
      <c r="K614" s="126"/>
      <c r="L614" s="126"/>
      <c r="M614" s="125"/>
      <c r="N614" s="126"/>
    </row>
    <row r="615" spans="1:14" x14ac:dyDescent="0.35">
      <c r="A615" s="126"/>
      <c r="B615" s="127"/>
      <c r="C615" s="126"/>
      <c r="D615" s="126"/>
      <c r="E615" s="128"/>
      <c r="F615" s="128"/>
      <c r="G615" s="128"/>
      <c r="H615" s="128"/>
      <c r="I615" s="128"/>
      <c r="J615" s="126"/>
      <c r="K615" s="126"/>
      <c r="L615" s="126"/>
      <c r="M615" s="125"/>
      <c r="N615" s="126"/>
    </row>
    <row r="616" spans="1:14" x14ac:dyDescent="0.35">
      <c r="A616" s="126"/>
      <c r="B616" s="127"/>
      <c r="C616" s="126"/>
      <c r="D616" s="126"/>
      <c r="E616" s="128"/>
      <c r="F616" s="128"/>
      <c r="G616" s="128"/>
      <c r="H616" s="128"/>
      <c r="I616" s="128"/>
      <c r="J616" s="126"/>
      <c r="K616" s="126"/>
      <c r="L616" s="126"/>
      <c r="M616" s="125"/>
      <c r="N616" s="126"/>
    </row>
    <row r="617" spans="1:14" x14ac:dyDescent="0.35">
      <c r="A617" s="126"/>
      <c r="B617" s="127"/>
      <c r="C617" s="126"/>
      <c r="D617" s="126"/>
      <c r="E617" s="128"/>
      <c r="F617" s="128"/>
      <c r="G617" s="128"/>
      <c r="H617" s="128"/>
      <c r="I617" s="128"/>
      <c r="J617" s="126"/>
      <c r="K617" s="126"/>
      <c r="L617" s="126"/>
      <c r="M617" s="125"/>
      <c r="N617" s="126"/>
    </row>
    <row r="618" spans="1:14" x14ac:dyDescent="0.35">
      <c r="A618" s="126"/>
      <c r="B618" s="127"/>
      <c r="C618" s="126"/>
      <c r="D618" s="126"/>
      <c r="E618" s="128"/>
      <c r="F618" s="128"/>
      <c r="G618" s="128"/>
      <c r="H618" s="128"/>
      <c r="I618" s="128"/>
      <c r="J618" s="126"/>
      <c r="K618" s="126"/>
      <c r="L618" s="126"/>
      <c r="M618" s="125"/>
      <c r="N618" s="126"/>
    </row>
    <row r="619" spans="1:14" x14ac:dyDescent="0.35">
      <c r="A619" s="126"/>
      <c r="B619" s="127"/>
      <c r="C619" s="126"/>
      <c r="D619" s="126"/>
      <c r="E619" s="128"/>
      <c r="F619" s="128"/>
      <c r="G619" s="128"/>
      <c r="H619" s="128"/>
      <c r="I619" s="128"/>
      <c r="J619" s="126"/>
      <c r="K619" s="126"/>
      <c r="L619" s="126"/>
      <c r="M619" s="125"/>
      <c r="N619" s="126"/>
    </row>
    <row r="620" spans="1:14" x14ac:dyDescent="0.35">
      <c r="A620" s="126"/>
      <c r="B620" s="127"/>
      <c r="C620" s="126"/>
      <c r="D620" s="126"/>
      <c r="E620" s="128"/>
      <c r="F620" s="128"/>
      <c r="G620" s="128"/>
      <c r="H620" s="128"/>
      <c r="I620" s="128"/>
      <c r="J620" s="126"/>
      <c r="K620" s="126"/>
      <c r="L620" s="126"/>
      <c r="M620" s="125"/>
      <c r="N620" s="126"/>
    </row>
    <row r="621" spans="1:14" x14ac:dyDescent="0.35">
      <c r="A621" s="126"/>
      <c r="B621" s="127"/>
      <c r="C621" s="126"/>
      <c r="D621" s="126"/>
      <c r="E621" s="128"/>
      <c r="F621" s="128"/>
      <c r="G621" s="128"/>
      <c r="H621" s="128"/>
      <c r="I621" s="128"/>
      <c r="J621" s="126"/>
      <c r="K621" s="126"/>
      <c r="L621" s="126"/>
      <c r="M621" s="125"/>
      <c r="N621" s="126"/>
    </row>
    <row r="622" spans="1:14" x14ac:dyDescent="0.35">
      <c r="A622" s="126"/>
      <c r="B622" s="127"/>
      <c r="C622" s="126"/>
      <c r="D622" s="126"/>
      <c r="E622" s="128"/>
      <c r="F622" s="128"/>
      <c r="G622" s="128"/>
      <c r="H622" s="128"/>
      <c r="I622" s="128"/>
      <c r="J622" s="126"/>
      <c r="K622" s="126"/>
      <c r="L622" s="126"/>
      <c r="M622" s="125"/>
      <c r="N622" s="126"/>
    </row>
    <row r="623" spans="1:14" x14ac:dyDescent="0.35">
      <c r="A623" s="126"/>
      <c r="B623" s="127"/>
      <c r="C623" s="126"/>
      <c r="D623" s="126"/>
      <c r="E623" s="128"/>
      <c r="F623" s="128"/>
      <c r="G623" s="128"/>
      <c r="H623" s="128"/>
      <c r="I623" s="128"/>
      <c r="J623" s="126"/>
      <c r="K623" s="126"/>
      <c r="L623" s="126"/>
      <c r="M623" s="125"/>
      <c r="N623" s="126"/>
    </row>
    <row r="624" spans="1:14" x14ac:dyDescent="0.35">
      <c r="A624" s="126"/>
      <c r="B624" s="127"/>
      <c r="C624" s="126"/>
      <c r="D624" s="126"/>
      <c r="E624" s="128"/>
      <c r="F624" s="128"/>
      <c r="G624" s="128"/>
      <c r="H624" s="128"/>
      <c r="I624" s="128"/>
      <c r="J624" s="126"/>
      <c r="K624" s="126"/>
      <c r="L624" s="126"/>
      <c r="M624" s="125"/>
      <c r="N624" s="126"/>
    </row>
    <row r="625" spans="1:14" x14ac:dyDescent="0.35">
      <c r="A625" s="126"/>
      <c r="B625" s="127"/>
      <c r="C625" s="126"/>
      <c r="D625" s="126"/>
      <c r="E625" s="128"/>
      <c r="F625" s="128"/>
      <c r="G625" s="128"/>
      <c r="H625" s="128"/>
      <c r="I625" s="128"/>
      <c r="J625" s="126"/>
      <c r="K625" s="126"/>
      <c r="L625" s="126"/>
      <c r="M625" s="125"/>
      <c r="N625" s="126"/>
    </row>
    <row r="626" spans="1:14" x14ac:dyDescent="0.35">
      <c r="A626" s="126"/>
      <c r="B626" s="127"/>
      <c r="C626" s="126"/>
      <c r="D626" s="126"/>
      <c r="E626" s="128"/>
      <c r="F626" s="128"/>
      <c r="G626" s="128"/>
      <c r="H626" s="128"/>
      <c r="I626" s="128"/>
      <c r="J626" s="126"/>
      <c r="K626" s="126"/>
      <c r="L626" s="126"/>
      <c r="M626" s="125"/>
      <c r="N626" s="126"/>
    </row>
    <row r="627" spans="1:14" x14ac:dyDescent="0.35">
      <c r="A627" s="126"/>
      <c r="B627" s="127"/>
      <c r="C627" s="126"/>
      <c r="D627" s="126"/>
      <c r="E627" s="128"/>
      <c r="F627" s="128"/>
      <c r="G627" s="128"/>
      <c r="H627" s="128"/>
      <c r="I627" s="128"/>
      <c r="J627" s="126"/>
      <c r="K627" s="126"/>
      <c r="L627" s="126"/>
      <c r="M627" s="125"/>
      <c r="N627" s="126"/>
    </row>
    <row r="628" spans="1:14" x14ac:dyDescent="0.35">
      <c r="A628" s="126"/>
      <c r="B628" s="127"/>
      <c r="C628" s="126"/>
      <c r="D628" s="126"/>
      <c r="E628" s="128"/>
      <c r="F628" s="128"/>
      <c r="G628" s="128"/>
      <c r="H628" s="128"/>
      <c r="I628" s="128"/>
      <c r="J628" s="126"/>
      <c r="K628" s="126"/>
      <c r="L628" s="126"/>
      <c r="M628" s="125"/>
      <c r="N628" s="126"/>
    </row>
    <row r="629" spans="1:14" x14ac:dyDescent="0.35">
      <c r="A629" s="126"/>
      <c r="B629" s="127"/>
      <c r="C629" s="126"/>
      <c r="D629" s="126"/>
      <c r="E629" s="128"/>
      <c r="F629" s="128"/>
      <c r="G629" s="128"/>
      <c r="H629" s="128"/>
      <c r="I629" s="128"/>
      <c r="J629" s="126"/>
      <c r="K629" s="126"/>
      <c r="L629" s="126"/>
      <c r="M629" s="125"/>
      <c r="N629" s="126"/>
    </row>
    <row r="630" spans="1:14" x14ac:dyDescent="0.35">
      <c r="A630" s="126"/>
      <c r="B630" s="127"/>
      <c r="C630" s="126"/>
      <c r="D630" s="126"/>
      <c r="E630" s="128"/>
      <c r="F630" s="128"/>
      <c r="G630" s="128"/>
      <c r="H630" s="128"/>
      <c r="I630" s="128"/>
      <c r="J630" s="126"/>
      <c r="K630" s="126"/>
      <c r="L630" s="126"/>
      <c r="M630" s="125"/>
      <c r="N630" s="126"/>
    </row>
    <row r="631" spans="1:14" x14ac:dyDescent="0.35">
      <c r="A631" s="126"/>
      <c r="B631" s="127"/>
      <c r="C631" s="126"/>
      <c r="D631" s="126"/>
      <c r="E631" s="128"/>
      <c r="F631" s="128"/>
      <c r="G631" s="128"/>
      <c r="H631" s="128"/>
      <c r="I631" s="128"/>
      <c r="J631" s="126"/>
      <c r="K631" s="126"/>
      <c r="L631" s="126"/>
      <c r="M631" s="125"/>
      <c r="N631" s="126"/>
    </row>
    <row r="632" spans="1:14" x14ac:dyDescent="0.35">
      <c r="A632" s="126"/>
      <c r="B632" s="127"/>
      <c r="C632" s="126"/>
      <c r="D632" s="126"/>
      <c r="E632" s="128"/>
      <c r="F632" s="128"/>
      <c r="G632" s="128"/>
      <c r="H632" s="128"/>
      <c r="I632" s="128"/>
      <c r="J632" s="126"/>
      <c r="K632" s="126"/>
      <c r="L632" s="126"/>
      <c r="M632" s="125"/>
      <c r="N632" s="126"/>
    </row>
    <row r="633" spans="1:14" x14ac:dyDescent="0.35">
      <c r="A633" s="126"/>
      <c r="B633" s="127"/>
      <c r="C633" s="126"/>
      <c r="D633" s="126"/>
      <c r="E633" s="128"/>
      <c r="F633" s="128"/>
      <c r="G633" s="128"/>
      <c r="H633" s="128"/>
      <c r="I633" s="128"/>
      <c r="J633" s="126"/>
      <c r="K633" s="126"/>
      <c r="L633" s="126"/>
      <c r="M633" s="125"/>
      <c r="N633" s="126"/>
    </row>
    <row r="634" spans="1:14" x14ac:dyDescent="0.35">
      <c r="A634" s="126"/>
      <c r="B634" s="127"/>
      <c r="C634" s="126"/>
      <c r="D634" s="126"/>
      <c r="E634" s="128"/>
      <c r="F634" s="128"/>
      <c r="G634" s="128"/>
      <c r="H634" s="128"/>
      <c r="I634" s="128"/>
      <c r="J634" s="126"/>
      <c r="K634" s="126"/>
      <c r="L634" s="126"/>
      <c r="M634" s="125"/>
      <c r="N634" s="126"/>
    </row>
    <row r="635" spans="1:14" x14ac:dyDescent="0.35">
      <c r="A635" s="126"/>
      <c r="B635" s="127"/>
      <c r="C635" s="126"/>
      <c r="D635" s="126"/>
      <c r="E635" s="128"/>
      <c r="F635" s="128"/>
      <c r="G635" s="128"/>
      <c r="H635" s="128"/>
      <c r="I635" s="128"/>
      <c r="J635" s="126"/>
      <c r="K635" s="126"/>
      <c r="L635" s="126"/>
      <c r="M635" s="125"/>
      <c r="N635" s="126"/>
    </row>
    <row r="636" spans="1:14" x14ac:dyDescent="0.35">
      <c r="A636" s="126"/>
      <c r="B636" s="127"/>
      <c r="C636" s="126"/>
      <c r="D636" s="126"/>
      <c r="E636" s="128"/>
      <c r="F636" s="128"/>
      <c r="G636" s="128"/>
      <c r="H636" s="128"/>
      <c r="I636" s="128"/>
      <c r="J636" s="126"/>
      <c r="K636" s="126"/>
      <c r="L636" s="126"/>
      <c r="M636" s="125"/>
      <c r="N636" s="126"/>
    </row>
    <row r="637" spans="1:14" x14ac:dyDescent="0.35">
      <c r="A637" s="126"/>
      <c r="B637" s="127"/>
      <c r="C637" s="126"/>
      <c r="D637" s="126"/>
      <c r="E637" s="128"/>
      <c r="F637" s="128"/>
      <c r="G637" s="128"/>
      <c r="H637" s="128"/>
      <c r="I637" s="128"/>
      <c r="J637" s="126"/>
      <c r="K637" s="126"/>
      <c r="L637" s="126"/>
      <c r="M637" s="125"/>
      <c r="N637" s="126"/>
    </row>
    <row r="638" spans="1:14" x14ac:dyDescent="0.35">
      <c r="A638" s="126"/>
      <c r="B638" s="127"/>
      <c r="C638" s="126"/>
      <c r="D638" s="126"/>
      <c r="E638" s="128"/>
      <c r="F638" s="128"/>
      <c r="G638" s="128"/>
      <c r="H638" s="128"/>
      <c r="I638" s="128"/>
      <c r="J638" s="126"/>
      <c r="K638" s="126"/>
      <c r="L638" s="126"/>
      <c r="M638" s="125"/>
      <c r="N638" s="126"/>
    </row>
    <row r="639" spans="1:14" x14ac:dyDescent="0.35">
      <c r="A639" s="126"/>
      <c r="B639" s="127"/>
      <c r="C639" s="126"/>
      <c r="D639" s="126"/>
      <c r="E639" s="128"/>
      <c r="F639" s="128"/>
      <c r="G639" s="128"/>
      <c r="H639" s="128"/>
      <c r="I639" s="128"/>
      <c r="J639" s="126"/>
      <c r="K639" s="126"/>
      <c r="L639" s="126"/>
      <c r="M639" s="125"/>
      <c r="N639" s="126"/>
    </row>
    <row r="640" spans="1:14" x14ac:dyDescent="0.35">
      <c r="A640" s="126"/>
      <c r="B640" s="127"/>
      <c r="C640" s="126"/>
      <c r="D640" s="126"/>
      <c r="E640" s="128"/>
      <c r="F640" s="128"/>
      <c r="G640" s="128"/>
      <c r="H640" s="128"/>
      <c r="I640" s="128"/>
      <c r="J640" s="126"/>
      <c r="K640" s="126"/>
      <c r="L640" s="126"/>
      <c r="M640" s="125"/>
      <c r="N640" s="126"/>
    </row>
    <row r="641" spans="1:14" x14ac:dyDescent="0.35">
      <c r="A641" s="126"/>
      <c r="B641" s="127"/>
      <c r="C641" s="126"/>
      <c r="D641" s="126"/>
      <c r="E641" s="128"/>
      <c r="F641" s="128"/>
      <c r="G641" s="128"/>
      <c r="H641" s="128"/>
      <c r="I641" s="128"/>
      <c r="J641" s="126"/>
      <c r="K641" s="126"/>
      <c r="L641" s="126"/>
      <c r="M641" s="125"/>
      <c r="N641" s="126"/>
    </row>
    <row r="642" spans="1:14" x14ac:dyDescent="0.35">
      <c r="A642" s="126"/>
      <c r="B642" s="127"/>
      <c r="C642" s="126"/>
      <c r="D642" s="126"/>
      <c r="E642" s="128"/>
      <c r="F642" s="128"/>
      <c r="G642" s="128"/>
      <c r="H642" s="128"/>
      <c r="I642" s="128"/>
      <c r="J642" s="126"/>
      <c r="K642" s="126"/>
      <c r="L642" s="126"/>
      <c r="M642" s="125"/>
      <c r="N642" s="126"/>
    </row>
    <row r="643" spans="1:14" x14ac:dyDescent="0.35">
      <c r="A643" s="126"/>
      <c r="B643" s="127"/>
      <c r="C643" s="126"/>
      <c r="D643" s="126"/>
      <c r="E643" s="128"/>
      <c r="F643" s="128"/>
      <c r="G643" s="128"/>
      <c r="H643" s="128"/>
      <c r="I643" s="128"/>
      <c r="J643" s="126"/>
      <c r="K643" s="126"/>
      <c r="L643" s="126"/>
      <c r="M643" s="125"/>
      <c r="N643" s="126"/>
    </row>
    <row r="644" spans="1:14" x14ac:dyDescent="0.35">
      <c r="A644" s="126"/>
      <c r="B644" s="127"/>
      <c r="C644" s="126"/>
      <c r="D644" s="126"/>
      <c r="E644" s="128"/>
      <c r="F644" s="128"/>
      <c r="G644" s="128"/>
      <c r="H644" s="128"/>
      <c r="I644" s="128"/>
      <c r="J644" s="126"/>
      <c r="K644" s="126"/>
      <c r="L644" s="126"/>
      <c r="M644" s="125"/>
      <c r="N644" s="126"/>
    </row>
    <row r="645" spans="1:14" x14ac:dyDescent="0.35">
      <c r="A645" s="126"/>
      <c r="B645" s="127"/>
      <c r="C645" s="126"/>
      <c r="D645" s="126"/>
      <c r="E645" s="128"/>
      <c r="F645" s="128"/>
      <c r="G645" s="128"/>
      <c r="H645" s="128"/>
      <c r="I645" s="128"/>
      <c r="J645" s="126"/>
      <c r="K645" s="126"/>
      <c r="L645" s="126"/>
      <c r="M645" s="125"/>
      <c r="N645" s="126"/>
    </row>
    <row r="646" spans="1:14" x14ac:dyDescent="0.35">
      <c r="A646" s="126"/>
      <c r="B646" s="127"/>
      <c r="C646" s="126"/>
      <c r="D646" s="126"/>
      <c r="E646" s="128"/>
      <c r="F646" s="128"/>
      <c r="G646" s="128"/>
      <c r="H646" s="128"/>
      <c r="I646" s="128"/>
      <c r="J646" s="126"/>
      <c r="K646" s="126"/>
      <c r="L646" s="126"/>
      <c r="M646" s="125"/>
      <c r="N646" s="126"/>
    </row>
    <row r="647" spans="1:14" x14ac:dyDescent="0.35">
      <c r="A647" s="126"/>
      <c r="B647" s="127"/>
      <c r="C647" s="126"/>
      <c r="D647" s="126"/>
      <c r="E647" s="128"/>
      <c r="F647" s="128"/>
      <c r="G647" s="128"/>
      <c r="H647" s="128"/>
      <c r="I647" s="128"/>
      <c r="J647" s="126"/>
      <c r="K647" s="126"/>
      <c r="L647" s="126"/>
      <c r="M647" s="125"/>
      <c r="N647" s="126"/>
    </row>
    <row r="648" spans="1:14" x14ac:dyDescent="0.35">
      <c r="A648" s="126"/>
      <c r="B648" s="127"/>
      <c r="C648" s="126"/>
      <c r="D648" s="126"/>
      <c r="E648" s="128"/>
      <c r="F648" s="128"/>
      <c r="G648" s="128"/>
      <c r="H648" s="128"/>
      <c r="I648" s="128"/>
      <c r="J648" s="126"/>
      <c r="K648" s="126"/>
      <c r="L648" s="126"/>
      <c r="M648" s="125"/>
      <c r="N648" s="126"/>
    </row>
    <row r="649" spans="1:14" x14ac:dyDescent="0.35">
      <c r="A649" s="126"/>
      <c r="B649" s="127"/>
      <c r="C649" s="126"/>
      <c r="D649" s="126"/>
      <c r="E649" s="128"/>
      <c r="F649" s="128"/>
      <c r="G649" s="128"/>
      <c r="H649" s="128"/>
      <c r="I649" s="128"/>
      <c r="J649" s="126"/>
      <c r="K649" s="126"/>
      <c r="L649" s="126"/>
      <c r="M649" s="125"/>
      <c r="N649" s="126"/>
    </row>
    <row r="650" spans="1:14" x14ac:dyDescent="0.35">
      <c r="A650" s="126"/>
      <c r="B650" s="127"/>
      <c r="C650" s="126"/>
      <c r="D650" s="126"/>
      <c r="E650" s="128"/>
      <c r="F650" s="128"/>
      <c r="G650" s="128"/>
      <c r="H650" s="128"/>
      <c r="I650" s="128"/>
      <c r="J650" s="126"/>
      <c r="K650" s="126"/>
      <c r="L650" s="126"/>
      <c r="M650" s="125"/>
      <c r="N650" s="126"/>
    </row>
    <row r="651" spans="1:14" x14ac:dyDescent="0.35">
      <c r="A651" s="126"/>
      <c r="B651" s="127"/>
      <c r="C651" s="126"/>
      <c r="D651" s="126"/>
      <c r="E651" s="128"/>
      <c r="F651" s="128"/>
      <c r="G651" s="128"/>
      <c r="H651" s="128"/>
      <c r="I651" s="128"/>
      <c r="J651" s="126"/>
      <c r="K651" s="126"/>
      <c r="L651" s="126"/>
      <c r="M651" s="125"/>
      <c r="N651" s="126"/>
    </row>
    <row r="652" spans="1:14" x14ac:dyDescent="0.35">
      <c r="A652" s="126"/>
      <c r="B652" s="127"/>
      <c r="C652" s="126"/>
      <c r="D652" s="126"/>
      <c r="E652" s="128"/>
      <c r="F652" s="128"/>
      <c r="G652" s="128"/>
      <c r="H652" s="128"/>
      <c r="I652" s="128"/>
      <c r="J652" s="126"/>
      <c r="K652" s="126"/>
      <c r="L652" s="126"/>
      <c r="M652" s="125"/>
      <c r="N652" s="126"/>
    </row>
    <row r="653" spans="1:14" x14ac:dyDescent="0.35">
      <c r="A653" s="126"/>
      <c r="B653" s="127"/>
      <c r="C653" s="126"/>
      <c r="D653" s="126"/>
      <c r="E653" s="128"/>
      <c r="F653" s="128"/>
      <c r="G653" s="128"/>
      <c r="H653" s="128"/>
      <c r="I653" s="128"/>
      <c r="J653" s="126"/>
      <c r="K653" s="126"/>
      <c r="L653" s="126"/>
      <c r="M653" s="125"/>
      <c r="N653" s="126"/>
    </row>
    <row r="654" spans="1:14" x14ac:dyDescent="0.35">
      <c r="A654" s="126"/>
      <c r="B654" s="127"/>
      <c r="C654" s="126"/>
      <c r="D654" s="126"/>
      <c r="E654" s="128"/>
      <c r="F654" s="128"/>
      <c r="G654" s="128"/>
      <c r="H654" s="128"/>
      <c r="I654" s="128"/>
      <c r="J654" s="126"/>
      <c r="K654" s="126"/>
      <c r="L654" s="126"/>
      <c r="M654" s="125"/>
      <c r="N654" s="126"/>
    </row>
    <row r="655" spans="1:14" x14ac:dyDescent="0.35">
      <c r="A655" s="126"/>
      <c r="B655" s="127"/>
      <c r="C655" s="126"/>
      <c r="D655" s="126"/>
      <c r="E655" s="128"/>
      <c r="F655" s="128"/>
      <c r="G655" s="128"/>
      <c r="H655" s="128"/>
      <c r="I655" s="128"/>
      <c r="J655" s="126"/>
      <c r="K655" s="126"/>
      <c r="L655" s="126"/>
      <c r="M655" s="125"/>
      <c r="N655" s="126"/>
    </row>
    <row r="656" spans="1:14" x14ac:dyDescent="0.35">
      <c r="A656" s="126"/>
      <c r="B656" s="127"/>
      <c r="C656" s="126"/>
      <c r="D656" s="126"/>
      <c r="E656" s="128"/>
      <c r="F656" s="128"/>
      <c r="G656" s="128"/>
      <c r="H656" s="128"/>
      <c r="I656" s="128"/>
      <c r="J656" s="126"/>
      <c r="K656" s="126"/>
      <c r="L656" s="126"/>
      <c r="M656" s="125"/>
      <c r="N656" s="126"/>
    </row>
    <row r="657" spans="1:14" x14ac:dyDescent="0.35">
      <c r="A657" s="126"/>
      <c r="B657" s="127"/>
      <c r="C657" s="126"/>
      <c r="D657" s="126"/>
      <c r="E657" s="128"/>
      <c r="F657" s="128"/>
      <c r="G657" s="128"/>
      <c r="H657" s="128"/>
      <c r="I657" s="128"/>
      <c r="J657" s="126"/>
      <c r="K657" s="126"/>
      <c r="L657" s="126"/>
      <c r="M657" s="125"/>
      <c r="N657" s="126"/>
    </row>
    <row r="658" spans="1:14" x14ac:dyDescent="0.35">
      <c r="A658" s="126"/>
      <c r="B658" s="127"/>
      <c r="C658" s="126"/>
      <c r="D658" s="126"/>
      <c r="E658" s="128"/>
      <c r="F658" s="128"/>
      <c r="G658" s="128"/>
      <c r="H658" s="128"/>
      <c r="I658" s="128"/>
      <c r="J658" s="126"/>
      <c r="K658" s="126"/>
      <c r="L658" s="126"/>
      <c r="M658" s="125"/>
      <c r="N658" s="126"/>
    </row>
    <row r="659" spans="1:14" x14ac:dyDescent="0.35">
      <c r="A659" s="126"/>
      <c r="B659" s="127"/>
      <c r="C659" s="126"/>
      <c r="D659" s="126"/>
      <c r="E659" s="128"/>
      <c r="F659" s="128"/>
      <c r="G659" s="128"/>
      <c r="H659" s="128"/>
      <c r="I659" s="128"/>
      <c r="J659" s="126"/>
      <c r="K659" s="126"/>
      <c r="L659" s="126"/>
      <c r="M659" s="125"/>
      <c r="N659" s="126"/>
    </row>
    <row r="660" spans="1:14" x14ac:dyDescent="0.35">
      <c r="A660" s="126"/>
      <c r="B660" s="127"/>
      <c r="C660" s="126"/>
      <c r="D660" s="126"/>
      <c r="E660" s="128"/>
      <c r="F660" s="128"/>
      <c r="G660" s="128"/>
      <c r="H660" s="128"/>
      <c r="I660" s="128"/>
      <c r="J660" s="126"/>
      <c r="K660" s="126"/>
      <c r="L660" s="126"/>
      <c r="M660" s="125"/>
      <c r="N660" s="126"/>
    </row>
    <row r="661" spans="1:14" x14ac:dyDescent="0.35">
      <c r="A661" s="126"/>
      <c r="B661" s="127"/>
      <c r="C661" s="126"/>
      <c r="D661" s="126"/>
      <c r="E661" s="128"/>
      <c r="F661" s="128"/>
      <c r="G661" s="128"/>
      <c r="H661" s="128"/>
      <c r="I661" s="128"/>
      <c r="J661" s="126"/>
      <c r="K661" s="126"/>
      <c r="L661" s="126"/>
      <c r="M661" s="125"/>
      <c r="N661" s="126"/>
    </row>
    <row r="662" spans="1:14" x14ac:dyDescent="0.35">
      <c r="A662" s="126"/>
      <c r="B662" s="127"/>
      <c r="C662" s="126"/>
      <c r="D662" s="126"/>
      <c r="E662" s="128"/>
      <c r="F662" s="128"/>
      <c r="G662" s="128"/>
      <c r="H662" s="128"/>
      <c r="I662" s="128"/>
      <c r="J662" s="126"/>
      <c r="K662" s="126"/>
      <c r="L662" s="126"/>
      <c r="M662" s="125"/>
      <c r="N662" s="126"/>
    </row>
    <row r="663" spans="1:14" x14ac:dyDescent="0.35">
      <c r="A663" s="126"/>
      <c r="B663" s="127"/>
      <c r="C663" s="126"/>
      <c r="D663" s="126"/>
      <c r="E663" s="128"/>
      <c r="F663" s="128"/>
      <c r="G663" s="128"/>
      <c r="H663" s="128"/>
      <c r="I663" s="128"/>
      <c r="J663" s="126"/>
      <c r="K663" s="126"/>
      <c r="L663" s="126"/>
      <c r="M663" s="125"/>
      <c r="N663" s="126"/>
    </row>
    <row r="664" spans="1:14" x14ac:dyDescent="0.35">
      <c r="A664" s="126"/>
      <c r="B664" s="127"/>
      <c r="C664" s="126"/>
      <c r="D664" s="126"/>
      <c r="E664" s="128"/>
      <c r="F664" s="128"/>
      <c r="G664" s="128"/>
      <c r="H664" s="128"/>
      <c r="I664" s="128"/>
      <c r="J664" s="126"/>
      <c r="K664" s="126"/>
      <c r="L664" s="126"/>
      <c r="M664" s="125"/>
      <c r="N664" s="126"/>
    </row>
    <row r="665" spans="1:14" x14ac:dyDescent="0.35">
      <c r="A665" s="126"/>
      <c r="B665" s="127"/>
      <c r="C665" s="126"/>
      <c r="D665" s="126"/>
      <c r="E665" s="128"/>
      <c r="F665" s="128"/>
      <c r="G665" s="128"/>
      <c r="H665" s="128"/>
      <c r="I665" s="128"/>
      <c r="J665" s="126"/>
      <c r="K665" s="126"/>
      <c r="L665" s="126"/>
      <c r="M665" s="125"/>
      <c r="N665" s="126"/>
    </row>
    <row r="666" spans="1:14" x14ac:dyDescent="0.35">
      <c r="A666" s="126"/>
      <c r="B666" s="127"/>
      <c r="C666" s="126"/>
      <c r="D666" s="126"/>
      <c r="E666" s="128"/>
      <c r="F666" s="128"/>
      <c r="G666" s="128"/>
      <c r="H666" s="128"/>
      <c r="I666" s="128"/>
      <c r="J666" s="126"/>
      <c r="K666" s="126"/>
      <c r="L666" s="126"/>
      <c r="M666" s="125"/>
      <c r="N666" s="126"/>
    </row>
    <row r="667" spans="1:14" x14ac:dyDescent="0.35">
      <c r="A667" s="126"/>
      <c r="B667" s="127"/>
      <c r="C667" s="126"/>
      <c r="D667" s="126"/>
      <c r="E667" s="128"/>
      <c r="F667" s="128"/>
      <c r="G667" s="128"/>
      <c r="H667" s="128"/>
      <c r="I667" s="128"/>
      <c r="J667" s="126"/>
      <c r="K667" s="126"/>
      <c r="L667" s="126"/>
      <c r="M667" s="125"/>
      <c r="N667" s="126"/>
    </row>
    <row r="668" spans="1:14" x14ac:dyDescent="0.35">
      <c r="A668" s="126"/>
      <c r="B668" s="127"/>
      <c r="C668" s="126"/>
      <c r="D668" s="126"/>
      <c r="E668" s="128"/>
      <c r="F668" s="128"/>
      <c r="G668" s="128"/>
      <c r="H668" s="128"/>
      <c r="I668" s="128"/>
      <c r="J668" s="126"/>
      <c r="K668" s="126"/>
      <c r="L668" s="126"/>
      <c r="M668" s="125"/>
      <c r="N668" s="126"/>
    </row>
    <row r="669" spans="1:14" x14ac:dyDescent="0.35">
      <c r="A669" s="126"/>
      <c r="B669" s="127"/>
      <c r="C669" s="126"/>
      <c r="D669" s="126"/>
      <c r="E669" s="128"/>
      <c r="F669" s="128"/>
      <c r="G669" s="128"/>
      <c r="H669" s="128"/>
      <c r="I669" s="128"/>
      <c r="J669" s="126"/>
      <c r="K669" s="126"/>
      <c r="L669" s="126"/>
      <c r="M669" s="125"/>
      <c r="N669" s="126"/>
    </row>
    <row r="670" spans="1:14" x14ac:dyDescent="0.35">
      <c r="A670" s="126"/>
      <c r="B670" s="127"/>
      <c r="C670" s="126"/>
      <c r="D670" s="126"/>
      <c r="E670" s="128"/>
      <c r="F670" s="128"/>
      <c r="G670" s="128"/>
      <c r="H670" s="128"/>
      <c r="I670" s="128"/>
      <c r="J670" s="126"/>
      <c r="K670" s="126"/>
      <c r="L670" s="126"/>
      <c r="M670" s="125"/>
      <c r="N670" s="126"/>
    </row>
    <row r="671" spans="1:14" x14ac:dyDescent="0.35">
      <c r="A671" s="126"/>
      <c r="B671" s="127"/>
      <c r="C671" s="126"/>
      <c r="D671" s="126"/>
      <c r="E671" s="128"/>
      <c r="F671" s="128"/>
      <c r="G671" s="128"/>
      <c r="H671" s="128"/>
      <c r="I671" s="128"/>
      <c r="J671" s="126"/>
      <c r="K671" s="126"/>
      <c r="L671" s="126"/>
      <c r="M671" s="125"/>
      <c r="N671" s="126"/>
    </row>
    <row r="672" spans="1:14" x14ac:dyDescent="0.35">
      <c r="A672" s="126"/>
      <c r="B672" s="127"/>
      <c r="C672" s="126"/>
      <c r="D672" s="126"/>
      <c r="E672" s="128"/>
      <c r="F672" s="128"/>
      <c r="G672" s="128"/>
      <c r="H672" s="128"/>
      <c r="I672" s="128"/>
      <c r="J672" s="126"/>
      <c r="K672" s="126"/>
      <c r="L672" s="126"/>
      <c r="M672" s="125"/>
      <c r="N672" s="126"/>
    </row>
    <row r="673" spans="1:14" x14ac:dyDescent="0.35">
      <c r="A673" s="126"/>
      <c r="B673" s="127"/>
      <c r="C673" s="126"/>
      <c r="D673" s="126"/>
      <c r="E673" s="128"/>
      <c r="F673" s="128"/>
      <c r="G673" s="128"/>
      <c r="H673" s="128"/>
      <c r="I673" s="128"/>
      <c r="J673" s="126"/>
      <c r="K673" s="126"/>
      <c r="L673" s="126"/>
      <c r="M673" s="125"/>
      <c r="N673" s="126"/>
    </row>
    <row r="674" spans="1:14" x14ac:dyDescent="0.35">
      <c r="A674" s="126"/>
      <c r="B674" s="127"/>
      <c r="C674" s="126"/>
      <c r="D674" s="126"/>
      <c r="E674" s="128"/>
      <c r="F674" s="128"/>
      <c r="G674" s="128"/>
      <c r="H674" s="128"/>
      <c r="I674" s="128"/>
      <c r="J674" s="126"/>
      <c r="K674" s="126"/>
      <c r="L674" s="126"/>
      <c r="M674" s="125"/>
      <c r="N674" s="126"/>
    </row>
    <row r="675" spans="1:14" x14ac:dyDescent="0.35">
      <c r="A675" s="126"/>
      <c r="B675" s="127"/>
      <c r="C675" s="126"/>
      <c r="D675" s="126"/>
      <c r="E675" s="128"/>
      <c r="F675" s="128"/>
      <c r="G675" s="128"/>
      <c r="H675" s="128"/>
      <c r="I675" s="128"/>
      <c r="J675" s="126"/>
      <c r="K675" s="126"/>
      <c r="L675" s="126"/>
      <c r="M675" s="125"/>
      <c r="N675" s="126"/>
    </row>
    <row r="676" spans="1:14" x14ac:dyDescent="0.35">
      <c r="A676" s="126"/>
      <c r="B676" s="127"/>
      <c r="C676" s="126"/>
      <c r="D676" s="126"/>
      <c r="E676" s="128"/>
      <c r="F676" s="128"/>
      <c r="G676" s="128"/>
      <c r="H676" s="128"/>
      <c r="I676" s="128"/>
      <c r="J676" s="126"/>
      <c r="K676" s="126"/>
      <c r="L676" s="126"/>
      <c r="M676" s="125"/>
      <c r="N676" s="126"/>
    </row>
    <row r="677" spans="1:14" x14ac:dyDescent="0.35">
      <c r="A677" s="126"/>
      <c r="B677" s="127"/>
      <c r="C677" s="126"/>
      <c r="D677" s="126"/>
      <c r="E677" s="128"/>
      <c r="F677" s="128"/>
      <c r="G677" s="128"/>
      <c r="H677" s="128"/>
      <c r="I677" s="128"/>
      <c r="J677" s="126"/>
      <c r="K677" s="126"/>
      <c r="L677" s="126"/>
      <c r="M677" s="125"/>
      <c r="N677" s="126"/>
    </row>
    <row r="678" spans="1:14" x14ac:dyDescent="0.35">
      <c r="A678" s="126"/>
      <c r="B678" s="127"/>
      <c r="C678" s="126"/>
      <c r="D678" s="126"/>
      <c r="E678" s="128"/>
      <c r="F678" s="128"/>
      <c r="G678" s="128"/>
      <c r="H678" s="128"/>
      <c r="I678" s="128"/>
      <c r="J678" s="126"/>
      <c r="K678" s="126"/>
      <c r="L678" s="126"/>
      <c r="M678" s="125"/>
      <c r="N678" s="126"/>
    </row>
    <row r="679" spans="1:14" x14ac:dyDescent="0.35">
      <c r="A679" s="126"/>
      <c r="B679" s="127"/>
      <c r="C679" s="126"/>
      <c r="D679" s="126"/>
      <c r="E679" s="128"/>
      <c r="F679" s="128"/>
      <c r="G679" s="128"/>
      <c r="H679" s="128"/>
      <c r="I679" s="128"/>
      <c r="J679" s="126"/>
      <c r="K679" s="126"/>
      <c r="L679" s="126"/>
      <c r="M679" s="125"/>
      <c r="N679" s="126"/>
    </row>
    <row r="680" spans="1:14" x14ac:dyDescent="0.35">
      <c r="A680" s="126"/>
      <c r="B680" s="127"/>
      <c r="C680" s="126"/>
      <c r="D680" s="126"/>
      <c r="E680" s="128"/>
      <c r="F680" s="128"/>
      <c r="G680" s="128"/>
      <c r="H680" s="128"/>
      <c r="I680" s="128"/>
      <c r="J680" s="126"/>
      <c r="K680" s="126"/>
      <c r="L680" s="126"/>
      <c r="M680" s="125"/>
      <c r="N680" s="126"/>
    </row>
    <row r="681" spans="1:14" x14ac:dyDescent="0.35">
      <c r="A681" s="126"/>
      <c r="B681" s="127"/>
      <c r="C681" s="126"/>
      <c r="D681" s="126"/>
      <c r="E681" s="128"/>
      <c r="F681" s="128"/>
      <c r="G681" s="128"/>
      <c r="H681" s="128"/>
      <c r="I681" s="128"/>
      <c r="J681" s="126"/>
      <c r="K681" s="126"/>
      <c r="L681" s="126"/>
      <c r="M681" s="125"/>
      <c r="N681" s="126"/>
    </row>
    <row r="682" spans="1:14" x14ac:dyDescent="0.35">
      <c r="A682" s="126"/>
      <c r="B682" s="127"/>
      <c r="C682" s="126"/>
      <c r="D682" s="126"/>
      <c r="E682" s="128"/>
      <c r="F682" s="128"/>
      <c r="G682" s="128"/>
      <c r="H682" s="128"/>
      <c r="I682" s="128"/>
      <c r="J682" s="126"/>
      <c r="K682" s="126"/>
      <c r="L682" s="126"/>
      <c r="M682" s="125"/>
      <c r="N682" s="126"/>
    </row>
    <row r="683" spans="1:14" x14ac:dyDescent="0.35">
      <c r="A683" s="126"/>
      <c r="B683" s="127"/>
      <c r="C683" s="126"/>
      <c r="D683" s="126"/>
      <c r="E683" s="128"/>
      <c r="F683" s="128"/>
      <c r="G683" s="128"/>
      <c r="H683" s="128"/>
      <c r="I683" s="128"/>
      <c r="J683" s="126"/>
      <c r="K683" s="126"/>
      <c r="L683" s="126"/>
      <c r="M683" s="125"/>
      <c r="N683" s="126"/>
    </row>
    <row r="684" spans="1:14" x14ac:dyDescent="0.35">
      <c r="A684" s="126"/>
      <c r="B684" s="127"/>
      <c r="C684" s="126"/>
      <c r="D684" s="126"/>
      <c r="E684" s="128"/>
      <c r="F684" s="128"/>
      <c r="G684" s="128"/>
      <c r="H684" s="128"/>
      <c r="I684" s="128"/>
      <c r="J684" s="126"/>
      <c r="K684" s="126"/>
      <c r="L684" s="126"/>
      <c r="M684" s="125"/>
      <c r="N684" s="126"/>
    </row>
    <row r="685" spans="1:14" x14ac:dyDescent="0.35">
      <c r="A685" s="126"/>
      <c r="B685" s="127"/>
      <c r="C685" s="126"/>
      <c r="D685" s="126"/>
      <c r="E685" s="128"/>
      <c r="F685" s="128"/>
      <c r="G685" s="128"/>
      <c r="H685" s="128"/>
      <c r="I685" s="128"/>
      <c r="J685" s="126"/>
      <c r="K685" s="126"/>
      <c r="L685" s="126"/>
      <c r="M685" s="125"/>
      <c r="N685" s="126"/>
    </row>
    <row r="686" spans="1:14" x14ac:dyDescent="0.35">
      <c r="A686" s="126"/>
      <c r="B686" s="127"/>
      <c r="C686" s="126"/>
      <c r="D686" s="126"/>
      <c r="E686" s="128"/>
      <c r="F686" s="128"/>
      <c r="G686" s="128"/>
      <c r="H686" s="128"/>
      <c r="I686" s="128"/>
      <c r="J686" s="126"/>
      <c r="K686" s="126"/>
      <c r="L686" s="126"/>
      <c r="M686" s="125"/>
      <c r="N686" s="126"/>
    </row>
    <row r="687" spans="1:14" x14ac:dyDescent="0.35">
      <c r="A687" s="126"/>
      <c r="B687" s="127"/>
      <c r="C687" s="126"/>
      <c r="D687" s="126"/>
      <c r="E687" s="128"/>
      <c r="F687" s="128"/>
      <c r="G687" s="128"/>
      <c r="H687" s="128"/>
      <c r="I687" s="128"/>
      <c r="J687" s="126"/>
      <c r="K687" s="126"/>
      <c r="L687" s="126"/>
      <c r="M687" s="125"/>
      <c r="N687" s="126"/>
    </row>
    <row r="688" spans="1:14" x14ac:dyDescent="0.35">
      <c r="A688" s="126"/>
      <c r="B688" s="127"/>
      <c r="C688" s="126"/>
      <c r="D688" s="126"/>
      <c r="E688" s="128"/>
      <c r="F688" s="128"/>
      <c r="G688" s="128"/>
      <c r="H688" s="128"/>
      <c r="I688" s="128"/>
      <c r="J688" s="126"/>
      <c r="K688" s="126"/>
      <c r="L688" s="126"/>
      <c r="M688" s="125"/>
      <c r="N688" s="126"/>
    </row>
    <row r="689" spans="1:14" x14ac:dyDescent="0.35">
      <c r="A689" s="126"/>
      <c r="B689" s="127"/>
      <c r="C689" s="126"/>
      <c r="D689" s="126"/>
      <c r="E689" s="128"/>
      <c r="F689" s="128"/>
      <c r="G689" s="128"/>
      <c r="H689" s="128"/>
      <c r="I689" s="128"/>
      <c r="J689" s="126"/>
      <c r="K689" s="126"/>
      <c r="L689" s="126"/>
      <c r="M689" s="125"/>
      <c r="N689" s="126"/>
    </row>
    <row r="690" spans="1:14" x14ac:dyDescent="0.35">
      <c r="A690" s="126"/>
      <c r="B690" s="127"/>
      <c r="C690" s="126"/>
      <c r="D690" s="126"/>
      <c r="E690" s="128"/>
      <c r="F690" s="128"/>
      <c r="G690" s="128"/>
      <c r="H690" s="128"/>
      <c r="I690" s="128"/>
      <c r="J690" s="126"/>
      <c r="K690" s="126"/>
      <c r="L690" s="126"/>
      <c r="M690" s="125"/>
      <c r="N690" s="126"/>
    </row>
    <row r="691" spans="1:14" x14ac:dyDescent="0.35">
      <c r="A691" s="126"/>
      <c r="B691" s="127"/>
      <c r="C691" s="126"/>
      <c r="D691" s="126"/>
      <c r="E691" s="128"/>
      <c r="F691" s="128"/>
      <c r="G691" s="128"/>
      <c r="H691" s="128"/>
      <c r="I691" s="128"/>
      <c r="J691" s="126"/>
      <c r="K691" s="126"/>
      <c r="L691" s="126"/>
      <c r="M691" s="125"/>
      <c r="N691" s="126"/>
    </row>
    <row r="692" spans="1:14" x14ac:dyDescent="0.35">
      <c r="A692" s="126"/>
      <c r="B692" s="127"/>
      <c r="C692" s="126"/>
      <c r="D692" s="126"/>
      <c r="E692" s="128"/>
      <c r="F692" s="128"/>
      <c r="G692" s="128"/>
      <c r="H692" s="128"/>
      <c r="I692" s="128"/>
      <c r="J692" s="126"/>
      <c r="K692" s="126"/>
      <c r="L692" s="126"/>
      <c r="M692" s="125"/>
      <c r="N692" s="126"/>
    </row>
    <row r="693" spans="1:14" x14ac:dyDescent="0.35">
      <c r="A693" s="126"/>
      <c r="B693" s="127"/>
      <c r="C693" s="126"/>
      <c r="D693" s="126"/>
      <c r="E693" s="128"/>
      <c r="F693" s="128"/>
      <c r="G693" s="128"/>
      <c r="H693" s="128"/>
      <c r="I693" s="128"/>
      <c r="J693" s="126"/>
      <c r="K693" s="126"/>
      <c r="L693" s="126"/>
      <c r="M693" s="125"/>
      <c r="N693" s="126"/>
    </row>
    <row r="694" spans="1:14" x14ac:dyDescent="0.35">
      <c r="A694" s="126"/>
      <c r="B694" s="127"/>
      <c r="C694" s="126"/>
      <c r="D694" s="126"/>
      <c r="E694" s="128"/>
      <c r="F694" s="128"/>
      <c r="G694" s="128"/>
      <c r="H694" s="128"/>
      <c r="I694" s="128"/>
      <c r="J694" s="126"/>
      <c r="K694" s="126"/>
      <c r="L694" s="126"/>
      <c r="M694" s="125"/>
      <c r="N694" s="126"/>
    </row>
    <row r="695" spans="1:14" x14ac:dyDescent="0.35">
      <c r="A695" s="126"/>
      <c r="B695" s="127"/>
      <c r="C695" s="126"/>
      <c r="D695" s="126"/>
      <c r="E695" s="128"/>
      <c r="F695" s="128"/>
      <c r="G695" s="128"/>
      <c r="H695" s="128"/>
      <c r="I695" s="128"/>
      <c r="J695" s="126"/>
      <c r="K695" s="126"/>
      <c r="L695" s="126"/>
      <c r="M695" s="125"/>
      <c r="N695" s="126"/>
    </row>
    <row r="696" spans="1:14" x14ac:dyDescent="0.35">
      <c r="A696" s="126"/>
      <c r="B696" s="127"/>
      <c r="C696" s="126"/>
      <c r="D696" s="126"/>
      <c r="E696" s="128"/>
      <c r="F696" s="128"/>
      <c r="G696" s="128"/>
      <c r="H696" s="128"/>
      <c r="I696" s="128"/>
      <c r="J696" s="126"/>
      <c r="K696" s="126"/>
      <c r="L696" s="126"/>
      <c r="M696" s="125"/>
      <c r="N696" s="126"/>
    </row>
    <row r="697" spans="1:14" x14ac:dyDescent="0.35">
      <c r="A697" s="126"/>
      <c r="B697" s="127"/>
      <c r="C697" s="126"/>
      <c r="D697" s="126"/>
      <c r="E697" s="128"/>
      <c r="F697" s="128"/>
      <c r="G697" s="128"/>
      <c r="H697" s="128"/>
      <c r="I697" s="128"/>
      <c r="J697" s="126"/>
      <c r="K697" s="126"/>
      <c r="L697" s="126"/>
      <c r="M697" s="125"/>
      <c r="N697" s="126"/>
    </row>
    <row r="698" spans="1:14" x14ac:dyDescent="0.35">
      <c r="A698" s="126"/>
      <c r="B698" s="127"/>
      <c r="C698" s="126"/>
      <c r="D698" s="126"/>
      <c r="E698" s="128"/>
      <c r="F698" s="128"/>
      <c r="G698" s="128"/>
      <c r="H698" s="128"/>
      <c r="I698" s="128"/>
      <c r="J698" s="126"/>
      <c r="K698" s="126"/>
      <c r="L698" s="126"/>
      <c r="M698" s="125"/>
      <c r="N698" s="126"/>
    </row>
    <row r="699" spans="1:14" x14ac:dyDescent="0.35">
      <c r="A699" s="126"/>
      <c r="B699" s="127"/>
      <c r="C699" s="126"/>
      <c r="D699" s="126"/>
      <c r="E699" s="128"/>
      <c r="F699" s="128"/>
      <c r="G699" s="128"/>
      <c r="H699" s="128"/>
      <c r="I699" s="128"/>
      <c r="J699" s="126"/>
      <c r="K699" s="126"/>
      <c r="L699" s="126"/>
      <c r="M699" s="125"/>
      <c r="N699" s="126"/>
    </row>
    <row r="700" spans="1:14" x14ac:dyDescent="0.35">
      <c r="A700" s="126"/>
      <c r="B700" s="127"/>
      <c r="C700" s="126"/>
      <c r="D700" s="126"/>
      <c r="E700" s="128"/>
      <c r="F700" s="128"/>
      <c r="G700" s="128"/>
      <c r="H700" s="128"/>
      <c r="I700" s="128"/>
      <c r="J700" s="126"/>
      <c r="K700" s="126"/>
      <c r="L700" s="126"/>
      <c r="M700" s="125"/>
      <c r="N700" s="126"/>
    </row>
    <row r="701" spans="1:14" x14ac:dyDescent="0.35">
      <c r="A701" s="126"/>
      <c r="B701" s="127"/>
      <c r="C701" s="126"/>
      <c r="D701" s="126"/>
      <c r="E701" s="128"/>
      <c r="F701" s="128"/>
      <c r="G701" s="128"/>
      <c r="H701" s="128"/>
      <c r="I701" s="128"/>
      <c r="J701" s="126"/>
      <c r="K701" s="126"/>
      <c r="L701" s="126"/>
      <c r="M701" s="125"/>
      <c r="N701" s="126"/>
    </row>
    <row r="702" spans="1:14" x14ac:dyDescent="0.35">
      <c r="A702" s="126"/>
      <c r="B702" s="127"/>
      <c r="C702" s="126"/>
      <c r="D702" s="126"/>
      <c r="E702" s="128"/>
      <c r="F702" s="128"/>
      <c r="G702" s="128"/>
      <c r="H702" s="128"/>
      <c r="I702" s="128"/>
      <c r="J702" s="126"/>
      <c r="K702" s="126"/>
      <c r="L702" s="126"/>
      <c r="M702" s="125"/>
      <c r="N702" s="126"/>
    </row>
    <row r="703" spans="1:14" x14ac:dyDescent="0.35">
      <c r="A703" s="126"/>
      <c r="B703" s="127"/>
      <c r="C703" s="126"/>
      <c r="D703" s="126"/>
      <c r="E703" s="128"/>
      <c r="F703" s="128"/>
      <c r="G703" s="128"/>
      <c r="H703" s="128"/>
      <c r="I703" s="128"/>
      <c r="J703" s="126"/>
      <c r="K703" s="126"/>
      <c r="L703" s="126"/>
      <c r="M703" s="125"/>
      <c r="N703" s="126"/>
    </row>
    <row r="704" spans="1:14" x14ac:dyDescent="0.35">
      <c r="A704" s="126"/>
      <c r="B704" s="127"/>
      <c r="C704" s="126"/>
      <c r="D704" s="126"/>
      <c r="E704" s="128"/>
      <c r="F704" s="128"/>
      <c r="G704" s="128"/>
      <c r="H704" s="128"/>
      <c r="I704" s="128"/>
      <c r="J704" s="126"/>
      <c r="K704" s="126"/>
      <c r="L704" s="126"/>
      <c r="M704" s="125"/>
      <c r="N704" s="126"/>
    </row>
    <row r="705" spans="1:14" x14ac:dyDescent="0.35">
      <c r="A705" s="126"/>
      <c r="B705" s="127"/>
      <c r="C705" s="126"/>
      <c r="D705" s="126"/>
      <c r="E705" s="128"/>
      <c r="F705" s="128"/>
      <c r="G705" s="128"/>
      <c r="H705" s="128"/>
      <c r="I705" s="128"/>
      <c r="J705" s="126"/>
      <c r="K705" s="126"/>
      <c r="L705" s="126"/>
      <c r="M705" s="125"/>
      <c r="N705" s="126"/>
    </row>
    <row r="706" spans="1:14" x14ac:dyDescent="0.35">
      <c r="A706" s="126"/>
      <c r="B706" s="127"/>
      <c r="C706" s="126"/>
      <c r="D706" s="126"/>
      <c r="E706" s="128"/>
      <c r="F706" s="128"/>
      <c r="G706" s="128"/>
      <c r="H706" s="128"/>
      <c r="I706" s="128"/>
      <c r="J706" s="126"/>
      <c r="K706" s="126"/>
      <c r="L706" s="126"/>
      <c r="M706" s="125"/>
      <c r="N706" s="126"/>
    </row>
    <row r="707" spans="1:14" x14ac:dyDescent="0.35">
      <c r="A707" s="126"/>
      <c r="B707" s="127"/>
      <c r="C707" s="126"/>
      <c r="D707" s="126"/>
      <c r="E707" s="128"/>
      <c r="F707" s="128"/>
      <c r="G707" s="128"/>
      <c r="H707" s="128"/>
      <c r="I707" s="128"/>
      <c r="J707" s="126"/>
      <c r="K707" s="126"/>
      <c r="L707" s="126"/>
      <c r="M707" s="125"/>
      <c r="N707" s="126"/>
    </row>
    <row r="708" spans="1:14" x14ac:dyDescent="0.35">
      <c r="A708" s="126"/>
      <c r="B708" s="127"/>
      <c r="C708" s="126"/>
      <c r="D708" s="126"/>
      <c r="E708" s="128"/>
      <c r="F708" s="128"/>
      <c r="G708" s="128"/>
      <c r="H708" s="128"/>
      <c r="I708" s="128"/>
      <c r="J708" s="126"/>
      <c r="K708" s="126"/>
      <c r="L708" s="126"/>
      <c r="M708" s="125"/>
      <c r="N708" s="126"/>
    </row>
    <row r="709" spans="1:14" x14ac:dyDescent="0.35">
      <c r="A709" s="126"/>
      <c r="B709" s="127"/>
      <c r="C709" s="126"/>
      <c r="D709" s="126"/>
      <c r="E709" s="128"/>
      <c r="F709" s="128"/>
      <c r="G709" s="128"/>
      <c r="H709" s="128"/>
      <c r="I709" s="128"/>
      <c r="J709" s="126"/>
      <c r="K709" s="126"/>
      <c r="L709" s="126"/>
      <c r="M709" s="125"/>
      <c r="N709" s="126"/>
    </row>
    <row r="710" spans="1:14" x14ac:dyDescent="0.35">
      <c r="A710" s="126"/>
      <c r="B710" s="127"/>
      <c r="C710" s="126"/>
      <c r="D710" s="126"/>
      <c r="E710" s="128"/>
      <c r="F710" s="128"/>
      <c r="G710" s="128"/>
      <c r="H710" s="128"/>
      <c r="I710" s="128"/>
      <c r="J710" s="126"/>
      <c r="K710" s="126"/>
      <c r="L710" s="126"/>
      <c r="M710" s="125"/>
      <c r="N710" s="126"/>
    </row>
    <row r="711" spans="1:14" x14ac:dyDescent="0.35">
      <c r="A711" s="126"/>
      <c r="B711" s="127"/>
      <c r="C711" s="126"/>
      <c r="D711" s="126"/>
      <c r="E711" s="128"/>
      <c r="F711" s="128"/>
      <c r="G711" s="128"/>
      <c r="H711" s="128"/>
      <c r="I711" s="128"/>
      <c r="J711" s="126"/>
      <c r="K711" s="126"/>
      <c r="L711" s="126"/>
      <c r="M711" s="125"/>
      <c r="N711" s="126"/>
    </row>
    <row r="712" spans="1:14" x14ac:dyDescent="0.35">
      <c r="A712" s="126"/>
      <c r="B712" s="127"/>
      <c r="C712" s="126"/>
      <c r="D712" s="126"/>
      <c r="E712" s="128"/>
      <c r="F712" s="128"/>
      <c r="G712" s="128"/>
      <c r="H712" s="128"/>
      <c r="I712" s="128"/>
      <c r="J712" s="126"/>
      <c r="K712" s="126"/>
      <c r="L712" s="126"/>
      <c r="M712" s="125"/>
      <c r="N712" s="126"/>
    </row>
    <row r="713" spans="1:14" x14ac:dyDescent="0.35">
      <c r="A713" s="126"/>
      <c r="B713" s="127"/>
      <c r="C713" s="126"/>
      <c r="D713" s="126"/>
      <c r="E713" s="128"/>
      <c r="F713" s="128"/>
      <c r="G713" s="128"/>
      <c r="H713" s="128"/>
      <c r="I713" s="128"/>
      <c r="J713" s="126"/>
      <c r="K713" s="126"/>
      <c r="L713" s="126"/>
      <c r="M713" s="125"/>
      <c r="N713" s="126"/>
    </row>
    <row r="714" spans="1:14" x14ac:dyDescent="0.35">
      <c r="A714" s="126"/>
      <c r="B714" s="127"/>
      <c r="C714" s="126"/>
      <c r="D714" s="126"/>
      <c r="E714" s="128"/>
      <c r="F714" s="128"/>
      <c r="G714" s="128"/>
      <c r="H714" s="128"/>
      <c r="I714" s="128"/>
      <c r="J714" s="126"/>
      <c r="K714" s="126"/>
      <c r="L714" s="126"/>
      <c r="M714" s="125"/>
      <c r="N714" s="126"/>
    </row>
    <row r="715" spans="1:14" x14ac:dyDescent="0.35">
      <c r="A715" s="126"/>
      <c r="B715" s="127"/>
      <c r="C715" s="126"/>
      <c r="D715" s="126"/>
      <c r="E715" s="128"/>
      <c r="F715" s="128"/>
      <c r="G715" s="128"/>
      <c r="H715" s="128"/>
      <c r="I715" s="128"/>
      <c r="J715" s="126"/>
      <c r="K715" s="126"/>
      <c r="L715" s="126"/>
      <c r="M715" s="125"/>
      <c r="N715" s="126"/>
    </row>
    <row r="716" spans="1:14" x14ac:dyDescent="0.35">
      <c r="A716" s="126"/>
      <c r="B716" s="127"/>
      <c r="C716" s="126"/>
      <c r="D716" s="126"/>
      <c r="E716" s="128"/>
      <c r="F716" s="128"/>
      <c r="G716" s="128"/>
      <c r="H716" s="128"/>
      <c r="I716" s="128"/>
      <c r="J716" s="126"/>
      <c r="K716" s="126"/>
      <c r="L716" s="126"/>
      <c r="M716" s="125"/>
      <c r="N716" s="126"/>
    </row>
    <row r="717" spans="1:14" x14ac:dyDescent="0.35">
      <c r="A717" s="126"/>
      <c r="B717" s="127"/>
      <c r="C717" s="126"/>
      <c r="D717" s="126"/>
      <c r="E717" s="128"/>
      <c r="F717" s="128"/>
      <c r="G717" s="128"/>
      <c r="H717" s="128"/>
      <c r="I717" s="128"/>
      <c r="J717" s="126"/>
      <c r="K717" s="126"/>
      <c r="L717" s="126"/>
      <c r="M717" s="125"/>
      <c r="N717" s="126"/>
    </row>
    <row r="718" spans="1:14" x14ac:dyDescent="0.35">
      <c r="A718" s="126"/>
      <c r="B718" s="127"/>
      <c r="C718" s="126"/>
      <c r="D718" s="126"/>
      <c r="E718" s="128"/>
      <c r="F718" s="128"/>
      <c r="G718" s="128"/>
      <c r="H718" s="128"/>
      <c r="I718" s="128"/>
      <c r="J718" s="126"/>
      <c r="K718" s="126"/>
      <c r="L718" s="126"/>
      <c r="M718" s="125"/>
      <c r="N718" s="126"/>
    </row>
    <row r="719" spans="1:14" x14ac:dyDescent="0.35">
      <c r="A719" s="126"/>
      <c r="B719" s="127"/>
      <c r="C719" s="126"/>
      <c r="D719" s="126"/>
      <c r="E719" s="128"/>
      <c r="F719" s="128"/>
      <c r="G719" s="128"/>
      <c r="H719" s="128"/>
      <c r="I719" s="128"/>
      <c r="J719" s="126"/>
      <c r="K719" s="126"/>
      <c r="L719" s="126"/>
      <c r="M719" s="125"/>
      <c r="N719" s="126"/>
    </row>
    <row r="720" spans="1:14" x14ac:dyDescent="0.35">
      <c r="A720" s="126"/>
      <c r="B720" s="127"/>
      <c r="C720" s="126"/>
      <c r="D720" s="126"/>
      <c r="E720" s="128"/>
      <c r="F720" s="128"/>
      <c r="G720" s="128"/>
      <c r="H720" s="128"/>
      <c r="I720" s="128"/>
      <c r="J720" s="126"/>
      <c r="K720" s="126"/>
      <c r="L720" s="126"/>
      <c r="M720" s="125"/>
      <c r="N720" s="126"/>
    </row>
    <row r="721" spans="1:14" x14ac:dyDescent="0.35">
      <c r="A721" s="126"/>
      <c r="B721" s="127"/>
      <c r="C721" s="126"/>
      <c r="D721" s="126"/>
      <c r="E721" s="128"/>
      <c r="F721" s="128"/>
      <c r="G721" s="128"/>
      <c r="H721" s="128"/>
      <c r="I721" s="128"/>
      <c r="J721" s="126"/>
      <c r="K721" s="126"/>
      <c r="L721" s="126"/>
      <c r="M721" s="125"/>
      <c r="N721" s="126"/>
    </row>
    <row r="722" spans="1:14" x14ac:dyDescent="0.35">
      <c r="A722" s="126"/>
      <c r="B722" s="127"/>
      <c r="C722" s="126"/>
      <c r="D722" s="126"/>
      <c r="E722" s="128"/>
      <c r="F722" s="128"/>
      <c r="G722" s="128"/>
      <c r="H722" s="128"/>
      <c r="I722" s="128"/>
      <c r="J722" s="126"/>
      <c r="K722" s="126"/>
      <c r="L722" s="126"/>
      <c r="M722" s="125"/>
      <c r="N722" s="126"/>
    </row>
    <row r="723" spans="1:14" x14ac:dyDescent="0.35">
      <c r="A723" s="126"/>
      <c r="B723" s="127"/>
      <c r="C723" s="126"/>
      <c r="D723" s="126"/>
      <c r="E723" s="128"/>
      <c r="F723" s="128"/>
      <c r="G723" s="128"/>
      <c r="H723" s="128"/>
      <c r="I723" s="128"/>
      <c r="J723" s="126"/>
      <c r="K723" s="126"/>
      <c r="L723" s="126"/>
      <c r="M723" s="125"/>
      <c r="N723" s="126"/>
    </row>
    <row r="724" spans="1:14" x14ac:dyDescent="0.35">
      <c r="A724" s="126"/>
      <c r="B724" s="127"/>
      <c r="C724" s="126"/>
      <c r="D724" s="126"/>
      <c r="E724" s="128"/>
      <c r="F724" s="128"/>
      <c r="G724" s="128"/>
      <c r="H724" s="128"/>
      <c r="I724" s="128"/>
      <c r="J724" s="126"/>
      <c r="K724" s="126"/>
      <c r="L724" s="126"/>
      <c r="M724" s="125"/>
      <c r="N724" s="126"/>
    </row>
    <row r="725" spans="1:14" x14ac:dyDescent="0.35">
      <c r="A725" s="126"/>
      <c r="B725" s="127"/>
      <c r="C725" s="126"/>
      <c r="D725" s="126"/>
      <c r="E725" s="128"/>
      <c r="F725" s="128"/>
      <c r="G725" s="128"/>
      <c r="H725" s="128"/>
      <c r="I725" s="128"/>
      <c r="J725" s="126"/>
      <c r="K725" s="126"/>
      <c r="L725" s="126"/>
      <c r="M725" s="125"/>
      <c r="N725" s="126"/>
    </row>
    <row r="726" spans="1:14" x14ac:dyDescent="0.35">
      <c r="A726" s="126"/>
      <c r="B726" s="127"/>
      <c r="C726" s="126"/>
      <c r="D726" s="126"/>
      <c r="E726" s="128"/>
      <c r="F726" s="128"/>
      <c r="G726" s="128"/>
      <c r="H726" s="128"/>
      <c r="I726" s="128"/>
      <c r="J726" s="126"/>
      <c r="K726" s="126"/>
      <c r="L726" s="126"/>
      <c r="M726" s="125"/>
      <c r="N726" s="126"/>
    </row>
    <row r="727" spans="1:14" x14ac:dyDescent="0.35">
      <c r="A727" s="126"/>
      <c r="B727" s="127"/>
      <c r="C727" s="126"/>
      <c r="D727" s="126"/>
      <c r="E727" s="128"/>
      <c r="F727" s="128"/>
      <c r="G727" s="128"/>
      <c r="H727" s="128"/>
      <c r="I727" s="128"/>
      <c r="J727" s="126"/>
      <c r="K727" s="126"/>
      <c r="L727" s="126"/>
      <c r="M727" s="125"/>
      <c r="N727" s="126"/>
    </row>
    <row r="728" spans="1:14" x14ac:dyDescent="0.35">
      <c r="A728" s="126"/>
      <c r="B728" s="127"/>
      <c r="C728" s="126"/>
      <c r="D728" s="126"/>
      <c r="E728" s="128"/>
      <c r="F728" s="128"/>
      <c r="G728" s="128"/>
      <c r="H728" s="128"/>
      <c r="I728" s="128"/>
      <c r="J728" s="126"/>
      <c r="K728" s="126"/>
      <c r="L728" s="126"/>
      <c r="M728" s="125"/>
      <c r="N728" s="126"/>
    </row>
    <row r="729" spans="1:14" x14ac:dyDescent="0.35">
      <c r="A729" s="126"/>
      <c r="B729" s="127"/>
      <c r="C729" s="126"/>
      <c r="D729" s="126"/>
      <c r="E729" s="128"/>
      <c r="F729" s="128"/>
      <c r="G729" s="128"/>
      <c r="H729" s="128"/>
      <c r="I729" s="128"/>
      <c r="J729" s="126"/>
      <c r="K729" s="126"/>
      <c r="L729" s="126"/>
      <c r="M729" s="125"/>
      <c r="N729" s="126"/>
    </row>
    <row r="730" spans="1:14" x14ac:dyDescent="0.35">
      <c r="A730" s="126"/>
      <c r="B730" s="127"/>
      <c r="C730" s="126"/>
      <c r="D730" s="126"/>
      <c r="E730" s="128"/>
      <c r="F730" s="128"/>
      <c r="G730" s="128"/>
      <c r="H730" s="128"/>
      <c r="I730" s="128"/>
      <c r="J730" s="126"/>
      <c r="K730" s="126"/>
      <c r="L730" s="126"/>
      <c r="M730" s="125"/>
      <c r="N730" s="126"/>
    </row>
    <row r="731" spans="1:14" x14ac:dyDescent="0.35">
      <c r="A731" s="126"/>
      <c r="B731" s="127"/>
      <c r="C731" s="126"/>
      <c r="D731" s="126"/>
      <c r="E731" s="128"/>
      <c r="F731" s="128"/>
      <c r="G731" s="128"/>
      <c r="H731" s="128"/>
      <c r="I731" s="128"/>
      <c r="J731" s="126"/>
      <c r="K731" s="126"/>
      <c r="L731" s="126"/>
      <c r="M731" s="125"/>
      <c r="N731" s="126"/>
    </row>
    <row r="732" spans="1:14" x14ac:dyDescent="0.35">
      <c r="A732" s="126"/>
      <c r="B732" s="127"/>
      <c r="C732" s="126"/>
      <c r="D732" s="126"/>
      <c r="E732" s="128"/>
      <c r="F732" s="128"/>
      <c r="G732" s="128"/>
      <c r="H732" s="128"/>
      <c r="I732" s="128"/>
      <c r="J732" s="126"/>
      <c r="K732" s="126"/>
      <c r="L732" s="126"/>
      <c r="M732" s="125"/>
      <c r="N732" s="126"/>
    </row>
    <row r="733" spans="1:14" x14ac:dyDescent="0.35">
      <c r="A733" s="126"/>
      <c r="B733" s="127"/>
      <c r="C733" s="126"/>
      <c r="D733" s="126"/>
      <c r="E733" s="128"/>
      <c r="F733" s="128"/>
      <c r="G733" s="128"/>
      <c r="H733" s="128"/>
      <c r="I733" s="128"/>
      <c r="J733" s="126"/>
      <c r="K733" s="126"/>
      <c r="L733" s="126"/>
      <c r="M733" s="125"/>
      <c r="N733" s="126"/>
    </row>
    <row r="734" spans="1:14" x14ac:dyDescent="0.35">
      <c r="A734" s="126"/>
      <c r="B734" s="127"/>
      <c r="C734" s="126"/>
      <c r="D734" s="126"/>
      <c r="E734" s="128"/>
      <c r="F734" s="128"/>
      <c r="G734" s="128"/>
      <c r="H734" s="128"/>
      <c r="I734" s="128"/>
      <c r="J734" s="126"/>
      <c r="K734" s="126"/>
      <c r="L734" s="126"/>
      <c r="M734" s="125"/>
      <c r="N734" s="126"/>
    </row>
    <row r="735" spans="1:14" x14ac:dyDescent="0.35">
      <c r="A735" s="126"/>
      <c r="B735" s="127"/>
      <c r="C735" s="126"/>
      <c r="D735" s="126"/>
      <c r="E735" s="128"/>
      <c r="F735" s="128"/>
      <c r="G735" s="128"/>
      <c r="H735" s="128"/>
      <c r="I735" s="128"/>
      <c r="J735" s="126"/>
      <c r="K735" s="126"/>
      <c r="L735" s="126"/>
      <c r="M735" s="125"/>
      <c r="N735" s="126"/>
    </row>
    <row r="736" spans="1:14" x14ac:dyDescent="0.35">
      <c r="A736" s="126"/>
      <c r="B736" s="127"/>
      <c r="C736" s="126"/>
      <c r="D736" s="126"/>
      <c r="E736" s="128"/>
      <c r="F736" s="128"/>
      <c r="G736" s="128"/>
      <c r="H736" s="128"/>
      <c r="I736" s="128"/>
      <c r="J736" s="126"/>
      <c r="K736" s="126"/>
      <c r="L736" s="126"/>
      <c r="M736" s="125"/>
      <c r="N736" s="126"/>
    </row>
    <row r="737" spans="1:14" x14ac:dyDescent="0.35">
      <c r="A737" s="126"/>
      <c r="B737" s="127"/>
      <c r="C737" s="126"/>
      <c r="D737" s="126"/>
      <c r="E737" s="128"/>
      <c r="F737" s="128"/>
      <c r="G737" s="128"/>
      <c r="H737" s="128"/>
      <c r="I737" s="128"/>
      <c r="J737" s="126"/>
      <c r="K737" s="126"/>
      <c r="L737" s="126"/>
      <c r="M737" s="125"/>
      <c r="N737" s="126"/>
    </row>
    <row r="738" spans="1:14" x14ac:dyDescent="0.35">
      <c r="A738" s="126"/>
      <c r="B738" s="127"/>
      <c r="C738" s="126"/>
      <c r="D738" s="126"/>
      <c r="E738" s="128"/>
      <c r="F738" s="128"/>
      <c r="G738" s="128"/>
      <c r="H738" s="128"/>
      <c r="I738" s="128"/>
      <c r="J738" s="126"/>
      <c r="K738" s="126"/>
      <c r="L738" s="126"/>
      <c r="M738" s="125"/>
      <c r="N738" s="126"/>
    </row>
    <row r="739" spans="1:14" x14ac:dyDescent="0.35">
      <c r="A739" s="126"/>
      <c r="B739" s="127"/>
      <c r="C739" s="126"/>
      <c r="D739" s="126"/>
      <c r="E739" s="128"/>
      <c r="F739" s="128"/>
      <c r="G739" s="128"/>
      <c r="H739" s="128"/>
      <c r="I739" s="128"/>
      <c r="J739" s="126"/>
      <c r="K739" s="126"/>
      <c r="L739" s="126"/>
      <c r="M739" s="125"/>
      <c r="N739" s="126"/>
    </row>
    <row r="740" spans="1:14" x14ac:dyDescent="0.35">
      <c r="A740" s="126"/>
      <c r="B740" s="127"/>
      <c r="C740" s="126"/>
      <c r="D740" s="126"/>
      <c r="E740" s="128"/>
      <c r="F740" s="128"/>
      <c r="G740" s="128"/>
      <c r="H740" s="128"/>
      <c r="I740" s="128"/>
      <c r="J740" s="126"/>
      <c r="K740" s="126"/>
      <c r="L740" s="126"/>
      <c r="M740" s="125"/>
      <c r="N740" s="126"/>
    </row>
    <row r="741" spans="1:14" x14ac:dyDescent="0.35">
      <c r="A741" s="126"/>
      <c r="B741" s="127"/>
      <c r="C741" s="126"/>
      <c r="D741" s="126"/>
      <c r="E741" s="128"/>
      <c r="F741" s="128"/>
      <c r="G741" s="128"/>
      <c r="H741" s="128"/>
      <c r="I741" s="128"/>
      <c r="J741" s="126"/>
      <c r="K741" s="126"/>
      <c r="L741" s="126"/>
      <c r="M741" s="125"/>
      <c r="N741" s="126"/>
    </row>
    <row r="742" spans="1:14" x14ac:dyDescent="0.35">
      <c r="A742" s="126"/>
      <c r="B742" s="127"/>
      <c r="C742" s="126"/>
      <c r="D742" s="126"/>
      <c r="E742" s="128"/>
      <c r="F742" s="128"/>
      <c r="G742" s="128"/>
      <c r="H742" s="128"/>
      <c r="I742" s="128"/>
      <c r="J742" s="126"/>
      <c r="K742" s="126"/>
      <c r="L742" s="126"/>
      <c r="M742" s="125"/>
      <c r="N742" s="126"/>
    </row>
    <row r="743" spans="1:14" x14ac:dyDescent="0.35">
      <c r="A743" s="126"/>
      <c r="B743" s="127"/>
      <c r="C743" s="126"/>
      <c r="D743" s="126"/>
      <c r="E743" s="128"/>
      <c r="F743" s="128"/>
      <c r="G743" s="128"/>
      <c r="H743" s="128"/>
      <c r="I743" s="128"/>
      <c r="J743" s="126"/>
      <c r="K743" s="126"/>
      <c r="L743" s="126"/>
      <c r="M743" s="125"/>
      <c r="N743" s="126"/>
    </row>
    <row r="744" spans="1:14" x14ac:dyDescent="0.35">
      <c r="A744" s="126"/>
      <c r="B744" s="127"/>
      <c r="C744" s="126"/>
      <c r="D744" s="126"/>
      <c r="E744" s="128"/>
      <c r="F744" s="128"/>
      <c r="G744" s="128"/>
      <c r="H744" s="128"/>
      <c r="I744" s="128"/>
      <c r="J744" s="126"/>
      <c r="K744" s="126"/>
      <c r="L744" s="126"/>
      <c r="M744" s="125"/>
      <c r="N744" s="126"/>
    </row>
    <row r="745" spans="1:14" x14ac:dyDescent="0.35">
      <c r="A745" s="126"/>
      <c r="B745" s="127"/>
      <c r="C745" s="126"/>
      <c r="D745" s="126"/>
      <c r="E745" s="128"/>
      <c r="F745" s="128"/>
      <c r="G745" s="128"/>
      <c r="H745" s="128"/>
      <c r="I745" s="128"/>
      <c r="J745" s="126"/>
      <c r="K745" s="126"/>
      <c r="L745" s="126"/>
      <c r="M745" s="125"/>
      <c r="N745" s="126"/>
    </row>
    <row r="746" spans="1:14" x14ac:dyDescent="0.35">
      <c r="A746" s="126"/>
      <c r="B746" s="127"/>
      <c r="C746" s="126"/>
      <c r="D746" s="126"/>
      <c r="E746" s="128"/>
      <c r="F746" s="128"/>
      <c r="G746" s="128"/>
      <c r="H746" s="128"/>
      <c r="I746" s="128"/>
      <c r="J746" s="126"/>
      <c r="K746" s="126"/>
      <c r="L746" s="126"/>
      <c r="M746" s="125"/>
      <c r="N746" s="126"/>
    </row>
    <row r="747" spans="1:14" x14ac:dyDescent="0.35">
      <c r="A747" s="126"/>
      <c r="B747" s="127"/>
      <c r="C747" s="126"/>
      <c r="D747" s="126"/>
      <c r="E747" s="128"/>
      <c r="F747" s="128"/>
      <c r="G747" s="128"/>
      <c r="H747" s="128"/>
      <c r="I747" s="128"/>
      <c r="J747" s="126"/>
      <c r="K747" s="126"/>
      <c r="L747" s="126"/>
      <c r="M747" s="125"/>
      <c r="N747" s="126"/>
    </row>
    <row r="748" spans="1:14" x14ac:dyDescent="0.35">
      <c r="A748" s="126"/>
      <c r="B748" s="127"/>
      <c r="C748" s="126"/>
      <c r="D748" s="126"/>
      <c r="E748" s="128"/>
      <c r="F748" s="128"/>
      <c r="G748" s="128"/>
      <c r="H748" s="128"/>
      <c r="I748" s="128"/>
      <c r="J748" s="126"/>
      <c r="K748" s="126"/>
      <c r="L748" s="126"/>
      <c r="M748" s="125"/>
      <c r="N748" s="126"/>
    </row>
    <row r="749" spans="1:14" x14ac:dyDescent="0.35">
      <c r="A749" s="126"/>
      <c r="B749" s="127"/>
      <c r="C749" s="126"/>
      <c r="D749" s="126"/>
      <c r="E749" s="128"/>
      <c r="F749" s="128"/>
      <c r="G749" s="128"/>
      <c r="H749" s="128"/>
      <c r="I749" s="128"/>
      <c r="J749" s="126"/>
      <c r="K749" s="126"/>
      <c r="L749" s="126"/>
      <c r="M749" s="125"/>
      <c r="N749" s="126"/>
    </row>
    <row r="750" spans="1:14" x14ac:dyDescent="0.35">
      <c r="A750" s="126"/>
      <c r="B750" s="127"/>
      <c r="C750" s="126"/>
      <c r="D750" s="126"/>
      <c r="E750" s="128"/>
      <c r="F750" s="128"/>
      <c r="G750" s="128"/>
      <c r="H750" s="128"/>
      <c r="I750" s="128"/>
      <c r="J750" s="126"/>
      <c r="K750" s="126"/>
      <c r="L750" s="126"/>
      <c r="M750" s="125"/>
      <c r="N750" s="126"/>
    </row>
    <row r="751" spans="1:14" x14ac:dyDescent="0.35">
      <c r="A751" s="126"/>
      <c r="B751" s="127"/>
      <c r="C751" s="126"/>
      <c r="D751" s="126"/>
      <c r="E751" s="128"/>
      <c r="F751" s="128"/>
      <c r="G751" s="128"/>
      <c r="H751" s="128"/>
      <c r="I751" s="128"/>
      <c r="J751" s="126"/>
      <c r="K751" s="126"/>
      <c r="L751" s="126"/>
      <c r="M751" s="125"/>
      <c r="N751" s="126"/>
    </row>
    <row r="752" spans="1:14" x14ac:dyDescent="0.35">
      <c r="A752" s="126"/>
      <c r="B752" s="127"/>
      <c r="C752" s="126"/>
      <c r="D752" s="126"/>
      <c r="E752" s="128"/>
      <c r="F752" s="128"/>
      <c r="G752" s="128"/>
      <c r="H752" s="128"/>
      <c r="I752" s="128"/>
      <c r="J752" s="126"/>
      <c r="K752" s="126"/>
      <c r="L752" s="126"/>
      <c r="M752" s="125"/>
      <c r="N752" s="126"/>
    </row>
    <row r="753" spans="1:14" x14ac:dyDescent="0.35">
      <c r="A753" s="126"/>
      <c r="B753" s="127"/>
      <c r="C753" s="126"/>
      <c r="D753" s="126"/>
      <c r="E753" s="128"/>
      <c r="F753" s="128"/>
      <c r="G753" s="128"/>
      <c r="H753" s="128"/>
      <c r="I753" s="128"/>
      <c r="J753" s="126"/>
      <c r="K753" s="126"/>
      <c r="L753" s="126"/>
      <c r="M753" s="125"/>
      <c r="N753" s="126"/>
    </row>
    <row r="754" spans="1:14" x14ac:dyDescent="0.35">
      <c r="A754" s="126"/>
      <c r="B754" s="127"/>
      <c r="C754" s="126"/>
      <c r="D754" s="126"/>
      <c r="E754" s="128"/>
      <c r="F754" s="128"/>
      <c r="G754" s="128"/>
      <c r="H754" s="128"/>
      <c r="I754" s="128"/>
      <c r="J754" s="126"/>
      <c r="K754" s="126"/>
      <c r="L754" s="126"/>
      <c r="M754" s="125"/>
      <c r="N754" s="126"/>
    </row>
    <row r="755" spans="1:14" x14ac:dyDescent="0.35">
      <c r="A755" s="126"/>
      <c r="B755" s="127"/>
      <c r="C755" s="126"/>
      <c r="D755" s="126"/>
      <c r="E755" s="128"/>
      <c r="F755" s="128"/>
      <c r="G755" s="128"/>
      <c r="H755" s="128"/>
      <c r="I755" s="128"/>
      <c r="J755" s="126"/>
      <c r="K755" s="126"/>
      <c r="L755" s="126"/>
      <c r="M755" s="125"/>
      <c r="N755" s="126"/>
    </row>
    <row r="756" spans="1:14" x14ac:dyDescent="0.35">
      <c r="A756" s="126"/>
      <c r="B756" s="127"/>
      <c r="C756" s="126"/>
      <c r="D756" s="126"/>
      <c r="E756" s="128"/>
      <c r="F756" s="128"/>
      <c r="G756" s="128"/>
      <c r="H756" s="128"/>
      <c r="I756" s="128"/>
      <c r="J756" s="126"/>
      <c r="K756" s="126"/>
      <c r="L756" s="126"/>
      <c r="M756" s="125"/>
      <c r="N756" s="126"/>
    </row>
    <row r="757" spans="1:14" x14ac:dyDescent="0.35">
      <c r="A757" s="126"/>
      <c r="B757" s="127"/>
      <c r="C757" s="126"/>
      <c r="D757" s="126"/>
      <c r="E757" s="128"/>
      <c r="F757" s="128"/>
      <c r="G757" s="128"/>
      <c r="H757" s="128"/>
      <c r="I757" s="128"/>
      <c r="J757" s="126"/>
      <c r="K757" s="126"/>
      <c r="L757" s="126"/>
      <c r="M757" s="125"/>
      <c r="N757" s="126"/>
    </row>
    <row r="758" spans="1:14" x14ac:dyDescent="0.35">
      <c r="A758" s="126"/>
      <c r="B758" s="127"/>
      <c r="C758" s="126"/>
      <c r="D758" s="126"/>
      <c r="E758" s="128"/>
      <c r="F758" s="128"/>
      <c r="G758" s="128"/>
      <c r="H758" s="128"/>
      <c r="I758" s="128"/>
      <c r="J758" s="126"/>
      <c r="K758" s="126"/>
      <c r="L758" s="126"/>
      <c r="M758" s="125"/>
      <c r="N758" s="126"/>
    </row>
    <row r="759" spans="1:14" x14ac:dyDescent="0.35">
      <c r="A759" s="126"/>
      <c r="B759" s="127"/>
      <c r="C759" s="126"/>
      <c r="D759" s="126"/>
      <c r="E759" s="128"/>
      <c r="F759" s="128"/>
      <c r="G759" s="128"/>
      <c r="H759" s="128"/>
      <c r="I759" s="128"/>
      <c r="J759" s="126"/>
      <c r="K759" s="126"/>
      <c r="L759" s="126"/>
      <c r="M759" s="125"/>
      <c r="N759" s="126"/>
    </row>
    <row r="760" spans="1:14" x14ac:dyDescent="0.35">
      <c r="A760" s="126"/>
      <c r="B760" s="127"/>
      <c r="C760" s="126"/>
      <c r="D760" s="126"/>
      <c r="E760" s="128"/>
      <c r="F760" s="128"/>
      <c r="G760" s="128"/>
      <c r="H760" s="128"/>
      <c r="I760" s="128"/>
      <c r="J760" s="126"/>
      <c r="K760" s="126"/>
      <c r="L760" s="126"/>
      <c r="M760" s="125"/>
      <c r="N760" s="126"/>
    </row>
    <row r="761" spans="1:14" x14ac:dyDescent="0.35">
      <c r="A761" s="126"/>
      <c r="B761" s="127"/>
      <c r="C761" s="126"/>
      <c r="D761" s="126"/>
      <c r="E761" s="128"/>
      <c r="F761" s="128"/>
      <c r="G761" s="128"/>
      <c r="H761" s="128"/>
      <c r="I761" s="128"/>
      <c r="J761" s="126"/>
      <c r="K761" s="126"/>
      <c r="L761" s="126"/>
      <c r="M761" s="125"/>
      <c r="N761" s="126"/>
    </row>
    <row r="762" spans="1:14" x14ac:dyDescent="0.35">
      <c r="A762" s="126"/>
      <c r="B762" s="127"/>
      <c r="C762" s="126"/>
      <c r="D762" s="126"/>
      <c r="E762" s="128"/>
      <c r="F762" s="128"/>
      <c r="G762" s="128"/>
      <c r="H762" s="128"/>
      <c r="I762" s="128"/>
      <c r="J762" s="126"/>
      <c r="K762" s="126"/>
      <c r="L762" s="126"/>
      <c r="M762" s="125"/>
      <c r="N762" s="126"/>
    </row>
    <row r="763" spans="1:14" x14ac:dyDescent="0.35">
      <c r="A763" s="126"/>
      <c r="B763" s="127"/>
      <c r="C763" s="126"/>
      <c r="D763" s="126"/>
      <c r="E763" s="128"/>
      <c r="F763" s="128"/>
      <c r="G763" s="128"/>
      <c r="H763" s="128"/>
      <c r="I763" s="128"/>
      <c r="J763" s="126"/>
      <c r="K763" s="126"/>
      <c r="L763" s="126"/>
      <c r="M763" s="125"/>
      <c r="N763" s="126"/>
    </row>
    <row r="764" spans="1:14" x14ac:dyDescent="0.35">
      <c r="A764" s="126"/>
      <c r="B764" s="127"/>
      <c r="C764" s="126"/>
      <c r="D764" s="126"/>
      <c r="E764" s="128"/>
      <c r="F764" s="128"/>
      <c r="G764" s="128"/>
      <c r="H764" s="128"/>
      <c r="I764" s="128"/>
      <c r="J764" s="126"/>
      <c r="K764" s="126"/>
      <c r="L764" s="126"/>
      <c r="M764" s="125"/>
      <c r="N764" s="126"/>
    </row>
    <row r="765" spans="1:14" x14ac:dyDescent="0.35">
      <c r="A765" s="126"/>
      <c r="B765" s="127"/>
      <c r="C765" s="126"/>
      <c r="D765" s="126"/>
      <c r="E765" s="128"/>
      <c r="F765" s="128"/>
      <c r="G765" s="128"/>
      <c r="H765" s="128"/>
      <c r="I765" s="128"/>
      <c r="J765" s="126"/>
      <c r="K765" s="126"/>
      <c r="L765" s="126"/>
      <c r="M765" s="125"/>
      <c r="N765" s="126"/>
    </row>
    <row r="766" spans="1:14" x14ac:dyDescent="0.35">
      <c r="A766" s="126"/>
      <c r="B766" s="127"/>
      <c r="C766" s="126"/>
      <c r="D766" s="126"/>
      <c r="E766" s="128"/>
      <c r="F766" s="128"/>
      <c r="G766" s="128"/>
      <c r="H766" s="128"/>
      <c r="I766" s="128"/>
      <c r="J766" s="126"/>
      <c r="K766" s="126"/>
      <c r="L766" s="126"/>
      <c r="M766" s="125"/>
      <c r="N766" s="126"/>
    </row>
    <row r="767" spans="1:14" x14ac:dyDescent="0.35">
      <c r="A767" s="126"/>
      <c r="B767" s="127"/>
      <c r="C767" s="126"/>
      <c r="D767" s="126"/>
      <c r="E767" s="128"/>
      <c r="F767" s="128"/>
      <c r="G767" s="128"/>
      <c r="H767" s="128"/>
      <c r="I767" s="128"/>
      <c r="J767" s="126"/>
      <c r="K767" s="126"/>
      <c r="L767" s="126"/>
      <c r="M767" s="125"/>
      <c r="N767" s="126"/>
    </row>
    <row r="768" spans="1:14" x14ac:dyDescent="0.35">
      <c r="A768" s="126"/>
      <c r="B768" s="127"/>
      <c r="C768" s="126"/>
      <c r="D768" s="126"/>
      <c r="E768" s="128"/>
      <c r="F768" s="128"/>
      <c r="G768" s="128"/>
      <c r="H768" s="128"/>
      <c r="I768" s="128"/>
      <c r="J768" s="126"/>
      <c r="K768" s="126"/>
      <c r="L768" s="126"/>
      <c r="M768" s="125"/>
      <c r="N768" s="126"/>
    </row>
    <row r="769" spans="1:14" x14ac:dyDescent="0.35">
      <c r="A769" s="126"/>
      <c r="B769" s="127"/>
      <c r="C769" s="126"/>
      <c r="D769" s="126"/>
      <c r="E769" s="128"/>
      <c r="F769" s="128"/>
      <c r="G769" s="128"/>
      <c r="H769" s="128"/>
      <c r="I769" s="128"/>
      <c r="J769" s="126"/>
      <c r="K769" s="126"/>
      <c r="L769" s="126"/>
      <c r="M769" s="125"/>
      <c r="N769" s="126"/>
    </row>
    <row r="770" spans="1:14" x14ac:dyDescent="0.35">
      <c r="A770" s="126"/>
      <c r="B770" s="127"/>
      <c r="C770" s="126"/>
      <c r="D770" s="126"/>
      <c r="E770" s="128"/>
      <c r="F770" s="128"/>
      <c r="G770" s="128"/>
      <c r="H770" s="128"/>
      <c r="I770" s="128"/>
      <c r="J770" s="126"/>
      <c r="K770" s="126"/>
      <c r="L770" s="126"/>
      <c r="M770" s="125"/>
      <c r="N770" s="126"/>
    </row>
    <row r="771" spans="1:14" x14ac:dyDescent="0.35">
      <c r="A771" s="126"/>
      <c r="B771" s="127"/>
      <c r="C771" s="126"/>
      <c r="D771" s="126"/>
      <c r="E771" s="128"/>
      <c r="F771" s="128"/>
      <c r="G771" s="128"/>
      <c r="H771" s="128"/>
      <c r="I771" s="128"/>
      <c r="J771" s="126"/>
      <c r="K771" s="126"/>
      <c r="L771" s="126"/>
      <c r="M771" s="125"/>
      <c r="N771" s="126"/>
    </row>
    <row r="772" spans="1:14" x14ac:dyDescent="0.35">
      <c r="A772" s="126"/>
      <c r="B772" s="127"/>
      <c r="C772" s="126"/>
      <c r="D772" s="126"/>
      <c r="E772" s="128"/>
      <c r="F772" s="128"/>
      <c r="G772" s="128"/>
      <c r="H772" s="128"/>
      <c r="I772" s="128"/>
      <c r="J772" s="126"/>
      <c r="K772" s="126"/>
      <c r="L772" s="126"/>
      <c r="M772" s="125"/>
      <c r="N772" s="126"/>
    </row>
    <row r="773" spans="1:14" x14ac:dyDescent="0.35">
      <c r="A773" s="126"/>
      <c r="B773" s="127"/>
      <c r="C773" s="126"/>
      <c r="D773" s="126"/>
      <c r="E773" s="128"/>
      <c r="F773" s="128"/>
      <c r="G773" s="128"/>
      <c r="H773" s="128"/>
      <c r="I773" s="128"/>
      <c r="J773" s="126"/>
      <c r="K773" s="126"/>
      <c r="L773" s="126"/>
      <c r="M773" s="125"/>
      <c r="N773" s="126"/>
    </row>
    <row r="774" spans="1:14" x14ac:dyDescent="0.35">
      <c r="A774" s="126"/>
      <c r="B774" s="127"/>
      <c r="C774" s="126"/>
      <c r="D774" s="126"/>
      <c r="E774" s="128"/>
      <c r="F774" s="128"/>
      <c r="G774" s="128"/>
      <c r="H774" s="128"/>
      <c r="I774" s="128"/>
      <c r="J774" s="126"/>
      <c r="K774" s="126"/>
      <c r="L774" s="126"/>
      <c r="M774" s="125"/>
      <c r="N774" s="126"/>
    </row>
    <row r="775" spans="1:14" x14ac:dyDescent="0.35">
      <c r="A775" s="126"/>
      <c r="B775" s="127"/>
      <c r="C775" s="126"/>
      <c r="D775" s="126"/>
      <c r="E775" s="128"/>
      <c r="F775" s="128"/>
      <c r="G775" s="128"/>
      <c r="H775" s="128"/>
      <c r="I775" s="128"/>
      <c r="J775" s="126"/>
      <c r="K775" s="126"/>
      <c r="L775" s="126"/>
      <c r="M775" s="125"/>
      <c r="N775" s="126"/>
    </row>
    <row r="776" spans="1:14" x14ac:dyDescent="0.35">
      <c r="A776" s="126"/>
      <c r="B776" s="127"/>
      <c r="C776" s="126"/>
      <c r="D776" s="126"/>
      <c r="E776" s="128"/>
      <c r="F776" s="128"/>
      <c r="G776" s="128"/>
      <c r="H776" s="128"/>
      <c r="I776" s="128"/>
      <c r="J776" s="126"/>
      <c r="K776" s="126"/>
      <c r="L776" s="126"/>
      <c r="M776" s="125"/>
      <c r="N776" s="126"/>
    </row>
    <row r="777" spans="1:14" x14ac:dyDescent="0.35">
      <c r="A777" s="126"/>
      <c r="B777" s="127"/>
      <c r="C777" s="126"/>
      <c r="D777" s="126"/>
      <c r="E777" s="128"/>
      <c r="F777" s="128"/>
      <c r="G777" s="128"/>
      <c r="H777" s="128"/>
      <c r="I777" s="128"/>
      <c r="J777" s="126"/>
      <c r="K777" s="126"/>
      <c r="L777" s="126"/>
      <c r="M777" s="125"/>
      <c r="N777" s="126"/>
    </row>
    <row r="778" spans="1:14" x14ac:dyDescent="0.35">
      <c r="A778" s="126"/>
      <c r="B778" s="127"/>
      <c r="C778" s="126"/>
      <c r="D778" s="126"/>
      <c r="E778" s="128"/>
      <c r="F778" s="128"/>
      <c r="G778" s="128"/>
      <c r="H778" s="128"/>
      <c r="I778" s="128"/>
      <c r="J778" s="126"/>
      <c r="K778" s="126"/>
      <c r="L778" s="126"/>
      <c r="M778" s="125"/>
      <c r="N778" s="126"/>
    </row>
    <row r="779" spans="1:14" x14ac:dyDescent="0.35">
      <c r="A779" s="126"/>
      <c r="B779" s="127"/>
      <c r="C779" s="126"/>
      <c r="D779" s="126"/>
      <c r="E779" s="128"/>
      <c r="F779" s="128"/>
      <c r="G779" s="128"/>
      <c r="H779" s="128"/>
      <c r="I779" s="128"/>
      <c r="J779" s="126"/>
      <c r="K779" s="126"/>
      <c r="L779" s="126"/>
      <c r="M779" s="125"/>
      <c r="N779" s="126"/>
    </row>
    <row r="780" spans="1:14" x14ac:dyDescent="0.35">
      <c r="A780" s="126"/>
      <c r="B780" s="127"/>
      <c r="C780" s="126"/>
      <c r="D780" s="126"/>
      <c r="E780" s="128"/>
      <c r="F780" s="128"/>
      <c r="G780" s="128"/>
      <c r="H780" s="128"/>
      <c r="I780" s="128"/>
      <c r="J780" s="126"/>
      <c r="K780" s="126"/>
      <c r="L780" s="126"/>
      <c r="M780" s="125"/>
      <c r="N780" s="126"/>
    </row>
    <row r="781" spans="1:14" x14ac:dyDescent="0.35">
      <c r="A781" s="126"/>
      <c r="B781" s="127"/>
      <c r="C781" s="126"/>
      <c r="D781" s="126"/>
      <c r="E781" s="128"/>
      <c r="F781" s="128"/>
      <c r="G781" s="128"/>
      <c r="H781" s="128"/>
      <c r="I781" s="128"/>
      <c r="J781" s="126"/>
      <c r="K781" s="126"/>
      <c r="L781" s="126"/>
      <c r="M781" s="125"/>
      <c r="N781" s="126"/>
    </row>
    <row r="782" spans="1:14" x14ac:dyDescent="0.35">
      <c r="A782" s="126"/>
      <c r="B782" s="127"/>
      <c r="C782" s="126"/>
      <c r="D782" s="126"/>
      <c r="E782" s="128"/>
      <c r="F782" s="128"/>
      <c r="G782" s="128"/>
      <c r="H782" s="128"/>
      <c r="I782" s="128"/>
      <c r="J782" s="126"/>
      <c r="K782" s="126"/>
      <c r="L782" s="126"/>
      <c r="M782" s="125"/>
      <c r="N782" s="126"/>
    </row>
    <row r="783" spans="1:14" x14ac:dyDescent="0.35">
      <c r="A783" s="126"/>
      <c r="B783" s="127"/>
      <c r="C783" s="126"/>
      <c r="D783" s="126"/>
      <c r="E783" s="128"/>
      <c r="F783" s="128"/>
      <c r="G783" s="128"/>
      <c r="H783" s="128"/>
      <c r="I783" s="128"/>
      <c r="J783" s="126"/>
      <c r="K783" s="126"/>
      <c r="L783" s="126"/>
      <c r="M783" s="125"/>
      <c r="N783" s="126"/>
    </row>
    <row r="784" spans="1:14" x14ac:dyDescent="0.35">
      <c r="A784" s="126"/>
      <c r="B784" s="127"/>
      <c r="C784" s="126"/>
      <c r="D784" s="126"/>
      <c r="E784" s="128"/>
      <c r="F784" s="128"/>
      <c r="G784" s="128"/>
      <c r="H784" s="128"/>
      <c r="I784" s="128"/>
      <c r="J784" s="126"/>
      <c r="K784" s="126"/>
      <c r="L784" s="126"/>
      <c r="M784" s="125"/>
      <c r="N784" s="126"/>
    </row>
    <row r="785" spans="1:14" x14ac:dyDescent="0.35">
      <c r="A785" s="126"/>
      <c r="B785" s="127"/>
      <c r="C785" s="126"/>
      <c r="D785" s="126"/>
      <c r="E785" s="128"/>
      <c r="F785" s="128"/>
      <c r="G785" s="128"/>
      <c r="H785" s="128"/>
      <c r="I785" s="128"/>
      <c r="J785" s="126"/>
      <c r="K785" s="126"/>
      <c r="L785" s="126"/>
      <c r="M785" s="125"/>
      <c r="N785" s="126"/>
    </row>
    <row r="786" spans="1:14" x14ac:dyDescent="0.35">
      <c r="A786" s="126"/>
      <c r="B786" s="127"/>
      <c r="C786" s="126"/>
      <c r="D786" s="126"/>
      <c r="E786" s="128"/>
      <c r="F786" s="128"/>
      <c r="G786" s="128"/>
      <c r="H786" s="128"/>
      <c r="I786" s="128"/>
      <c r="J786" s="126"/>
      <c r="K786" s="126"/>
      <c r="L786" s="126"/>
      <c r="M786" s="125"/>
      <c r="N786" s="126"/>
    </row>
    <row r="787" spans="1:14" x14ac:dyDescent="0.35">
      <c r="A787" s="126"/>
      <c r="B787" s="127"/>
      <c r="C787" s="126"/>
      <c r="D787" s="126"/>
      <c r="E787" s="128"/>
      <c r="F787" s="128"/>
      <c r="G787" s="128"/>
      <c r="H787" s="128"/>
      <c r="I787" s="128"/>
      <c r="J787" s="126"/>
      <c r="K787" s="126"/>
      <c r="L787" s="126"/>
      <c r="M787" s="125"/>
      <c r="N787" s="126"/>
    </row>
    <row r="788" spans="1:14" x14ac:dyDescent="0.35">
      <c r="A788" s="126"/>
      <c r="B788" s="127"/>
      <c r="C788" s="126"/>
      <c r="D788" s="126"/>
      <c r="E788" s="128"/>
      <c r="F788" s="128"/>
      <c r="G788" s="128"/>
      <c r="H788" s="128"/>
      <c r="I788" s="128"/>
      <c r="J788" s="126"/>
      <c r="K788" s="126"/>
      <c r="L788" s="126"/>
      <c r="M788" s="125"/>
      <c r="N788" s="126"/>
    </row>
    <row r="789" spans="1:14" x14ac:dyDescent="0.35">
      <c r="A789" s="126"/>
      <c r="B789" s="127"/>
      <c r="C789" s="126"/>
      <c r="D789" s="126"/>
      <c r="E789" s="128"/>
      <c r="F789" s="128"/>
      <c r="G789" s="128"/>
      <c r="H789" s="128"/>
      <c r="I789" s="128"/>
      <c r="J789" s="126"/>
      <c r="K789" s="126"/>
      <c r="L789" s="126"/>
      <c r="M789" s="125"/>
      <c r="N789" s="126"/>
    </row>
    <row r="790" spans="1:14" x14ac:dyDescent="0.35">
      <c r="A790" s="126"/>
      <c r="B790" s="127"/>
      <c r="C790" s="126"/>
      <c r="D790" s="126"/>
      <c r="E790" s="128"/>
      <c r="F790" s="128"/>
      <c r="G790" s="128"/>
      <c r="H790" s="128"/>
      <c r="I790" s="128"/>
      <c r="J790" s="126"/>
      <c r="K790" s="126"/>
      <c r="L790" s="126"/>
      <c r="M790" s="125"/>
      <c r="N790" s="126"/>
    </row>
    <row r="791" spans="1:14" x14ac:dyDescent="0.35">
      <c r="A791" s="126"/>
      <c r="B791" s="127"/>
      <c r="C791" s="126"/>
      <c r="D791" s="126"/>
      <c r="E791" s="128"/>
      <c r="F791" s="128"/>
      <c r="G791" s="128"/>
      <c r="H791" s="128"/>
      <c r="I791" s="128"/>
      <c r="J791" s="126"/>
      <c r="K791" s="126"/>
      <c r="L791" s="126"/>
      <c r="M791" s="125"/>
      <c r="N791" s="126"/>
    </row>
    <row r="792" spans="1:14" x14ac:dyDescent="0.35">
      <c r="A792" s="126"/>
      <c r="B792" s="127"/>
      <c r="C792" s="126"/>
      <c r="D792" s="126"/>
      <c r="E792" s="128"/>
      <c r="F792" s="128"/>
      <c r="G792" s="128"/>
      <c r="H792" s="128"/>
      <c r="I792" s="128"/>
      <c r="J792" s="126"/>
      <c r="K792" s="126"/>
      <c r="L792" s="126"/>
      <c r="M792" s="125"/>
      <c r="N792" s="126"/>
    </row>
    <row r="793" spans="1:14" x14ac:dyDescent="0.35">
      <c r="A793" s="126"/>
      <c r="B793" s="127"/>
      <c r="C793" s="126"/>
      <c r="D793" s="126"/>
      <c r="E793" s="128"/>
      <c r="F793" s="128"/>
      <c r="G793" s="128"/>
      <c r="H793" s="128"/>
      <c r="I793" s="128"/>
      <c r="J793" s="126"/>
      <c r="K793" s="126"/>
      <c r="L793" s="126"/>
      <c r="M793" s="125"/>
      <c r="N793" s="126"/>
    </row>
    <row r="794" spans="1:14" x14ac:dyDescent="0.35">
      <c r="A794" s="126"/>
      <c r="B794" s="127"/>
      <c r="C794" s="126"/>
      <c r="D794" s="126"/>
      <c r="E794" s="128"/>
      <c r="F794" s="128"/>
      <c r="G794" s="128"/>
      <c r="H794" s="128"/>
      <c r="I794" s="128"/>
      <c r="J794" s="126"/>
      <c r="K794" s="126"/>
      <c r="L794" s="126"/>
      <c r="M794" s="125"/>
      <c r="N794" s="126"/>
    </row>
    <row r="795" spans="1:14" x14ac:dyDescent="0.35">
      <c r="A795" s="126"/>
      <c r="B795" s="127"/>
      <c r="C795" s="126"/>
      <c r="D795" s="126"/>
      <c r="E795" s="128"/>
      <c r="F795" s="128"/>
      <c r="G795" s="128"/>
      <c r="H795" s="128"/>
      <c r="I795" s="128"/>
      <c r="J795" s="126"/>
      <c r="K795" s="126"/>
      <c r="L795" s="126"/>
      <c r="M795" s="125"/>
      <c r="N795" s="126"/>
    </row>
    <row r="796" spans="1:14" x14ac:dyDescent="0.35">
      <c r="A796" s="126"/>
      <c r="B796" s="127"/>
      <c r="C796" s="126"/>
      <c r="D796" s="126"/>
      <c r="E796" s="128"/>
      <c r="F796" s="128"/>
      <c r="G796" s="128"/>
      <c r="H796" s="128"/>
      <c r="I796" s="128"/>
      <c r="J796" s="126"/>
      <c r="K796" s="126"/>
      <c r="L796" s="126"/>
      <c r="M796" s="125"/>
      <c r="N796" s="126"/>
    </row>
    <row r="797" spans="1:14" x14ac:dyDescent="0.35">
      <c r="A797" s="126"/>
      <c r="B797" s="127"/>
      <c r="C797" s="126"/>
      <c r="D797" s="126"/>
      <c r="E797" s="128"/>
      <c r="F797" s="128"/>
      <c r="G797" s="128"/>
      <c r="H797" s="128"/>
      <c r="I797" s="128"/>
      <c r="J797" s="126"/>
      <c r="K797" s="126"/>
      <c r="L797" s="126"/>
      <c r="M797" s="125"/>
      <c r="N797" s="126"/>
    </row>
    <row r="798" spans="1:14" x14ac:dyDescent="0.35">
      <c r="A798" s="126"/>
      <c r="B798" s="127"/>
      <c r="C798" s="126"/>
      <c r="D798" s="126"/>
      <c r="E798" s="128"/>
      <c r="F798" s="128"/>
      <c r="G798" s="128"/>
      <c r="H798" s="128"/>
      <c r="I798" s="128"/>
      <c r="J798" s="126"/>
      <c r="K798" s="126"/>
      <c r="L798" s="126"/>
      <c r="M798" s="125"/>
      <c r="N798" s="126"/>
    </row>
    <row r="799" spans="1:14" x14ac:dyDescent="0.35">
      <c r="A799" s="126"/>
      <c r="B799" s="127"/>
      <c r="C799" s="126"/>
      <c r="D799" s="126"/>
      <c r="E799" s="128"/>
      <c r="F799" s="128"/>
      <c r="G799" s="128"/>
      <c r="H799" s="128"/>
      <c r="I799" s="128"/>
      <c r="J799" s="126"/>
      <c r="K799" s="126"/>
      <c r="L799" s="126"/>
      <c r="M799" s="125"/>
      <c r="N799" s="126"/>
    </row>
    <row r="800" spans="1:14" x14ac:dyDescent="0.35">
      <c r="A800" s="126"/>
      <c r="B800" s="127"/>
      <c r="C800" s="126"/>
      <c r="D800" s="126"/>
      <c r="E800" s="128"/>
      <c r="F800" s="128"/>
      <c r="G800" s="128"/>
      <c r="H800" s="128"/>
      <c r="I800" s="128"/>
      <c r="J800" s="126"/>
      <c r="K800" s="126"/>
      <c r="L800" s="126"/>
      <c r="M800" s="125"/>
      <c r="N800" s="126"/>
    </row>
    <row r="801" spans="1:14" x14ac:dyDescent="0.35">
      <c r="A801" s="126"/>
      <c r="B801" s="127"/>
      <c r="C801" s="126"/>
      <c r="D801" s="126"/>
      <c r="E801" s="128"/>
      <c r="F801" s="128"/>
      <c r="G801" s="128"/>
      <c r="H801" s="128"/>
      <c r="I801" s="128"/>
      <c r="J801" s="126"/>
      <c r="K801" s="126"/>
      <c r="L801" s="126"/>
      <c r="M801" s="125"/>
      <c r="N801" s="126"/>
    </row>
    <row r="802" spans="1:14" x14ac:dyDescent="0.35">
      <c r="A802" s="126"/>
      <c r="B802" s="127"/>
      <c r="C802" s="126"/>
      <c r="D802" s="126"/>
      <c r="E802" s="128"/>
      <c r="F802" s="128"/>
      <c r="G802" s="128"/>
      <c r="H802" s="128"/>
      <c r="I802" s="128"/>
      <c r="J802" s="126"/>
      <c r="K802" s="126"/>
      <c r="L802" s="126"/>
      <c r="M802" s="125"/>
      <c r="N802" s="126"/>
    </row>
    <row r="803" spans="1:14" x14ac:dyDescent="0.35">
      <c r="A803" s="126"/>
      <c r="B803" s="127"/>
      <c r="C803" s="126"/>
      <c r="D803" s="126"/>
      <c r="E803" s="128"/>
      <c r="F803" s="128"/>
      <c r="G803" s="128"/>
      <c r="H803" s="128"/>
      <c r="I803" s="128"/>
      <c r="J803" s="126"/>
      <c r="K803" s="126"/>
      <c r="L803" s="126"/>
      <c r="M803" s="125"/>
      <c r="N803" s="126"/>
    </row>
    <row r="804" spans="1:14" x14ac:dyDescent="0.35">
      <c r="A804" s="126"/>
      <c r="B804" s="127"/>
      <c r="C804" s="126"/>
      <c r="D804" s="126"/>
      <c r="E804" s="128"/>
      <c r="F804" s="128"/>
      <c r="G804" s="128"/>
      <c r="H804" s="128"/>
      <c r="I804" s="128"/>
      <c r="J804" s="126"/>
      <c r="K804" s="126"/>
      <c r="L804" s="126"/>
      <c r="M804" s="125"/>
      <c r="N804" s="126"/>
    </row>
    <row r="805" spans="1:14" x14ac:dyDescent="0.35">
      <c r="A805" s="126"/>
      <c r="B805" s="127"/>
      <c r="C805" s="126"/>
      <c r="D805" s="126"/>
      <c r="E805" s="128"/>
      <c r="F805" s="128"/>
      <c r="G805" s="128"/>
      <c r="H805" s="128"/>
      <c r="I805" s="128"/>
      <c r="J805" s="126"/>
      <c r="K805" s="126"/>
      <c r="L805" s="126"/>
      <c r="M805" s="125"/>
      <c r="N805" s="126"/>
    </row>
    <row r="806" spans="1:14" x14ac:dyDescent="0.35">
      <c r="A806" s="126"/>
      <c r="B806" s="127"/>
      <c r="C806" s="126"/>
      <c r="D806" s="126"/>
      <c r="E806" s="128"/>
      <c r="F806" s="128"/>
      <c r="G806" s="128"/>
      <c r="H806" s="128"/>
      <c r="I806" s="128"/>
      <c r="J806" s="126"/>
      <c r="K806" s="126"/>
      <c r="L806" s="126"/>
      <c r="M806" s="125"/>
      <c r="N806" s="126"/>
    </row>
    <row r="807" spans="1:14" x14ac:dyDescent="0.35">
      <c r="A807" s="126"/>
      <c r="B807" s="127"/>
      <c r="C807" s="126"/>
      <c r="D807" s="126"/>
      <c r="E807" s="128"/>
      <c r="F807" s="128"/>
      <c r="G807" s="128"/>
      <c r="H807" s="128"/>
      <c r="I807" s="128"/>
      <c r="J807" s="126"/>
      <c r="K807" s="126"/>
      <c r="L807" s="126"/>
      <c r="M807" s="125"/>
      <c r="N807" s="126"/>
    </row>
    <row r="808" spans="1:14" x14ac:dyDescent="0.35">
      <c r="A808" s="126"/>
      <c r="B808" s="127"/>
      <c r="C808" s="126"/>
      <c r="D808" s="126"/>
      <c r="E808" s="128"/>
      <c r="F808" s="128"/>
      <c r="G808" s="128"/>
      <c r="H808" s="128"/>
      <c r="I808" s="128"/>
      <c r="J808" s="126"/>
      <c r="K808" s="126"/>
      <c r="L808" s="126"/>
      <c r="M808" s="125"/>
      <c r="N808" s="126"/>
    </row>
    <row r="809" spans="1:14" x14ac:dyDescent="0.35">
      <c r="A809" s="126"/>
      <c r="B809" s="127"/>
      <c r="C809" s="126"/>
      <c r="D809" s="126"/>
      <c r="E809" s="128"/>
      <c r="F809" s="128"/>
      <c r="G809" s="128"/>
      <c r="H809" s="128"/>
      <c r="I809" s="128"/>
      <c r="J809" s="126"/>
      <c r="K809" s="126"/>
      <c r="L809" s="126"/>
      <c r="M809" s="125"/>
      <c r="N809" s="126"/>
    </row>
    <row r="810" spans="1:14" x14ac:dyDescent="0.35">
      <c r="A810" s="126"/>
      <c r="B810" s="127"/>
      <c r="C810" s="126"/>
      <c r="D810" s="126"/>
      <c r="E810" s="128"/>
      <c r="F810" s="128"/>
      <c r="G810" s="128"/>
      <c r="H810" s="128"/>
      <c r="I810" s="128"/>
      <c r="J810" s="126"/>
      <c r="K810" s="126"/>
      <c r="L810" s="126"/>
      <c r="M810" s="125"/>
      <c r="N810" s="126"/>
    </row>
    <row r="811" spans="1:14" x14ac:dyDescent="0.35">
      <c r="A811" s="126"/>
      <c r="B811" s="127"/>
      <c r="C811" s="126"/>
      <c r="D811" s="126"/>
      <c r="E811" s="128"/>
      <c r="F811" s="128"/>
      <c r="G811" s="128"/>
      <c r="H811" s="128"/>
      <c r="I811" s="128"/>
      <c r="J811" s="126"/>
      <c r="K811" s="126"/>
      <c r="L811" s="126"/>
      <c r="M811" s="125"/>
      <c r="N811" s="126"/>
    </row>
    <row r="812" spans="1:14" x14ac:dyDescent="0.35">
      <c r="A812" s="126"/>
      <c r="B812" s="127"/>
      <c r="C812" s="126"/>
      <c r="D812" s="126"/>
      <c r="E812" s="128"/>
      <c r="F812" s="128"/>
      <c r="G812" s="128"/>
      <c r="H812" s="128"/>
      <c r="I812" s="128"/>
      <c r="J812" s="126"/>
      <c r="K812" s="126"/>
      <c r="L812" s="126"/>
      <c r="M812" s="125"/>
      <c r="N812" s="126"/>
    </row>
    <row r="813" spans="1:14" x14ac:dyDescent="0.35">
      <c r="A813" s="126"/>
      <c r="B813" s="127"/>
      <c r="C813" s="126"/>
      <c r="D813" s="126"/>
      <c r="E813" s="128"/>
      <c r="F813" s="128"/>
      <c r="G813" s="128"/>
      <c r="H813" s="128"/>
      <c r="I813" s="128"/>
      <c r="J813" s="126"/>
      <c r="K813" s="126"/>
      <c r="L813" s="126"/>
      <c r="M813" s="125"/>
      <c r="N813" s="126"/>
    </row>
    <row r="814" spans="1:14" x14ac:dyDescent="0.35">
      <c r="A814" s="126"/>
      <c r="B814" s="127"/>
      <c r="C814" s="126"/>
      <c r="D814" s="126"/>
      <c r="E814" s="128"/>
      <c r="F814" s="128"/>
      <c r="G814" s="128"/>
      <c r="H814" s="128"/>
      <c r="I814" s="128"/>
      <c r="J814" s="126"/>
      <c r="K814" s="126"/>
      <c r="L814" s="126"/>
      <c r="M814" s="125"/>
      <c r="N814" s="126"/>
    </row>
    <row r="815" spans="1:14" x14ac:dyDescent="0.35">
      <c r="A815" s="126"/>
      <c r="B815" s="127"/>
      <c r="C815" s="126"/>
      <c r="D815" s="126"/>
      <c r="E815" s="128"/>
      <c r="F815" s="128"/>
      <c r="G815" s="128"/>
      <c r="H815" s="128"/>
      <c r="I815" s="128"/>
      <c r="J815" s="126"/>
      <c r="K815" s="126"/>
      <c r="L815" s="126"/>
      <c r="M815" s="125"/>
      <c r="N815" s="126"/>
    </row>
    <row r="816" spans="1:14" x14ac:dyDescent="0.35">
      <c r="A816" s="126"/>
      <c r="B816" s="127"/>
      <c r="C816" s="126"/>
      <c r="D816" s="126"/>
      <c r="E816" s="128"/>
      <c r="F816" s="128"/>
      <c r="G816" s="128"/>
      <c r="H816" s="128"/>
      <c r="I816" s="128"/>
      <c r="J816" s="126"/>
      <c r="K816" s="126"/>
      <c r="L816" s="126"/>
      <c r="M816" s="125"/>
      <c r="N816" s="126"/>
    </row>
    <row r="817" spans="1:14" x14ac:dyDescent="0.35">
      <c r="A817" s="126"/>
      <c r="B817" s="127"/>
      <c r="C817" s="126"/>
      <c r="D817" s="126"/>
      <c r="E817" s="128"/>
      <c r="F817" s="128"/>
      <c r="G817" s="128"/>
      <c r="H817" s="128"/>
      <c r="I817" s="128"/>
      <c r="J817" s="126"/>
      <c r="K817" s="126"/>
      <c r="L817" s="126"/>
      <c r="M817" s="125"/>
      <c r="N817" s="126"/>
    </row>
    <row r="818" spans="1:14" x14ac:dyDescent="0.35">
      <c r="A818" s="126"/>
      <c r="B818" s="127"/>
      <c r="C818" s="126"/>
      <c r="D818" s="126"/>
      <c r="E818" s="128"/>
      <c r="F818" s="128"/>
      <c r="G818" s="128"/>
      <c r="H818" s="128"/>
      <c r="I818" s="128"/>
      <c r="J818" s="126"/>
      <c r="K818" s="126"/>
      <c r="L818" s="126"/>
      <c r="M818" s="125"/>
      <c r="N818" s="126"/>
    </row>
    <row r="819" spans="1:14" x14ac:dyDescent="0.35">
      <c r="A819" s="126"/>
      <c r="B819" s="127"/>
      <c r="C819" s="126"/>
      <c r="D819" s="126"/>
      <c r="E819" s="128"/>
      <c r="F819" s="128"/>
      <c r="G819" s="128"/>
      <c r="H819" s="128"/>
      <c r="I819" s="128"/>
      <c r="J819" s="126"/>
      <c r="K819" s="126"/>
      <c r="L819" s="126"/>
      <c r="M819" s="125"/>
      <c r="N819" s="126"/>
    </row>
    <row r="820" spans="1:14" x14ac:dyDescent="0.35">
      <c r="A820" s="126"/>
      <c r="B820" s="127"/>
      <c r="C820" s="126"/>
      <c r="D820" s="126"/>
      <c r="E820" s="128"/>
      <c r="F820" s="128"/>
      <c r="G820" s="128"/>
      <c r="H820" s="128"/>
      <c r="I820" s="128"/>
      <c r="J820" s="126"/>
      <c r="K820" s="126"/>
      <c r="L820" s="126"/>
      <c r="M820" s="125"/>
      <c r="N820" s="126"/>
    </row>
    <row r="821" spans="1:14" x14ac:dyDescent="0.35">
      <c r="A821" s="126"/>
      <c r="B821" s="127"/>
      <c r="C821" s="126"/>
      <c r="D821" s="126"/>
      <c r="E821" s="128"/>
      <c r="F821" s="128"/>
      <c r="G821" s="128"/>
      <c r="H821" s="128"/>
      <c r="I821" s="128"/>
      <c r="J821" s="126"/>
      <c r="K821" s="126"/>
      <c r="L821" s="126"/>
      <c r="M821" s="125"/>
      <c r="N821" s="126"/>
    </row>
    <row r="822" spans="1:14" x14ac:dyDescent="0.35">
      <c r="A822" s="126"/>
      <c r="B822" s="127"/>
      <c r="C822" s="126"/>
      <c r="D822" s="126"/>
      <c r="E822" s="128"/>
      <c r="F822" s="128"/>
      <c r="G822" s="128"/>
      <c r="H822" s="128"/>
      <c r="I822" s="128"/>
      <c r="J822" s="126"/>
      <c r="K822" s="126"/>
      <c r="L822" s="126"/>
      <c r="M822" s="125"/>
      <c r="N822" s="126"/>
    </row>
    <row r="823" spans="1:14" x14ac:dyDescent="0.35">
      <c r="A823" s="126"/>
      <c r="B823" s="127"/>
      <c r="C823" s="126"/>
      <c r="D823" s="126"/>
      <c r="E823" s="128"/>
      <c r="F823" s="128"/>
      <c r="G823" s="128"/>
      <c r="H823" s="128"/>
      <c r="I823" s="128"/>
      <c r="J823" s="126"/>
      <c r="K823" s="126"/>
      <c r="L823" s="126"/>
      <c r="M823" s="125"/>
      <c r="N823" s="126"/>
    </row>
    <row r="824" spans="1:14" x14ac:dyDescent="0.35">
      <c r="A824" s="126"/>
      <c r="B824" s="127"/>
      <c r="C824" s="126"/>
      <c r="D824" s="126"/>
      <c r="E824" s="128"/>
      <c r="F824" s="128"/>
      <c r="G824" s="128"/>
      <c r="H824" s="128"/>
      <c r="I824" s="128"/>
      <c r="J824" s="126"/>
      <c r="K824" s="126"/>
      <c r="L824" s="126"/>
      <c r="M824" s="125"/>
      <c r="N824" s="126"/>
    </row>
    <row r="825" spans="1:14" x14ac:dyDescent="0.35">
      <c r="A825" s="126"/>
      <c r="B825" s="127"/>
      <c r="C825" s="126"/>
      <c r="D825" s="126"/>
      <c r="E825" s="128"/>
      <c r="F825" s="128"/>
      <c r="G825" s="128"/>
      <c r="H825" s="128"/>
      <c r="I825" s="128"/>
      <c r="J825" s="126"/>
      <c r="K825" s="126"/>
      <c r="L825" s="126"/>
      <c r="M825" s="125"/>
      <c r="N825" s="126"/>
    </row>
    <row r="826" spans="1:14" x14ac:dyDescent="0.35">
      <c r="A826" s="126"/>
      <c r="B826" s="127"/>
      <c r="C826" s="126"/>
      <c r="D826" s="126"/>
      <c r="E826" s="128"/>
      <c r="F826" s="128"/>
      <c r="G826" s="128"/>
      <c r="H826" s="128"/>
      <c r="I826" s="128"/>
      <c r="J826" s="126"/>
      <c r="K826" s="126"/>
      <c r="L826" s="126"/>
      <c r="M826" s="125"/>
      <c r="N826" s="126"/>
    </row>
    <row r="827" spans="1:14" x14ac:dyDescent="0.35">
      <c r="A827" s="126"/>
      <c r="B827" s="127"/>
      <c r="C827" s="126"/>
      <c r="D827" s="126"/>
      <c r="E827" s="128"/>
      <c r="F827" s="128"/>
      <c r="G827" s="128"/>
      <c r="H827" s="128"/>
      <c r="I827" s="128"/>
      <c r="J827" s="126"/>
      <c r="K827" s="126"/>
      <c r="L827" s="126"/>
      <c r="M827" s="125"/>
      <c r="N827" s="126"/>
    </row>
    <row r="828" spans="1:14" x14ac:dyDescent="0.35">
      <c r="A828" s="126"/>
      <c r="B828" s="127"/>
      <c r="C828" s="126"/>
      <c r="D828" s="126"/>
      <c r="E828" s="128"/>
      <c r="F828" s="128"/>
      <c r="G828" s="128"/>
      <c r="H828" s="128"/>
      <c r="I828" s="128"/>
      <c r="J828" s="126"/>
      <c r="K828" s="126"/>
      <c r="L828" s="126"/>
      <c r="M828" s="125"/>
      <c r="N828" s="126"/>
    </row>
    <row r="829" spans="1:14" x14ac:dyDescent="0.35">
      <c r="A829" s="126"/>
      <c r="B829" s="127"/>
      <c r="C829" s="126"/>
      <c r="D829" s="126"/>
      <c r="E829" s="128"/>
      <c r="F829" s="128"/>
      <c r="G829" s="128"/>
      <c r="H829" s="128"/>
      <c r="I829" s="128"/>
      <c r="J829" s="126"/>
      <c r="K829" s="126"/>
      <c r="L829" s="126"/>
      <c r="M829" s="125"/>
      <c r="N829" s="126"/>
    </row>
    <row r="830" spans="1:14" x14ac:dyDescent="0.35">
      <c r="A830" s="126"/>
      <c r="B830" s="127"/>
      <c r="C830" s="126"/>
      <c r="D830" s="126"/>
      <c r="E830" s="128"/>
      <c r="F830" s="128"/>
      <c r="G830" s="128"/>
      <c r="H830" s="128"/>
      <c r="I830" s="128"/>
      <c r="J830" s="126"/>
      <c r="K830" s="126"/>
      <c r="L830" s="126"/>
      <c r="M830" s="125"/>
      <c r="N830" s="126"/>
    </row>
    <row r="831" spans="1:14" x14ac:dyDescent="0.35">
      <c r="A831" s="126"/>
      <c r="B831" s="127"/>
      <c r="C831" s="126"/>
      <c r="D831" s="126"/>
      <c r="E831" s="128"/>
      <c r="F831" s="128"/>
      <c r="G831" s="128"/>
      <c r="H831" s="128"/>
      <c r="I831" s="128"/>
      <c r="J831" s="126"/>
      <c r="K831" s="126"/>
      <c r="L831" s="126"/>
      <c r="M831" s="125"/>
      <c r="N831" s="126"/>
    </row>
    <row r="832" spans="1:14" x14ac:dyDescent="0.35">
      <c r="A832" s="126"/>
      <c r="B832" s="127"/>
      <c r="C832" s="126"/>
      <c r="D832" s="126"/>
      <c r="E832" s="128"/>
      <c r="F832" s="128"/>
      <c r="G832" s="128"/>
      <c r="H832" s="128"/>
      <c r="I832" s="128"/>
      <c r="J832" s="126"/>
      <c r="K832" s="126"/>
      <c r="L832" s="126"/>
      <c r="M832" s="125"/>
      <c r="N832" s="126"/>
    </row>
    <row r="833" spans="1:14" x14ac:dyDescent="0.35">
      <c r="A833" s="126"/>
      <c r="B833" s="127"/>
      <c r="C833" s="126"/>
      <c r="D833" s="126"/>
      <c r="E833" s="128"/>
      <c r="F833" s="128"/>
      <c r="G833" s="128"/>
      <c r="H833" s="128"/>
      <c r="I833" s="128"/>
      <c r="J833" s="126"/>
      <c r="K833" s="126"/>
      <c r="L833" s="126"/>
      <c r="M833" s="125"/>
      <c r="N833" s="126"/>
    </row>
    <row r="834" spans="1:14" x14ac:dyDescent="0.35">
      <c r="A834" s="126"/>
      <c r="B834" s="127"/>
      <c r="C834" s="126"/>
      <c r="D834" s="126"/>
      <c r="E834" s="128"/>
      <c r="F834" s="128"/>
      <c r="G834" s="128"/>
      <c r="H834" s="128"/>
      <c r="I834" s="128"/>
      <c r="J834" s="126"/>
      <c r="K834" s="126"/>
      <c r="L834" s="126"/>
      <c r="M834" s="125"/>
      <c r="N834" s="126"/>
    </row>
    <row r="835" spans="1:14" x14ac:dyDescent="0.35">
      <c r="A835" s="126"/>
      <c r="B835" s="127"/>
      <c r="C835" s="126"/>
      <c r="D835" s="126"/>
      <c r="E835" s="128"/>
      <c r="F835" s="128"/>
      <c r="G835" s="128"/>
      <c r="H835" s="128"/>
      <c r="I835" s="128"/>
      <c r="J835" s="126"/>
      <c r="K835" s="126"/>
      <c r="L835" s="126"/>
      <c r="M835" s="125"/>
      <c r="N835" s="126"/>
    </row>
    <row r="836" spans="1:14" x14ac:dyDescent="0.35">
      <c r="A836" s="126"/>
      <c r="B836" s="127"/>
      <c r="C836" s="126"/>
      <c r="D836" s="126"/>
      <c r="E836" s="128"/>
      <c r="F836" s="128"/>
      <c r="G836" s="128"/>
      <c r="H836" s="128"/>
      <c r="I836" s="128"/>
      <c r="J836" s="126"/>
      <c r="K836" s="126"/>
      <c r="L836" s="126"/>
      <c r="M836" s="125"/>
      <c r="N836" s="126"/>
    </row>
    <row r="837" spans="1:14" x14ac:dyDescent="0.35">
      <c r="A837" s="126"/>
      <c r="B837" s="127"/>
      <c r="C837" s="126"/>
      <c r="D837" s="126"/>
      <c r="E837" s="128"/>
      <c r="F837" s="128"/>
      <c r="G837" s="128"/>
      <c r="H837" s="128"/>
      <c r="I837" s="128"/>
      <c r="J837" s="126"/>
      <c r="K837" s="126"/>
      <c r="L837" s="126"/>
      <c r="M837" s="125"/>
      <c r="N837" s="126"/>
    </row>
    <row r="838" spans="1:14" x14ac:dyDescent="0.35">
      <c r="A838" s="126"/>
      <c r="B838" s="127"/>
      <c r="C838" s="126"/>
      <c r="D838" s="126"/>
      <c r="E838" s="128"/>
      <c r="F838" s="128"/>
      <c r="G838" s="128"/>
      <c r="H838" s="128"/>
      <c r="I838" s="128"/>
      <c r="J838" s="126"/>
      <c r="K838" s="126"/>
      <c r="L838" s="126"/>
      <c r="M838" s="125"/>
      <c r="N838" s="126"/>
    </row>
    <row r="839" spans="1:14" x14ac:dyDescent="0.35">
      <c r="A839" s="126"/>
      <c r="B839" s="127"/>
      <c r="C839" s="126"/>
      <c r="D839" s="126"/>
      <c r="E839" s="128"/>
      <c r="F839" s="128"/>
      <c r="G839" s="128"/>
      <c r="H839" s="128"/>
      <c r="I839" s="128"/>
      <c r="J839" s="126"/>
      <c r="K839" s="126"/>
      <c r="L839" s="126"/>
      <c r="M839" s="125"/>
      <c r="N839" s="126"/>
    </row>
    <row r="840" spans="1:14" x14ac:dyDescent="0.35">
      <c r="A840" s="126"/>
      <c r="B840" s="127"/>
      <c r="C840" s="126"/>
      <c r="D840" s="126"/>
      <c r="E840" s="128"/>
      <c r="F840" s="128"/>
      <c r="G840" s="128"/>
      <c r="H840" s="128"/>
      <c r="I840" s="128"/>
      <c r="J840" s="126"/>
      <c r="K840" s="126"/>
      <c r="L840" s="126"/>
      <c r="M840" s="125"/>
      <c r="N840" s="126"/>
    </row>
    <row r="841" spans="1:14" x14ac:dyDescent="0.35">
      <c r="A841" s="126"/>
      <c r="B841" s="127"/>
      <c r="C841" s="126"/>
      <c r="D841" s="126"/>
      <c r="E841" s="128"/>
      <c r="F841" s="128"/>
      <c r="G841" s="128"/>
      <c r="H841" s="128"/>
      <c r="I841" s="128"/>
      <c r="J841" s="126"/>
      <c r="K841" s="126"/>
      <c r="L841" s="126"/>
      <c r="M841" s="125"/>
      <c r="N841" s="126"/>
    </row>
    <row r="842" spans="1:14" x14ac:dyDescent="0.35">
      <c r="A842" s="126"/>
      <c r="B842" s="127"/>
      <c r="C842" s="126"/>
      <c r="D842" s="126"/>
      <c r="E842" s="128"/>
      <c r="F842" s="128"/>
      <c r="G842" s="128"/>
      <c r="H842" s="128"/>
      <c r="I842" s="128"/>
      <c r="J842" s="126"/>
      <c r="K842" s="126"/>
      <c r="L842" s="126"/>
      <c r="M842" s="125"/>
      <c r="N842" s="126"/>
    </row>
    <row r="843" spans="1:14" x14ac:dyDescent="0.35">
      <c r="A843" s="126"/>
      <c r="B843" s="127"/>
      <c r="C843" s="126"/>
      <c r="D843" s="126"/>
      <c r="E843" s="128"/>
      <c r="F843" s="128"/>
      <c r="G843" s="128"/>
      <c r="H843" s="128"/>
      <c r="I843" s="128"/>
      <c r="J843" s="126"/>
      <c r="K843" s="126"/>
      <c r="L843" s="126"/>
      <c r="M843" s="125"/>
      <c r="N843" s="126"/>
    </row>
    <row r="844" spans="1:14" x14ac:dyDescent="0.35">
      <c r="A844" s="126"/>
      <c r="B844" s="127"/>
      <c r="C844" s="126"/>
      <c r="D844" s="126"/>
      <c r="E844" s="128"/>
      <c r="F844" s="128"/>
      <c r="G844" s="128"/>
      <c r="H844" s="128"/>
      <c r="I844" s="128"/>
      <c r="J844" s="126"/>
      <c r="K844" s="126"/>
      <c r="L844" s="126"/>
      <c r="M844" s="125"/>
      <c r="N844" s="126"/>
    </row>
    <row r="845" spans="1:14" x14ac:dyDescent="0.35">
      <c r="A845" s="126"/>
      <c r="B845" s="127"/>
      <c r="C845" s="126"/>
      <c r="D845" s="126"/>
      <c r="E845" s="128"/>
      <c r="F845" s="128"/>
      <c r="G845" s="128"/>
      <c r="H845" s="128"/>
      <c r="I845" s="128"/>
      <c r="J845" s="126"/>
      <c r="K845" s="126"/>
      <c r="L845" s="126"/>
      <c r="M845" s="125"/>
      <c r="N845" s="126"/>
    </row>
    <row r="846" spans="1:14" x14ac:dyDescent="0.35">
      <c r="A846" s="126"/>
      <c r="B846" s="127"/>
      <c r="C846" s="126"/>
      <c r="D846" s="126"/>
      <c r="E846" s="128"/>
      <c r="F846" s="128"/>
      <c r="G846" s="128"/>
      <c r="H846" s="128"/>
      <c r="I846" s="128"/>
      <c r="J846" s="126"/>
      <c r="K846" s="126"/>
      <c r="L846" s="126"/>
      <c r="M846" s="125"/>
      <c r="N846" s="126"/>
    </row>
    <row r="847" spans="1:14" x14ac:dyDescent="0.35">
      <c r="A847" s="126"/>
      <c r="B847" s="127"/>
      <c r="C847" s="126"/>
      <c r="D847" s="126"/>
      <c r="E847" s="128"/>
      <c r="F847" s="128"/>
      <c r="G847" s="128"/>
      <c r="H847" s="128"/>
      <c r="I847" s="128"/>
      <c r="J847" s="126"/>
      <c r="K847" s="126"/>
      <c r="L847" s="126"/>
      <c r="M847" s="125"/>
      <c r="N847" s="126"/>
    </row>
    <row r="848" spans="1:14" x14ac:dyDescent="0.35">
      <c r="A848" s="126"/>
      <c r="B848" s="127"/>
      <c r="C848" s="126"/>
      <c r="D848" s="126"/>
      <c r="E848" s="128"/>
      <c r="F848" s="128"/>
      <c r="G848" s="128"/>
      <c r="H848" s="128"/>
      <c r="I848" s="128"/>
      <c r="J848" s="126"/>
      <c r="K848" s="126"/>
      <c r="L848" s="126"/>
      <c r="M848" s="125"/>
      <c r="N848" s="126"/>
    </row>
    <row r="849" spans="1:14" x14ac:dyDescent="0.35">
      <c r="A849" s="126"/>
      <c r="B849" s="127"/>
      <c r="C849" s="126"/>
      <c r="D849" s="126"/>
      <c r="E849" s="128"/>
      <c r="F849" s="128"/>
      <c r="G849" s="128"/>
      <c r="H849" s="128"/>
      <c r="I849" s="128"/>
      <c r="J849" s="126"/>
      <c r="K849" s="126"/>
      <c r="L849" s="126"/>
      <c r="M849" s="125"/>
      <c r="N849" s="126"/>
    </row>
    <row r="850" spans="1:14" x14ac:dyDescent="0.35">
      <c r="A850" s="126"/>
      <c r="B850" s="127"/>
      <c r="C850" s="126"/>
      <c r="D850" s="126"/>
      <c r="E850" s="128"/>
      <c r="F850" s="128"/>
      <c r="G850" s="128"/>
      <c r="H850" s="128"/>
      <c r="I850" s="128"/>
      <c r="J850" s="126"/>
      <c r="K850" s="126"/>
      <c r="L850" s="126"/>
      <c r="M850" s="125"/>
      <c r="N850" s="126"/>
    </row>
    <row r="851" spans="1:14" x14ac:dyDescent="0.35">
      <c r="A851" s="126"/>
      <c r="B851" s="127"/>
      <c r="C851" s="126"/>
      <c r="D851" s="126"/>
      <c r="E851" s="128"/>
      <c r="F851" s="128"/>
      <c r="G851" s="128"/>
      <c r="H851" s="128"/>
      <c r="I851" s="128"/>
      <c r="J851" s="126"/>
      <c r="K851" s="126"/>
      <c r="L851" s="126"/>
      <c r="M851" s="125"/>
      <c r="N851" s="126"/>
    </row>
    <row r="852" spans="1:14" x14ac:dyDescent="0.35">
      <c r="A852" s="126"/>
      <c r="B852" s="127"/>
      <c r="C852" s="126"/>
      <c r="D852" s="126"/>
      <c r="E852" s="128"/>
      <c r="F852" s="128"/>
      <c r="G852" s="128"/>
      <c r="H852" s="128"/>
      <c r="I852" s="128"/>
      <c r="J852" s="126"/>
      <c r="K852" s="126"/>
      <c r="L852" s="126"/>
      <c r="M852" s="125"/>
      <c r="N852" s="126"/>
    </row>
    <row r="853" spans="1:14" x14ac:dyDescent="0.35">
      <c r="A853" s="126"/>
      <c r="B853" s="127"/>
      <c r="C853" s="126"/>
      <c r="D853" s="126"/>
      <c r="E853" s="128"/>
      <c r="F853" s="128"/>
      <c r="G853" s="128"/>
      <c r="H853" s="128"/>
      <c r="I853" s="128"/>
      <c r="J853" s="126"/>
      <c r="K853" s="126"/>
      <c r="L853" s="126"/>
      <c r="M853" s="125"/>
      <c r="N853" s="126"/>
    </row>
    <row r="854" spans="1:14" x14ac:dyDescent="0.35">
      <c r="A854" s="126"/>
      <c r="B854" s="127"/>
      <c r="C854" s="126"/>
      <c r="D854" s="126"/>
      <c r="E854" s="128"/>
      <c r="F854" s="128"/>
      <c r="G854" s="128"/>
      <c r="H854" s="128"/>
      <c r="I854" s="128"/>
      <c r="J854" s="126"/>
      <c r="K854" s="126"/>
      <c r="L854" s="126"/>
      <c r="M854" s="125"/>
      <c r="N854" s="126"/>
    </row>
    <row r="855" spans="1:14" x14ac:dyDescent="0.35">
      <c r="A855" s="126"/>
      <c r="B855" s="127"/>
      <c r="C855" s="126"/>
      <c r="D855" s="126"/>
      <c r="E855" s="128"/>
      <c r="F855" s="128"/>
      <c r="G855" s="128"/>
      <c r="H855" s="128"/>
      <c r="I855" s="128"/>
      <c r="J855" s="126"/>
      <c r="K855" s="126"/>
      <c r="L855" s="126"/>
      <c r="M855" s="125"/>
      <c r="N855" s="126"/>
    </row>
    <row r="856" spans="1:14" x14ac:dyDescent="0.35">
      <c r="A856" s="126"/>
      <c r="B856" s="127"/>
      <c r="C856" s="126"/>
      <c r="D856" s="126"/>
      <c r="E856" s="128"/>
      <c r="F856" s="128"/>
      <c r="G856" s="128"/>
      <c r="H856" s="128"/>
      <c r="I856" s="128"/>
      <c r="J856" s="126"/>
      <c r="K856" s="126"/>
      <c r="L856" s="126"/>
      <c r="M856" s="125"/>
      <c r="N856" s="126"/>
    </row>
    <row r="857" spans="1:14" x14ac:dyDescent="0.35">
      <c r="A857" s="126"/>
      <c r="B857" s="127"/>
      <c r="C857" s="126"/>
      <c r="D857" s="126"/>
      <c r="E857" s="128"/>
      <c r="F857" s="128"/>
      <c r="G857" s="128"/>
      <c r="H857" s="128"/>
      <c r="I857" s="128"/>
      <c r="J857" s="126"/>
      <c r="K857" s="126"/>
      <c r="L857" s="126"/>
      <c r="M857" s="125"/>
      <c r="N857" s="126"/>
    </row>
    <row r="858" spans="1:14" x14ac:dyDescent="0.35">
      <c r="A858" s="126"/>
      <c r="B858" s="127"/>
      <c r="C858" s="126"/>
      <c r="D858" s="126"/>
      <c r="E858" s="128"/>
      <c r="F858" s="128"/>
      <c r="G858" s="128"/>
      <c r="H858" s="128"/>
      <c r="I858" s="128"/>
      <c r="J858" s="126"/>
      <c r="K858" s="126"/>
      <c r="L858" s="126"/>
      <c r="M858" s="125"/>
      <c r="N858" s="126"/>
    </row>
    <row r="859" spans="1:14" x14ac:dyDescent="0.35">
      <c r="A859" s="126"/>
      <c r="B859" s="127"/>
      <c r="C859" s="126"/>
      <c r="D859" s="126"/>
      <c r="E859" s="128"/>
      <c r="F859" s="128"/>
      <c r="G859" s="128"/>
      <c r="H859" s="128"/>
      <c r="I859" s="128"/>
      <c r="J859" s="126"/>
      <c r="K859" s="126"/>
      <c r="L859" s="126"/>
      <c r="M859" s="125"/>
      <c r="N859" s="126"/>
    </row>
    <row r="860" spans="1:14" x14ac:dyDescent="0.35">
      <c r="A860" s="126"/>
      <c r="B860" s="127"/>
      <c r="C860" s="126"/>
      <c r="D860" s="126"/>
      <c r="E860" s="128"/>
      <c r="F860" s="128"/>
      <c r="G860" s="128"/>
      <c r="H860" s="128"/>
      <c r="I860" s="128"/>
      <c r="J860" s="126"/>
      <c r="K860" s="126"/>
      <c r="L860" s="126"/>
      <c r="M860" s="125"/>
      <c r="N860" s="126"/>
    </row>
    <row r="861" spans="1:14" x14ac:dyDescent="0.35">
      <c r="A861" s="126"/>
      <c r="B861" s="127"/>
      <c r="C861" s="126"/>
      <c r="D861" s="126"/>
      <c r="E861" s="128"/>
      <c r="F861" s="128"/>
      <c r="G861" s="128"/>
      <c r="H861" s="128"/>
      <c r="I861" s="128"/>
      <c r="J861" s="126"/>
      <c r="K861" s="126"/>
      <c r="L861" s="126"/>
      <c r="M861" s="125"/>
      <c r="N861" s="126"/>
    </row>
    <row r="862" spans="1:14" x14ac:dyDescent="0.35">
      <c r="A862" s="126"/>
      <c r="B862" s="127"/>
      <c r="C862" s="126"/>
      <c r="D862" s="126"/>
      <c r="E862" s="128"/>
      <c r="F862" s="128"/>
      <c r="G862" s="128"/>
      <c r="H862" s="128"/>
      <c r="I862" s="128"/>
      <c r="J862" s="126"/>
      <c r="K862" s="126"/>
      <c r="L862" s="126"/>
      <c r="M862" s="125"/>
      <c r="N862" s="126"/>
    </row>
    <row r="863" spans="1:14" x14ac:dyDescent="0.35">
      <c r="A863" s="126"/>
      <c r="B863" s="127"/>
      <c r="C863" s="126"/>
      <c r="D863" s="126"/>
      <c r="E863" s="128"/>
      <c r="F863" s="128"/>
      <c r="G863" s="128"/>
      <c r="H863" s="128"/>
      <c r="I863" s="128"/>
      <c r="J863" s="126"/>
      <c r="K863" s="126"/>
      <c r="L863" s="126"/>
      <c r="M863" s="125"/>
      <c r="N863" s="126"/>
    </row>
    <row r="864" spans="1:14" x14ac:dyDescent="0.35">
      <c r="A864" s="126"/>
      <c r="B864" s="127"/>
      <c r="C864" s="126"/>
      <c r="D864" s="126"/>
      <c r="E864" s="128"/>
      <c r="F864" s="128"/>
      <c r="G864" s="128"/>
      <c r="H864" s="128"/>
      <c r="I864" s="128"/>
      <c r="J864" s="126"/>
      <c r="K864" s="126"/>
      <c r="L864" s="126"/>
      <c r="M864" s="125"/>
      <c r="N864" s="126"/>
    </row>
    <row r="865" spans="1:14" x14ac:dyDescent="0.35">
      <c r="A865" s="126"/>
      <c r="B865" s="127"/>
      <c r="C865" s="126"/>
      <c r="D865" s="126"/>
      <c r="E865" s="128"/>
      <c r="F865" s="128"/>
      <c r="G865" s="128"/>
      <c r="H865" s="128"/>
      <c r="I865" s="128"/>
      <c r="J865" s="126"/>
      <c r="K865" s="126"/>
      <c r="L865" s="126"/>
      <c r="M865" s="125"/>
      <c r="N865" s="126"/>
    </row>
    <row r="866" spans="1:14" x14ac:dyDescent="0.35">
      <c r="A866" s="126"/>
      <c r="B866" s="127"/>
      <c r="C866" s="126"/>
      <c r="D866" s="126"/>
      <c r="E866" s="128"/>
      <c r="F866" s="128"/>
      <c r="G866" s="128"/>
      <c r="H866" s="128"/>
      <c r="I866" s="128"/>
      <c r="J866" s="126"/>
      <c r="K866" s="126"/>
      <c r="L866" s="126"/>
      <c r="M866" s="125"/>
      <c r="N866" s="126"/>
    </row>
    <row r="867" spans="1:14" x14ac:dyDescent="0.35">
      <c r="A867" s="126"/>
      <c r="B867" s="127"/>
      <c r="C867" s="126"/>
      <c r="D867" s="126"/>
      <c r="E867" s="128"/>
      <c r="F867" s="128"/>
      <c r="G867" s="128"/>
      <c r="H867" s="128"/>
      <c r="I867" s="128"/>
      <c r="J867" s="126"/>
      <c r="K867" s="126"/>
      <c r="L867" s="126"/>
      <c r="M867" s="125"/>
      <c r="N867" s="126"/>
    </row>
    <row r="868" spans="1:14" x14ac:dyDescent="0.35">
      <c r="A868" s="126"/>
      <c r="B868" s="127"/>
      <c r="C868" s="126"/>
      <c r="D868" s="126"/>
      <c r="E868" s="128"/>
      <c r="F868" s="128"/>
      <c r="G868" s="128"/>
      <c r="H868" s="128"/>
      <c r="I868" s="128"/>
      <c r="J868" s="126"/>
      <c r="K868" s="126"/>
      <c r="L868" s="126"/>
      <c r="M868" s="125"/>
      <c r="N868" s="126"/>
    </row>
    <row r="869" spans="1:14" x14ac:dyDescent="0.35">
      <c r="A869" s="126"/>
      <c r="B869" s="127"/>
      <c r="C869" s="126"/>
      <c r="D869" s="126"/>
      <c r="E869" s="128"/>
      <c r="F869" s="128"/>
      <c r="G869" s="128"/>
      <c r="H869" s="128"/>
      <c r="I869" s="128"/>
      <c r="J869" s="126"/>
      <c r="K869" s="126"/>
      <c r="L869" s="126"/>
      <c r="M869" s="125"/>
      <c r="N869" s="126"/>
    </row>
    <row r="870" spans="1:14" x14ac:dyDescent="0.35">
      <c r="A870" s="126"/>
      <c r="B870" s="127"/>
      <c r="C870" s="126"/>
      <c r="D870" s="126"/>
      <c r="E870" s="128"/>
      <c r="F870" s="128"/>
      <c r="G870" s="128"/>
      <c r="H870" s="128"/>
      <c r="I870" s="128"/>
      <c r="J870" s="126"/>
      <c r="K870" s="126"/>
      <c r="L870" s="126"/>
      <c r="M870" s="125"/>
      <c r="N870" s="126"/>
    </row>
    <row r="871" spans="1:14" x14ac:dyDescent="0.35">
      <c r="A871" s="126"/>
      <c r="B871" s="127"/>
      <c r="C871" s="126"/>
      <c r="D871" s="126"/>
      <c r="E871" s="128"/>
      <c r="F871" s="128"/>
      <c r="G871" s="128"/>
      <c r="H871" s="128"/>
      <c r="I871" s="128"/>
      <c r="J871" s="126"/>
      <c r="K871" s="126"/>
      <c r="L871" s="126"/>
      <c r="M871" s="125"/>
      <c r="N871" s="126"/>
    </row>
    <row r="872" spans="1:14" x14ac:dyDescent="0.35">
      <c r="A872" s="126"/>
      <c r="B872" s="127"/>
      <c r="C872" s="126"/>
      <c r="D872" s="126"/>
      <c r="E872" s="128"/>
      <c r="F872" s="128"/>
      <c r="G872" s="128"/>
      <c r="H872" s="128"/>
      <c r="I872" s="128"/>
      <c r="J872" s="126"/>
      <c r="K872" s="126"/>
      <c r="L872" s="126"/>
      <c r="M872" s="125"/>
      <c r="N872" s="126"/>
    </row>
    <row r="873" spans="1:14" x14ac:dyDescent="0.35">
      <c r="A873" s="126"/>
      <c r="B873" s="127"/>
      <c r="C873" s="126"/>
      <c r="D873" s="126"/>
      <c r="E873" s="128"/>
      <c r="F873" s="128"/>
      <c r="G873" s="128"/>
      <c r="H873" s="128"/>
      <c r="I873" s="128"/>
      <c r="J873" s="126"/>
      <c r="K873" s="126"/>
      <c r="L873" s="126"/>
      <c r="M873" s="125"/>
      <c r="N873" s="126"/>
    </row>
    <row r="874" spans="1:14" x14ac:dyDescent="0.35">
      <c r="A874" s="126"/>
      <c r="B874" s="127"/>
      <c r="C874" s="126"/>
      <c r="D874" s="126"/>
      <c r="E874" s="128"/>
      <c r="F874" s="128"/>
      <c r="G874" s="128"/>
      <c r="H874" s="128"/>
      <c r="I874" s="128"/>
      <c r="J874" s="126"/>
      <c r="K874" s="126"/>
      <c r="L874" s="126"/>
      <c r="M874" s="125"/>
      <c r="N874" s="126"/>
    </row>
    <row r="875" spans="1:14" x14ac:dyDescent="0.35">
      <c r="A875" s="126"/>
      <c r="B875" s="127"/>
      <c r="C875" s="126"/>
      <c r="D875" s="126"/>
      <c r="E875" s="128"/>
      <c r="F875" s="128"/>
      <c r="G875" s="128"/>
      <c r="H875" s="128"/>
      <c r="I875" s="128"/>
      <c r="J875" s="126"/>
      <c r="K875" s="126"/>
      <c r="L875" s="126"/>
      <c r="M875" s="125"/>
      <c r="N875" s="126"/>
    </row>
    <row r="876" spans="1:14" x14ac:dyDescent="0.35">
      <c r="A876" s="126"/>
      <c r="B876" s="127"/>
      <c r="C876" s="126"/>
      <c r="D876" s="126"/>
      <c r="E876" s="128"/>
      <c r="F876" s="128"/>
      <c r="G876" s="128"/>
      <c r="H876" s="128"/>
      <c r="I876" s="128"/>
      <c r="J876" s="126"/>
      <c r="K876" s="126"/>
      <c r="L876" s="126"/>
      <c r="M876" s="125"/>
      <c r="N876" s="126"/>
    </row>
    <row r="877" spans="1:14" x14ac:dyDescent="0.35">
      <c r="A877" s="126"/>
      <c r="B877" s="127"/>
      <c r="C877" s="126"/>
      <c r="D877" s="126"/>
      <c r="E877" s="128"/>
      <c r="F877" s="128"/>
      <c r="G877" s="128"/>
      <c r="H877" s="128"/>
      <c r="I877" s="128"/>
      <c r="J877" s="126"/>
      <c r="K877" s="126"/>
      <c r="L877" s="126"/>
      <c r="M877" s="125"/>
      <c r="N877" s="126"/>
    </row>
    <row r="878" spans="1:14" x14ac:dyDescent="0.35">
      <c r="A878" s="126"/>
      <c r="B878" s="127"/>
      <c r="C878" s="126"/>
      <c r="D878" s="126"/>
      <c r="E878" s="128"/>
      <c r="F878" s="128"/>
      <c r="G878" s="128"/>
      <c r="H878" s="128"/>
      <c r="I878" s="128"/>
      <c r="J878" s="126"/>
      <c r="K878" s="126"/>
      <c r="L878" s="126"/>
      <c r="M878" s="125"/>
      <c r="N878" s="126"/>
    </row>
    <row r="879" spans="1:14" x14ac:dyDescent="0.35">
      <c r="A879" s="126"/>
      <c r="B879" s="127"/>
      <c r="C879" s="126"/>
      <c r="D879" s="126"/>
      <c r="E879" s="128"/>
      <c r="F879" s="128"/>
      <c r="G879" s="128"/>
      <c r="H879" s="128"/>
      <c r="I879" s="128"/>
      <c r="J879" s="126"/>
      <c r="K879" s="126"/>
      <c r="L879" s="126"/>
      <c r="M879" s="125"/>
      <c r="N879" s="126"/>
    </row>
    <row r="880" spans="1:14" x14ac:dyDescent="0.35">
      <c r="A880" s="126"/>
      <c r="B880" s="127"/>
      <c r="C880" s="126"/>
      <c r="D880" s="126"/>
      <c r="E880" s="128"/>
      <c r="F880" s="128"/>
      <c r="G880" s="128"/>
      <c r="H880" s="128"/>
      <c r="I880" s="128"/>
      <c r="J880" s="126"/>
      <c r="K880" s="126"/>
      <c r="L880" s="126"/>
      <c r="M880" s="125"/>
      <c r="N880" s="126"/>
    </row>
    <row r="881" spans="1:14" x14ac:dyDescent="0.35">
      <c r="A881" s="126"/>
      <c r="B881" s="127"/>
      <c r="C881" s="126"/>
      <c r="D881" s="126"/>
      <c r="E881" s="128"/>
      <c r="F881" s="128"/>
      <c r="G881" s="128"/>
      <c r="H881" s="128"/>
      <c r="I881" s="128"/>
      <c r="J881" s="126"/>
      <c r="K881" s="126"/>
      <c r="L881" s="126"/>
      <c r="M881" s="125"/>
      <c r="N881" s="126"/>
    </row>
    <row r="882" spans="1:14" x14ac:dyDescent="0.35">
      <c r="A882" s="126"/>
      <c r="B882" s="127"/>
      <c r="C882" s="126"/>
      <c r="D882" s="126"/>
      <c r="E882" s="128"/>
      <c r="F882" s="128"/>
      <c r="G882" s="128"/>
      <c r="H882" s="128"/>
      <c r="I882" s="128"/>
      <c r="J882" s="126"/>
      <c r="K882" s="126"/>
      <c r="L882" s="126"/>
      <c r="M882" s="125"/>
      <c r="N882" s="126"/>
    </row>
    <row r="883" spans="1:14" x14ac:dyDescent="0.35">
      <c r="A883" s="126"/>
      <c r="B883" s="127"/>
      <c r="C883" s="126"/>
      <c r="D883" s="126"/>
      <c r="E883" s="128"/>
      <c r="F883" s="128"/>
      <c r="G883" s="128"/>
      <c r="H883" s="128"/>
      <c r="I883" s="128"/>
      <c r="J883" s="126"/>
      <c r="K883" s="126"/>
      <c r="L883" s="126"/>
      <c r="M883" s="125"/>
      <c r="N883" s="126"/>
    </row>
    <row r="884" spans="1:14" x14ac:dyDescent="0.35">
      <c r="A884" s="126"/>
      <c r="B884" s="127"/>
      <c r="C884" s="126"/>
      <c r="D884" s="126"/>
      <c r="E884" s="128"/>
      <c r="F884" s="128"/>
      <c r="G884" s="128"/>
      <c r="H884" s="128"/>
      <c r="I884" s="128"/>
      <c r="J884" s="126"/>
      <c r="K884" s="126"/>
      <c r="L884" s="126"/>
      <c r="M884" s="125"/>
      <c r="N884" s="126"/>
    </row>
    <row r="885" spans="1:14" x14ac:dyDescent="0.35">
      <c r="A885" s="126"/>
      <c r="B885" s="127"/>
      <c r="C885" s="126"/>
      <c r="D885" s="126"/>
      <c r="E885" s="128"/>
      <c r="F885" s="128"/>
      <c r="G885" s="128"/>
      <c r="H885" s="128"/>
      <c r="I885" s="128"/>
      <c r="J885" s="126"/>
      <c r="K885" s="126"/>
      <c r="L885" s="126"/>
      <c r="M885" s="125"/>
      <c r="N885" s="126"/>
    </row>
    <row r="886" spans="1:14" x14ac:dyDescent="0.35">
      <c r="A886" s="126"/>
      <c r="B886" s="127"/>
      <c r="C886" s="126"/>
      <c r="D886" s="126"/>
      <c r="E886" s="128"/>
      <c r="F886" s="128"/>
      <c r="G886" s="128"/>
      <c r="H886" s="128"/>
      <c r="I886" s="128"/>
      <c r="J886" s="126"/>
      <c r="K886" s="126"/>
      <c r="L886" s="126"/>
      <c r="M886" s="125"/>
      <c r="N886" s="126"/>
    </row>
    <row r="887" spans="1:14" x14ac:dyDescent="0.35">
      <c r="A887" s="126"/>
      <c r="B887" s="127"/>
      <c r="C887" s="126"/>
      <c r="D887" s="126"/>
      <c r="E887" s="128"/>
      <c r="F887" s="128"/>
      <c r="G887" s="128"/>
      <c r="H887" s="128"/>
      <c r="I887" s="128"/>
      <c r="J887" s="126"/>
      <c r="K887" s="126"/>
      <c r="L887" s="126"/>
      <c r="M887" s="125"/>
      <c r="N887" s="126"/>
    </row>
    <row r="888" spans="1:14" x14ac:dyDescent="0.35">
      <c r="A888" s="126"/>
      <c r="B888" s="127"/>
      <c r="C888" s="126"/>
      <c r="D888" s="126"/>
      <c r="E888" s="128"/>
      <c r="F888" s="128"/>
      <c r="G888" s="128"/>
      <c r="H888" s="128"/>
      <c r="I888" s="128"/>
      <c r="J888" s="126"/>
      <c r="K888" s="126"/>
      <c r="L888" s="126"/>
      <c r="M888" s="125"/>
      <c r="N888" s="126"/>
    </row>
    <row r="889" spans="1:14" x14ac:dyDescent="0.35">
      <c r="A889" s="126"/>
      <c r="B889" s="127"/>
      <c r="C889" s="126"/>
      <c r="D889" s="126"/>
      <c r="E889" s="128"/>
      <c r="F889" s="128"/>
      <c r="G889" s="128"/>
      <c r="H889" s="128"/>
      <c r="I889" s="128"/>
      <c r="J889" s="126"/>
      <c r="K889" s="126"/>
      <c r="L889" s="126"/>
      <c r="M889" s="125"/>
      <c r="N889" s="126"/>
    </row>
    <row r="890" spans="1:14" x14ac:dyDescent="0.35">
      <c r="A890" s="126"/>
      <c r="B890" s="127"/>
      <c r="C890" s="126"/>
      <c r="D890" s="126"/>
      <c r="E890" s="128"/>
      <c r="F890" s="128"/>
      <c r="G890" s="128"/>
      <c r="H890" s="128"/>
      <c r="I890" s="128"/>
      <c r="J890" s="126"/>
      <c r="K890" s="126"/>
      <c r="L890" s="126"/>
      <c r="M890" s="125"/>
      <c r="N890" s="126"/>
    </row>
    <row r="891" spans="1:14" x14ac:dyDescent="0.35">
      <c r="A891" s="126"/>
      <c r="B891" s="127"/>
      <c r="C891" s="126"/>
      <c r="D891" s="126"/>
      <c r="E891" s="128"/>
      <c r="F891" s="128"/>
      <c r="G891" s="128"/>
      <c r="H891" s="128"/>
      <c r="I891" s="128"/>
      <c r="J891" s="126"/>
      <c r="K891" s="126"/>
      <c r="L891" s="126"/>
      <c r="M891" s="125"/>
      <c r="N891" s="126"/>
    </row>
    <row r="892" spans="1:14" x14ac:dyDescent="0.35">
      <c r="A892" s="126"/>
      <c r="B892" s="127"/>
      <c r="C892" s="126"/>
      <c r="D892" s="126"/>
      <c r="E892" s="128"/>
      <c r="F892" s="128"/>
      <c r="G892" s="128"/>
      <c r="H892" s="128"/>
      <c r="I892" s="128"/>
      <c r="J892" s="126"/>
      <c r="K892" s="126"/>
      <c r="L892" s="126"/>
      <c r="M892" s="125"/>
      <c r="N892" s="126"/>
    </row>
    <row r="893" spans="1:14" x14ac:dyDescent="0.35">
      <c r="A893" s="126"/>
      <c r="B893" s="127"/>
      <c r="C893" s="126"/>
      <c r="D893" s="126"/>
      <c r="E893" s="128"/>
      <c r="F893" s="128"/>
      <c r="G893" s="128"/>
      <c r="H893" s="128"/>
      <c r="I893" s="128"/>
      <c r="J893" s="126"/>
      <c r="K893" s="126"/>
      <c r="L893" s="126"/>
      <c r="M893" s="125"/>
      <c r="N893" s="126"/>
    </row>
    <row r="894" spans="1:14" x14ac:dyDescent="0.35">
      <c r="A894" s="126"/>
      <c r="B894" s="127"/>
      <c r="C894" s="126"/>
      <c r="D894" s="126"/>
      <c r="E894" s="128"/>
      <c r="F894" s="128"/>
      <c r="G894" s="128"/>
      <c r="H894" s="128"/>
      <c r="I894" s="128"/>
      <c r="J894" s="126"/>
      <c r="K894" s="126"/>
      <c r="L894" s="126"/>
      <c r="M894" s="125"/>
      <c r="N894" s="126"/>
    </row>
    <row r="895" spans="1:14" x14ac:dyDescent="0.35">
      <c r="A895" s="126"/>
      <c r="B895" s="127"/>
      <c r="C895" s="126"/>
      <c r="D895" s="126"/>
      <c r="E895" s="128"/>
      <c r="F895" s="128"/>
      <c r="G895" s="128"/>
      <c r="H895" s="128"/>
      <c r="I895" s="128"/>
      <c r="J895" s="126"/>
      <c r="K895" s="126"/>
      <c r="L895" s="126"/>
      <c r="M895" s="125"/>
      <c r="N895" s="126"/>
    </row>
    <row r="896" spans="1:14" x14ac:dyDescent="0.35">
      <c r="A896" s="126"/>
      <c r="B896" s="127"/>
      <c r="C896" s="126"/>
      <c r="D896" s="126"/>
      <c r="E896" s="128"/>
      <c r="F896" s="128"/>
      <c r="G896" s="128"/>
      <c r="H896" s="128"/>
      <c r="I896" s="128"/>
      <c r="J896" s="126"/>
      <c r="K896" s="126"/>
      <c r="L896" s="126"/>
      <c r="M896" s="125"/>
      <c r="N896" s="126"/>
    </row>
    <row r="897" spans="1:14" x14ac:dyDescent="0.35">
      <c r="A897" s="126"/>
      <c r="B897" s="127"/>
      <c r="C897" s="126"/>
      <c r="D897" s="126"/>
      <c r="E897" s="128"/>
      <c r="F897" s="128"/>
      <c r="G897" s="128"/>
      <c r="H897" s="128"/>
      <c r="I897" s="128"/>
      <c r="J897" s="126"/>
      <c r="K897" s="126"/>
      <c r="L897" s="126"/>
      <c r="M897" s="125"/>
      <c r="N897" s="126"/>
    </row>
    <row r="898" spans="1:14" x14ac:dyDescent="0.35">
      <c r="A898" s="126"/>
      <c r="B898" s="127"/>
      <c r="C898" s="126"/>
      <c r="D898" s="126"/>
      <c r="E898" s="128"/>
      <c r="F898" s="128"/>
      <c r="G898" s="128"/>
      <c r="H898" s="128"/>
      <c r="I898" s="128"/>
      <c r="J898" s="126"/>
      <c r="K898" s="126"/>
      <c r="L898" s="126"/>
      <c r="M898" s="125"/>
      <c r="N898" s="126"/>
    </row>
    <row r="899" spans="1:14" x14ac:dyDescent="0.35">
      <c r="A899" s="126"/>
      <c r="B899" s="127"/>
      <c r="C899" s="126"/>
      <c r="D899" s="126"/>
      <c r="E899" s="128"/>
      <c r="F899" s="128"/>
      <c r="G899" s="128"/>
      <c r="H899" s="128"/>
      <c r="I899" s="128"/>
      <c r="J899" s="126"/>
      <c r="K899" s="126"/>
      <c r="L899" s="126"/>
      <c r="M899" s="125"/>
      <c r="N899" s="126"/>
    </row>
    <row r="900" spans="1:14" x14ac:dyDescent="0.35">
      <c r="A900" s="126"/>
      <c r="B900" s="127"/>
      <c r="C900" s="126"/>
      <c r="D900" s="126"/>
      <c r="E900" s="128"/>
      <c r="F900" s="128"/>
      <c r="G900" s="128"/>
      <c r="H900" s="128"/>
      <c r="I900" s="128"/>
      <c r="J900" s="126"/>
      <c r="K900" s="126"/>
      <c r="L900" s="126"/>
      <c r="M900" s="125"/>
      <c r="N900" s="126"/>
    </row>
    <row r="901" spans="1:14" x14ac:dyDescent="0.35">
      <c r="A901" s="126"/>
      <c r="B901" s="127"/>
      <c r="C901" s="126"/>
      <c r="D901" s="126"/>
      <c r="E901" s="128"/>
      <c r="F901" s="128"/>
      <c r="G901" s="128"/>
      <c r="H901" s="128"/>
      <c r="I901" s="128"/>
      <c r="J901" s="126"/>
      <c r="K901" s="126"/>
      <c r="L901" s="126"/>
      <c r="M901" s="125"/>
      <c r="N901" s="126"/>
    </row>
    <row r="902" spans="1:14" x14ac:dyDescent="0.35">
      <c r="A902" s="126"/>
      <c r="B902" s="127"/>
      <c r="C902" s="126"/>
      <c r="D902" s="126"/>
      <c r="E902" s="128"/>
      <c r="F902" s="128"/>
      <c r="G902" s="128"/>
      <c r="H902" s="128"/>
      <c r="I902" s="128"/>
      <c r="J902" s="126"/>
      <c r="K902" s="126"/>
      <c r="L902" s="126"/>
      <c r="M902" s="125"/>
      <c r="N902" s="126"/>
    </row>
    <row r="903" spans="1:14" x14ac:dyDescent="0.35">
      <c r="A903" s="126"/>
      <c r="B903" s="127"/>
      <c r="C903" s="126"/>
      <c r="D903" s="126"/>
      <c r="E903" s="128"/>
      <c r="F903" s="128"/>
      <c r="G903" s="128"/>
      <c r="H903" s="128"/>
      <c r="I903" s="128"/>
      <c r="J903" s="126"/>
      <c r="K903" s="126"/>
      <c r="L903" s="126"/>
      <c r="M903" s="125"/>
      <c r="N903" s="126"/>
    </row>
    <row r="904" spans="1:14" x14ac:dyDescent="0.35">
      <c r="A904" s="126"/>
      <c r="B904" s="127"/>
      <c r="C904" s="126"/>
      <c r="D904" s="126"/>
      <c r="E904" s="128"/>
      <c r="F904" s="128"/>
      <c r="G904" s="128"/>
      <c r="H904" s="128"/>
      <c r="I904" s="128"/>
      <c r="J904" s="126"/>
      <c r="K904" s="126"/>
      <c r="L904" s="126"/>
      <c r="M904" s="125"/>
      <c r="N904" s="126"/>
    </row>
    <row r="905" spans="1:14" x14ac:dyDescent="0.35">
      <c r="A905" s="126"/>
      <c r="B905" s="127"/>
      <c r="C905" s="126"/>
      <c r="D905" s="126"/>
      <c r="E905" s="128"/>
      <c r="F905" s="128"/>
      <c r="G905" s="128"/>
      <c r="H905" s="128"/>
      <c r="I905" s="128"/>
      <c r="J905" s="126"/>
      <c r="K905" s="126"/>
      <c r="L905" s="126"/>
      <c r="M905" s="125"/>
      <c r="N905" s="126"/>
    </row>
    <row r="906" spans="1:14" x14ac:dyDescent="0.35">
      <c r="A906" s="126"/>
      <c r="B906" s="127"/>
      <c r="C906" s="126"/>
      <c r="D906" s="126"/>
      <c r="E906" s="128"/>
      <c r="F906" s="128"/>
      <c r="G906" s="128"/>
      <c r="H906" s="128"/>
      <c r="I906" s="128"/>
      <c r="J906" s="126"/>
      <c r="K906" s="126"/>
      <c r="L906" s="126"/>
      <c r="M906" s="125"/>
      <c r="N906" s="126"/>
    </row>
    <row r="907" spans="1:14" x14ac:dyDescent="0.35">
      <c r="A907" s="126"/>
      <c r="B907" s="127"/>
      <c r="C907" s="126"/>
      <c r="D907" s="126"/>
      <c r="E907" s="128"/>
      <c r="F907" s="128"/>
      <c r="G907" s="128"/>
      <c r="H907" s="128"/>
      <c r="I907" s="128"/>
      <c r="J907" s="126"/>
      <c r="K907" s="126"/>
      <c r="L907" s="126"/>
      <c r="M907" s="125"/>
      <c r="N907" s="126"/>
    </row>
    <row r="908" spans="1:14" x14ac:dyDescent="0.35">
      <c r="A908" s="126"/>
      <c r="B908" s="127"/>
      <c r="C908" s="126"/>
      <c r="D908" s="126"/>
      <c r="E908" s="128"/>
      <c r="F908" s="128"/>
      <c r="G908" s="128"/>
      <c r="H908" s="128"/>
      <c r="I908" s="128"/>
      <c r="J908" s="126"/>
      <c r="K908" s="126"/>
      <c r="L908" s="126"/>
      <c r="M908" s="125"/>
      <c r="N908" s="126"/>
    </row>
    <row r="909" spans="1:14" x14ac:dyDescent="0.35">
      <c r="A909" s="126"/>
      <c r="B909" s="127"/>
      <c r="C909" s="126"/>
      <c r="D909" s="126"/>
      <c r="E909" s="128"/>
      <c r="F909" s="128"/>
      <c r="G909" s="128"/>
      <c r="H909" s="128"/>
      <c r="I909" s="128"/>
      <c r="J909" s="126"/>
      <c r="K909" s="126"/>
      <c r="L909" s="126"/>
      <c r="M909" s="125"/>
      <c r="N909" s="126"/>
    </row>
    <row r="910" spans="1:14" x14ac:dyDescent="0.35">
      <c r="A910" s="126"/>
      <c r="B910" s="127"/>
      <c r="C910" s="126"/>
      <c r="D910" s="126"/>
      <c r="E910" s="128"/>
      <c r="F910" s="128"/>
      <c r="G910" s="128"/>
      <c r="H910" s="128"/>
      <c r="I910" s="128"/>
      <c r="J910" s="126"/>
      <c r="K910" s="126"/>
      <c r="L910" s="126"/>
      <c r="M910" s="125"/>
      <c r="N910" s="126"/>
    </row>
    <row r="911" spans="1:14" x14ac:dyDescent="0.35">
      <c r="A911" s="126"/>
      <c r="B911" s="127"/>
      <c r="C911" s="126"/>
      <c r="D911" s="126"/>
      <c r="E911" s="128"/>
      <c r="F911" s="128"/>
      <c r="G911" s="128"/>
      <c r="H911" s="128"/>
      <c r="I911" s="128"/>
      <c r="J911" s="126"/>
      <c r="K911" s="126"/>
      <c r="L911" s="126"/>
      <c r="M911" s="125"/>
      <c r="N911" s="126"/>
    </row>
    <row r="912" spans="1:14" x14ac:dyDescent="0.35">
      <c r="A912" s="126"/>
      <c r="B912" s="127"/>
      <c r="C912" s="126"/>
      <c r="D912" s="126"/>
      <c r="E912" s="128"/>
      <c r="F912" s="128"/>
      <c r="G912" s="128"/>
      <c r="H912" s="128"/>
      <c r="I912" s="128"/>
      <c r="J912" s="126"/>
      <c r="K912" s="126"/>
      <c r="L912" s="126"/>
      <c r="M912" s="125"/>
      <c r="N912" s="126"/>
    </row>
    <row r="913" spans="1:14" x14ac:dyDescent="0.35">
      <c r="A913" s="126"/>
      <c r="B913" s="127"/>
      <c r="C913" s="126"/>
      <c r="D913" s="126"/>
      <c r="E913" s="128"/>
      <c r="F913" s="128"/>
      <c r="G913" s="128"/>
      <c r="H913" s="128"/>
      <c r="I913" s="128"/>
      <c r="J913" s="126"/>
      <c r="K913" s="126"/>
      <c r="L913" s="126"/>
      <c r="M913" s="125"/>
      <c r="N913" s="126"/>
    </row>
    <row r="914" spans="1:14" x14ac:dyDescent="0.35">
      <c r="A914" s="126"/>
      <c r="B914" s="127"/>
      <c r="C914" s="126"/>
      <c r="D914" s="126"/>
      <c r="E914" s="128"/>
      <c r="F914" s="128"/>
      <c r="G914" s="128"/>
      <c r="H914" s="128"/>
      <c r="I914" s="128"/>
      <c r="J914" s="126"/>
      <c r="K914" s="126"/>
      <c r="L914" s="126"/>
      <c r="M914" s="125"/>
      <c r="N914" s="126"/>
    </row>
    <row r="915" spans="1:14" x14ac:dyDescent="0.35">
      <c r="A915" s="126"/>
      <c r="B915" s="127"/>
      <c r="C915" s="126"/>
      <c r="D915" s="126"/>
      <c r="E915" s="128"/>
      <c r="F915" s="128"/>
      <c r="G915" s="128"/>
      <c r="H915" s="128"/>
      <c r="I915" s="128"/>
      <c r="J915" s="126"/>
      <c r="K915" s="126"/>
      <c r="L915" s="126"/>
      <c r="M915" s="125"/>
      <c r="N915" s="126"/>
    </row>
    <row r="916" spans="1:14" x14ac:dyDescent="0.35">
      <c r="A916" s="126"/>
      <c r="B916" s="127"/>
      <c r="C916" s="126"/>
      <c r="D916" s="126"/>
      <c r="E916" s="128"/>
      <c r="F916" s="128"/>
      <c r="G916" s="128"/>
      <c r="H916" s="128"/>
      <c r="I916" s="128"/>
      <c r="J916" s="126"/>
      <c r="K916" s="126"/>
      <c r="L916" s="126"/>
      <c r="M916" s="125"/>
      <c r="N916" s="126"/>
    </row>
    <row r="917" spans="1:14" x14ac:dyDescent="0.35">
      <c r="A917" s="126"/>
      <c r="B917" s="127"/>
      <c r="C917" s="126"/>
      <c r="D917" s="126"/>
      <c r="E917" s="128"/>
      <c r="F917" s="128"/>
      <c r="G917" s="128"/>
      <c r="H917" s="128"/>
      <c r="I917" s="128"/>
      <c r="J917" s="126"/>
      <c r="K917" s="126"/>
      <c r="L917" s="126"/>
      <c r="M917" s="125"/>
      <c r="N917" s="126"/>
    </row>
    <row r="918" spans="1:14" x14ac:dyDescent="0.35">
      <c r="A918" s="126"/>
      <c r="B918" s="127"/>
      <c r="C918" s="126"/>
      <c r="D918" s="126"/>
      <c r="E918" s="128"/>
      <c r="F918" s="128"/>
      <c r="G918" s="128"/>
      <c r="H918" s="128"/>
      <c r="I918" s="128"/>
      <c r="J918" s="126"/>
      <c r="K918" s="126"/>
      <c r="L918" s="126"/>
      <c r="M918" s="125"/>
      <c r="N918" s="126"/>
    </row>
    <row r="919" spans="1:14" x14ac:dyDescent="0.35">
      <c r="A919" s="126"/>
      <c r="B919" s="127"/>
      <c r="C919" s="126"/>
      <c r="D919" s="126"/>
      <c r="E919" s="128"/>
      <c r="F919" s="128"/>
      <c r="G919" s="128"/>
      <c r="H919" s="128"/>
      <c r="I919" s="128"/>
      <c r="J919" s="126"/>
      <c r="K919" s="126"/>
      <c r="L919" s="126"/>
      <c r="M919" s="125"/>
      <c r="N919" s="126"/>
    </row>
    <row r="920" spans="1:14" x14ac:dyDescent="0.35">
      <c r="A920" s="126"/>
      <c r="B920" s="127"/>
      <c r="C920" s="126"/>
      <c r="D920" s="126"/>
      <c r="E920" s="128"/>
      <c r="F920" s="128"/>
      <c r="G920" s="128"/>
      <c r="H920" s="128"/>
      <c r="I920" s="128"/>
      <c r="J920" s="126"/>
      <c r="K920" s="126"/>
      <c r="L920" s="126"/>
      <c r="M920" s="125"/>
      <c r="N920" s="126"/>
    </row>
    <row r="921" spans="1:14" x14ac:dyDescent="0.35">
      <c r="A921" s="126"/>
      <c r="B921" s="127"/>
      <c r="C921" s="126"/>
      <c r="D921" s="126"/>
      <c r="E921" s="128"/>
      <c r="F921" s="128"/>
      <c r="G921" s="128"/>
      <c r="H921" s="128"/>
      <c r="I921" s="128"/>
      <c r="J921" s="126"/>
      <c r="K921" s="126"/>
      <c r="L921" s="126"/>
      <c r="M921" s="125"/>
      <c r="N921" s="126"/>
    </row>
    <row r="922" spans="1:14" x14ac:dyDescent="0.35">
      <c r="A922" s="126"/>
      <c r="B922" s="127"/>
      <c r="C922" s="126"/>
      <c r="D922" s="126"/>
      <c r="E922" s="128"/>
      <c r="F922" s="128"/>
      <c r="G922" s="128"/>
      <c r="H922" s="128"/>
      <c r="I922" s="128"/>
      <c r="J922" s="126"/>
      <c r="K922" s="126"/>
      <c r="L922" s="126"/>
      <c r="M922" s="125"/>
      <c r="N922" s="126"/>
    </row>
    <row r="923" spans="1:14" x14ac:dyDescent="0.35">
      <c r="A923" s="126"/>
      <c r="B923" s="127"/>
      <c r="C923" s="126"/>
      <c r="D923" s="126"/>
      <c r="E923" s="128"/>
      <c r="F923" s="128"/>
      <c r="G923" s="128"/>
      <c r="H923" s="128"/>
      <c r="I923" s="128"/>
      <c r="J923" s="126"/>
      <c r="K923" s="126"/>
      <c r="L923" s="126"/>
      <c r="M923" s="125"/>
      <c r="N923" s="126"/>
    </row>
    <row r="924" spans="1:14" x14ac:dyDescent="0.35">
      <c r="A924" s="126"/>
      <c r="B924" s="127"/>
      <c r="C924" s="126"/>
      <c r="D924" s="126"/>
      <c r="E924" s="128"/>
      <c r="F924" s="128"/>
      <c r="G924" s="128"/>
      <c r="H924" s="128"/>
      <c r="I924" s="128"/>
      <c r="J924" s="126"/>
      <c r="K924" s="126"/>
      <c r="L924" s="126"/>
      <c r="M924" s="125"/>
      <c r="N924" s="126"/>
    </row>
    <row r="925" spans="1:14" x14ac:dyDescent="0.35">
      <c r="A925" s="126"/>
      <c r="B925" s="127"/>
      <c r="C925" s="126"/>
      <c r="D925" s="126"/>
      <c r="E925" s="128"/>
      <c r="F925" s="128"/>
      <c r="G925" s="128"/>
      <c r="H925" s="128"/>
      <c r="I925" s="128"/>
      <c r="J925" s="126"/>
      <c r="K925" s="126"/>
      <c r="L925" s="126"/>
      <c r="M925" s="125"/>
      <c r="N925" s="126"/>
    </row>
    <row r="926" spans="1:14" x14ac:dyDescent="0.35">
      <c r="A926" s="126"/>
      <c r="B926" s="127"/>
      <c r="C926" s="126"/>
      <c r="D926" s="126"/>
      <c r="E926" s="128"/>
      <c r="F926" s="128"/>
      <c r="G926" s="128"/>
      <c r="H926" s="128"/>
      <c r="I926" s="128"/>
      <c r="J926" s="126"/>
      <c r="K926" s="126"/>
      <c r="L926" s="126"/>
      <c r="M926" s="125"/>
      <c r="N926" s="126"/>
    </row>
    <row r="927" spans="1:14" x14ac:dyDescent="0.35">
      <c r="A927" s="126"/>
      <c r="B927" s="127"/>
      <c r="C927" s="126"/>
      <c r="D927" s="126"/>
      <c r="E927" s="128"/>
      <c r="F927" s="128"/>
      <c r="G927" s="128"/>
      <c r="H927" s="128"/>
      <c r="I927" s="128"/>
      <c r="J927" s="126"/>
      <c r="K927" s="126"/>
      <c r="L927" s="126"/>
      <c r="M927" s="125"/>
      <c r="N927" s="126"/>
    </row>
    <row r="928" spans="1:14" x14ac:dyDescent="0.35">
      <c r="A928" s="126"/>
      <c r="B928" s="127"/>
      <c r="C928" s="126"/>
      <c r="D928" s="126"/>
      <c r="E928" s="128"/>
      <c r="F928" s="128"/>
      <c r="G928" s="128"/>
      <c r="H928" s="128"/>
      <c r="I928" s="128"/>
      <c r="J928" s="126"/>
      <c r="K928" s="126"/>
      <c r="L928" s="126"/>
      <c r="M928" s="125"/>
      <c r="N928" s="126"/>
    </row>
    <row r="929" spans="1:14" x14ac:dyDescent="0.35">
      <c r="A929" s="126"/>
      <c r="B929" s="127"/>
      <c r="C929" s="126"/>
      <c r="D929" s="126"/>
      <c r="E929" s="128"/>
      <c r="F929" s="128"/>
      <c r="G929" s="128"/>
      <c r="H929" s="128"/>
      <c r="I929" s="128"/>
      <c r="J929" s="126"/>
      <c r="K929" s="126"/>
      <c r="L929" s="126"/>
      <c r="M929" s="125"/>
      <c r="N929" s="126"/>
    </row>
    <row r="930" spans="1:14" x14ac:dyDescent="0.35">
      <c r="A930" s="126"/>
      <c r="B930" s="127"/>
      <c r="C930" s="126"/>
      <c r="D930" s="126"/>
      <c r="E930" s="128"/>
      <c r="F930" s="128"/>
      <c r="G930" s="128"/>
      <c r="H930" s="128"/>
      <c r="I930" s="128"/>
      <c r="J930" s="126"/>
      <c r="K930" s="126"/>
      <c r="L930" s="126"/>
      <c r="M930" s="125"/>
      <c r="N930" s="126"/>
    </row>
    <row r="931" spans="1:14" x14ac:dyDescent="0.35">
      <c r="A931" s="126"/>
      <c r="B931" s="127"/>
      <c r="C931" s="126"/>
      <c r="D931" s="126"/>
      <c r="E931" s="128"/>
      <c r="F931" s="128"/>
      <c r="G931" s="128"/>
      <c r="H931" s="128"/>
      <c r="I931" s="128"/>
      <c r="J931" s="126"/>
      <c r="K931" s="126"/>
      <c r="L931" s="126"/>
      <c r="M931" s="125"/>
      <c r="N931" s="126"/>
    </row>
    <row r="932" spans="1:14" x14ac:dyDescent="0.35">
      <c r="A932" s="126"/>
      <c r="B932" s="127"/>
      <c r="C932" s="126"/>
      <c r="D932" s="126"/>
      <c r="E932" s="128"/>
      <c r="F932" s="128"/>
      <c r="G932" s="128"/>
      <c r="H932" s="128"/>
      <c r="I932" s="128"/>
      <c r="J932" s="126"/>
      <c r="K932" s="126"/>
      <c r="L932" s="126"/>
      <c r="M932" s="125"/>
      <c r="N932" s="126"/>
    </row>
    <row r="933" spans="1:14" x14ac:dyDescent="0.35">
      <c r="A933" s="126"/>
      <c r="B933" s="127"/>
      <c r="C933" s="126"/>
      <c r="D933" s="126"/>
      <c r="E933" s="128"/>
      <c r="F933" s="128"/>
      <c r="G933" s="128"/>
      <c r="H933" s="128"/>
      <c r="I933" s="128"/>
      <c r="J933" s="126"/>
      <c r="K933" s="126"/>
      <c r="L933" s="126"/>
      <c r="M933" s="125"/>
      <c r="N933" s="126"/>
    </row>
    <row r="934" spans="1:14" x14ac:dyDescent="0.35">
      <c r="A934" s="126"/>
      <c r="B934" s="127"/>
      <c r="C934" s="126"/>
      <c r="D934" s="126"/>
      <c r="E934" s="128"/>
      <c r="F934" s="128"/>
      <c r="G934" s="128"/>
      <c r="H934" s="128"/>
      <c r="I934" s="128"/>
      <c r="J934" s="126"/>
      <c r="K934" s="126"/>
      <c r="L934" s="126"/>
      <c r="M934" s="125"/>
      <c r="N934" s="126"/>
    </row>
    <row r="935" spans="1:14" x14ac:dyDescent="0.35">
      <c r="A935" s="126"/>
      <c r="B935" s="127"/>
      <c r="C935" s="126"/>
      <c r="D935" s="126"/>
      <c r="E935" s="128"/>
      <c r="F935" s="128"/>
      <c r="G935" s="128"/>
      <c r="H935" s="128"/>
      <c r="I935" s="128"/>
      <c r="J935" s="126"/>
      <c r="K935" s="126"/>
      <c r="L935" s="126"/>
      <c r="M935" s="125"/>
      <c r="N935" s="126"/>
    </row>
    <row r="936" spans="1:14" x14ac:dyDescent="0.35">
      <c r="A936" s="126"/>
      <c r="B936" s="127"/>
      <c r="C936" s="126"/>
      <c r="D936" s="126"/>
      <c r="E936" s="128"/>
      <c r="F936" s="128"/>
      <c r="G936" s="128"/>
      <c r="H936" s="128"/>
      <c r="I936" s="128"/>
      <c r="J936" s="126"/>
      <c r="K936" s="126"/>
      <c r="L936" s="126"/>
      <c r="M936" s="125"/>
      <c r="N936" s="126"/>
    </row>
    <row r="937" spans="1:14" x14ac:dyDescent="0.35">
      <c r="A937" s="126"/>
      <c r="B937" s="127"/>
      <c r="C937" s="126"/>
      <c r="D937" s="126"/>
      <c r="E937" s="128"/>
      <c r="F937" s="128"/>
      <c r="G937" s="128"/>
      <c r="H937" s="128"/>
      <c r="I937" s="128"/>
      <c r="J937" s="126"/>
      <c r="K937" s="126"/>
      <c r="L937" s="126"/>
      <c r="M937" s="125"/>
      <c r="N937" s="126"/>
    </row>
    <row r="938" spans="1:14" x14ac:dyDescent="0.35">
      <c r="A938" s="126"/>
      <c r="B938" s="127"/>
      <c r="C938" s="126"/>
      <c r="D938" s="126"/>
      <c r="E938" s="128"/>
      <c r="F938" s="128"/>
      <c r="G938" s="128"/>
      <c r="H938" s="128"/>
      <c r="I938" s="128"/>
      <c r="J938" s="126"/>
      <c r="K938" s="126"/>
      <c r="L938" s="126"/>
      <c r="M938" s="125"/>
      <c r="N938" s="126"/>
    </row>
    <row r="939" spans="1:14" x14ac:dyDescent="0.35">
      <c r="A939" s="126"/>
      <c r="B939" s="127"/>
      <c r="C939" s="126"/>
      <c r="D939" s="126"/>
      <c r="E939" s="128"/>
      <c r="F939" s="128"/>
      <c r="G939" s="128"/>
      <c r="H939" s="128"/>
      <c r="I939" s="128"/>
      <c r="J939" s="126"/>
      <c r="K939" s="126"/>
      <c r="L939" s="126"/>
      <c r="M939" s="125"/>
      <c r="N939" s="126"/>
    </row>
    <row r="940" spans="1:14" x14ac:dyDescent="0.35">
      <c r="A940" s="126"/>
      <c r="B940" s="127"/>
      <c r="C940" s="126"/>
      <c r="D940" s="126"/>
      <c r="E940" s="128"/>
      <c r="F940" s="128"/>
      <c r="G940" s="128"/>
      <c r="H940" s="128"/>
      <c r="I940" s="128"/>
      <c r="J940" s="126"/>
      <c r="K940" s="126"/>
      <c r="L940" s="126"/>
      <c r="M940" s="125"/>
      <c r="N940" s="126"/>
    </row>
    <row r="941" spans="1:14" x14ac:dyDescent="0.35">
      <c r="A941" s="126"/>
      <c r="B941" s="127"/>
      <c r="C941" s="126"/>
      <c r="D941" s="126"/>
      <c r="E941" s="128"/>
      <c r="F941" s="128"/>
      <c r="G941" s="128"/>
      <c r="H941" s="128"/>
      <c r="I941" s="128"/>
      <c r="J941" s="126"/>
      <c r="K941" s="126"/>
      <c r="L941" s="126"/>
      <c r="M941" s="125"/>
      <c r="N941" s="126"/>
    </row>
    <row r="942" spans="1:14" x14ac:dyDescent="0.35">
      <c r="A942" s="126"/>
      <c r="B942" s="127"/>
      <c r="C942" s="126"/>
      <c r="D942" s="126"/>
      <c r="E942" s="128"/>
      <c r="F942" s="128"/>
      <c r="G942" s="128"/>
      <c r="H942" s="128"/>
      <c r="I942" s="128"/>
      <c r="J942" s="126"/>
      <c r="K942" s="126"/>
      <c r="L942" s="126"/>
      <c r="M942" s="125"/>
      <c r="N942" s="126"/>
    </row>
    <row r="943" spans="1:14" x14ac:dyDescent="0.35">
      <c r="A943" s="126"/>
      <c r="B943" s="127"/>
      <c r="C943" s="126"/>
      <c r="D943" s="126"/>
      <c r="E943" s="128"/>
      <c r="F943" s="128"/>
      <c r="G943" s="128"/>
      <c r="H943" s="128"/>
      <c r="I943" s="128"/>
      <c r="J943" s="126"/>
      <c r="K943" s="126"/>
      <c r="L943" s="126"/>
      <c r="M943" s="125"/>
      <c r="N943" s="126"/>
    </row>
    <row r="944" spans="1:14" x14ac:dyDescent="0.35">
      <c r="A944" s="126"/>
      <c r="B944" s="127"/>
      <c r="C944" s="126"/>
      <c r="D944" s="126"/>
      <c r="E944" s="128"/>
      <c r="F944" s="128"/>
      <c r="G944" s="128"/>
      <c r="H944" s="128"/>
      <c r="I944" s="128"/>
      <c r="J944" s="126"/>
      <c r="K944" s="126"/>
      <c r="L944" s="126"/>
      <c r="M944" s="125"/>
      <c r="N944" s="126"/>
    </row>
    <row r="945" spans="1:14" x14ac:dyDescent="0.35">
      <c r="A945" s="126"/>
      <c r="B945" s="127"/>
      <c r="C945" s="126"/>
      <c r="D945" s="126"/>
      <c r="E945" s="128"/>
      <c r="F945" s="128"/>
      <c r="G945" s="128"/>
      <c r="H945" s="128"/>
      <c r="I945" s="128"/>
      <c r="J945" s="126"/>
      <c r="K945" s="126"/>
      <c r="L945" s="126"/>
      <c r="M945" s="125"/>
      <c r="N945" s="126"/>
    </row>
    <row r="946" spans="1:14" x14ac:dyDescent="0.35">
      <c r="A946" s="126"/>
      <c r="B946" s="127"/>
      <c r="C946" s="126"/>
      <c r="D946" s="126"/>
      <c r="E946" s="128"/>
      <c r="F946" s="128"/>
      <c r="G946" s="128"/>
      <c r="H946" s="128"/>
      <c r="I946" s="128"/>
      <c r="J946" s="126"/>
      <c r="K946" s="126"/>
      <c r="L946" s="126"/>
      <c r="M946" s="125"/>
      <c r="N946" s="126"/>
    </row>
    <row r="947" spans="1:14" x14ac:dyDescent="0.35">
      <c r="A947" s="126"/>
      <c r="B947" s="127"/>
      <c r="C947" s="126"/>
      <c r="D947" s="126"/>
      <c r="E947" s="128"/>
      <c r="F947" s="128"/>
      <c r="G947" s="128"/>
      <c r="H947" s="128"/>
      <c r="I947" s="128"/>
      <c r="J947" s="126"/>
      <c r="K947" s="126"/>
      <c r="L947" s="126"/>
      <c r="M947" s="125"/>
      <c r="N947" s="126"/>
    </row>
    <row r="948" spans="1:14" x14ac:dyDescent="0.35">
      <c r="A948" s="126"/>
      <c r="B948" s="127"/>
      <c r="C948" s="126"/>
      <c r="D948" s="126"/>
      <c r="E948" s="128"/>
      <c r="F948" s="128"/>
      <c r="G948" s="128"/>
      <c r="H948" s="128"/>
      <c r="I948" s="128"/>
      <c r="J948" s="126"/>
      <c r="K948" s="126"/>
      <c r="L948" s="126"/>
      <c r="M948" s="125"/>
      <c r="N948" s="126"/>
    </row>
    <row r="949" spans="1:14" x14ac:dyDescent="0.35">
      <c r="A949" s="126"/>
      <c r="B949" s="127"/>
      <c r="C949" s="126"/>
      <c r="D949" s="126"/>
      <c r="E949" s="128"/>
      <c r="F949" s="128"/>
      <c r="G949" s="128"/>
      <c r="H949" s="128"/>
      <c r="I949" s="128"/>
      <c r="J949" s="126"/>
      <c r="K949" s="126"/>
      <c r="L949" s="126"/>
      <c r="M949" s="125"/>
      <c r="N949" s="126"/>
    </row>
    <row r="950" spans="1:14" x14ac:dyDescent="0.35">
      <c r="A950" s="126"/>
      <c r="B950" s="127"/>
      <c r="C950" s="126"/>
      <c r="D950" s="126"/>
      <c r="E950" s="128"/>
      <c r="F950" s="128"/>
      <c r="G950" s="128"/>
      <c r="H950" s="128"/>
      <c r="I950" s="128"/>
      <c r="J950" s="126"/>
      <c r="K950" s="126"/>
      <c r="L950" s="126"/>
      <c r="M950" s="125"/>
      <c r="N950" s="126"/>
    </row>
    <row r="951" spans="1:14" x14ac:dyDescent="0.35">
      <c r="A951" s="126"/>
      <c r="B951" s="127"/>
      <c r="C951" s="126"/>
      <c r="D951" s="126"/>
      <c r="E951" s="128"/>
      <c r="F951" s="128"/>
      <c r="G951" s="128"/>
      <c r="H951" s="128"/>
      <c r="I951" s="128"/>
      <c r="J951" s="126"/>
      <c r="K951" s="126"/>
      <c r="L951" s="126"/>
      <c r="M951" s="125"/>
      <c r="N951" s="126"/>
    </row>
    <row r="952" spans="1:14" x14ac:dyDescent="0.35">
      <c r="A952" s="126"/>
      <c r="B952" s="127"/>
      <c r="C952" s="126"/>
      <c r="D952" s="126"/>
      <c r="E952" s="128"/>
      <c r="F952" s="128"/>
      <c r="G952" s="128"/>
      <c r="H952" s="128"/>
      <c r="I952" s="128"/>
      <c r="J952" s="126"/>
      <c r="K952" s="126"/>
      <c r="L952" s="126"/>
      <c r="M952" s="125"/>
      <c r="N952" s="126"/>
    </row>
    <row r="953" spans="1:14" x14ac:dyDescent="0.35">
      <c r="A953" s="126"/>
      <c r="B953" s="127"/>
      <c r="C953" s="126"/>
      <c r="D953" s="126"/>
      <c r="E953" s="128"/>
      <c r="F953" s="128"/>
      <c r="G953" s="128"/>
      <c r="H953" s="128"/>
      <c r="I953" s="128"/>
      <c r="J953" s="126"/>
      <c r="K953" s="126"/>
      <c r="L953" s="126"/>
      <c r="M953" s="125"/>
      <c r="N953" s="126"/>
    </row>
    <row r="954" spans="1:14" x14ac:dyDescent="0.35">
      <c r="A954" s="126"/>
      <c r="B954" s="127"/>
      <c r="C954" s="126"/>
      <c r="D954" s="126"/>
      <c r="E954" s="128"/>
      <c r="F954" s="128"/>
      <c r="G954" s="128"/>
      <c r="H954" s="128"/>
      <c r="I954" s="128"/>
      <c r="J954" s="126"/>
      <c r="K954" s="126"/>
      <c r="L954" s="126"/>
      <c r="M954" s="125"/>
      <c r="N954" s="126"/>
    </row>
    <row r="955" spans="1:14" x14ac:dyDescent="0.35">
      <c r="A955" s="126"/>
      <c r="B955" s="127"/>
      <c r="C955" s="126"/>
      <c r="D955" s="126"/>
      <c r="E955" s="128"/>
      <c r="F955" s="128"/>
      <c r="G955" s="128"/>
      <c r="H955" s="128"/>
      <c r="I955" s="128"/>
      <c r="J955" s="126"/>
      <c r="K955" s="126"/>
      <c r="L955" s="126"/>
      <c r="M955" s="125"/>
      <c r="N955" s="126"/>
    </row>
    <row r="956" spans="1:14" x14ac:dyDescent="0.35">
      <c r="A956" s="126"/>
      <c r="B956" s="127"/>
      <c r="C956" s="126"/>
      <c r="D956" s="126"/>
      <c r="E956" s="128"/>
      <c r="F956" s="128"/>
      <c r="G956" s="128"/>
      <c r="H956" s="128"/>
      <c r="I956" s="128"/>
      <c r="J956" s="126"/>
      <c r="K956" s="126"/>
      <c r="L956" s="126"/>
      <c r="M956" s="125"/>
      <c r="N956" s="126"/>
    </row>
    <row r="957" spans="1:14" x14ac:dyDescent="0.35">
      <c r="A957" s="126"/>
      <c r="B957" s="127"/>
      <c r="C957" s="126"/>
      <c r="D957" s="126"/>
      <c r="E957" s="128"/>
      <c r="F957" s="128"/>
      <c r="G957" s="128"/>
      <c r="H957" s="128"/>
      <c r="I957" s="128"/>
      <c r="J957" s="126"/>
      <c r="K957" s="126"/>
      <c r="L957" s="126"/>
      <c r="M957" s="125"/>
      <c r="N957" s="126"/>
    </row>
    <row r="958" spans="1:14" x14ac:dyDescent="0.35">
      <c r="A958" s="126"/>
      <c r="B958" s="127"/>
      <c r="C958" s="126"/>
      <c r="D958" s="126"/>
      <c r="E958" s="128"/>
      <c r="F958" s="128"/>
      <c r="G958" s="128"/>
      <c r="H958" s="128"/>
      <c r="I958" s="128"/>
      <c r="J958" s="126"/>
      <c r="K958" s="126"/>
      <c r="L958" s="126"/>
      <c r="M958" s="125"/>
      <c r="N958" s="126"/>
    </row>
    <row r="959" spans="1:14" x14ac:dyDescent="0.35">
      <c r="A959" s="126"/>
      <c r="B959" s="127"/>
      <c r="C959" s="126"/>
      <c r="D959" s="126"/>
      <c r="E959" s="128"/>
      <c r="F959" s="128"/>
      <c r="G959" s="128"/>
      <c r="H959" s="128"/>
      <c r="I959" s="128"/>
      <c r="J959" s="126"/>
      <c r="K959" s="126"/>
      <c r="L959" s="126"/>
      <c r="M959" s="125"/>
      <c r="N959" s="126"/>
    </row>
    <row r="960" spans="1:14" x14ac:dyDescent="0.35">
      <c r="A960" s="126"/>
      <c r="B960" s="127"/>
      <c r="C960" s="126"/>
      <c r="D960" s="126"/>
      <c r="E960" s="128"/>
      <c r="F960" s="128"/>
      <c r="G960" s="128"/>
      <c r="H960" s="128"/>
      <c r="I960" s="128"/>
      <c r="J960" s="126"/>
      <c r="K960" s="126"/>
      <c r="L960" s="126"/>
      <c r="M960" s="125"/>
      <c r="N960" s="126"/>
    </row>
    <row r="961" spans="1:14" x14ac:dyDescent="0.35">
      <c r="A961" s="126"/>
      <c r="B961" s="127"/>
      <c r="C961" s="126"/>
      <c r="D961" s="126"/>
      <c r="E961" s="128"/>
      <c r="F961" s="128"/>
      <c r="G961" s="128"/>
      <c r="H961" s="128"/>
      <c r="I961" s="128"/>
      <c r="J961" s="126"/>
      <c r="K961" s="126"/>
      <c r="L961" s="126"/>
      <c r="M961" s="125"/>
      <c r="N961" s="126"/>
    </row>
    <row r="962" spans="1:14" x14ac:dyDescent="0.35">
      <c r="A962" s="126"/>
      <c r="B962" s="127"/>
      <c r="C962" s="126"/>
      <c r="D962" s="126"/>
      <c r="E962" s="128"/>
      <c r="F962" s="128"/>
      <c r="G962" s="128"/>
      <c r="H962" s="128"/>
      <c r="I962" s="128"/>
      <c r="J962" s="126"/>
      <c r="K962" s="126"/>
      <c r="L962" s="126"/>
      <c r="M962" s="125"/>
      <c r="N962" s="126"/>
    </row>
    <row r="963" spans="1:14" x14ac:dyDescent="0.35">
      <c r="A963" s="126"/>
      <c r="B963" s="127"/>
      <c r="C963" s="126"/>
      <c r="D963" s="126"/>
      <c r="E963" s="128"/>
      <c r="F963" s="128"/>
      <c r="G963" s="128"/>
      <c r="H963" s="128"/>
      <c r="I963" s="128"/>
      <c r="J963" s="126"/>
      <c r="K963" s="126"/>
      <c r="L963" s="126"/>
      <c r="M963" s="125"/>
      <c r="N963" s="126"/>
    </row>
    <row r="964" spans="1:14" x14ac:dyDescent="0.35">
      <c r="A964" s="126"/>
      <c r="B964" s="127"/>
      <c r="C964" s="126"/>
      <c r="D964" s="126"/>
      <c r="E964" s="128"/>
      <c r="F964" s="128"/>
      <c r="G964" s="128"/>
      <c r="H964" s="128"/>
      <c r="I964" s="128"/>
      <c r="J964" s="126"/>
      <c r="K964" s="126"/>
      <c r="L964" s="126"/>
      <c r="M964" s="125"/>
      <c r="N964" s="126"/>
    </row>
    <row r="965" spans="1:14" x14ac:dyDescent="0.35">
      <c r="A965" s="126"/>
      <c r="B965" s="127"/>
      <c r="C965" s="126"/>
      <c r="D965" s="126"/>
      <c r="E965" s="128"/>
      <c r="F965" s="128"/>
      <c r="G965" s="128"/>
      <c r="H965" s="128"/>
      <c r="I965" s="128"/>
      <c r="J965" s="126"/>
      <c r="K965" s="126"/>
      <c r="L965" s="126"/>
      <c r="M965" s="125"/>
      <c r="N965" s="126"/>
    </row>
    <row r="966" spans="1:14" x14ac:dyDescent="0.35">
      <c r="A966" s="126"/>
      <c r="B966" s="127"/>
      <c r="C966" s="126"/>
      <c r="D966" s="126"/>
      <c r="E966" s="128"/>
      <c r="F966" s="128"/>
      <c r="G966" s="128"/>
      <c r="H966" s="128"/>
      <c r="I966" s="128"/>
      <c r="J966" s="126"/>
      <c r="K966" s="126"/>
      <c r="L966" s="126"/>
      <c r="M966" s="125"/>
      <c r="N966" s="126"/>
    </row>
    <row r="967" spans="1:14" x14ac:dyDescent="0.35">
      <c r="A967" s="126"/>
      <c r="B967" s="127"/>
      <c r="C967" s="126"/>
      <c r="D967" s="126"/>
      <c r="E967" s="128"/>
      <c r="F967" s="128"/>
      <c r="G967" s="128"/>
      <c r="H967" s="128"/>
      <c r="I967" s="128"/>
      <c r="J967" s="126"/>
      <c r="K967" s="126"/>
      <c r="L967" s="126"/>
      <c r="M967" s="125"/>
      <c r="N967" s="126"/>
    </row>
    <row r="968" spans="1:14" x14ac:dyDescent="0.35">
      <c r="A968" s="126"/>
      <c r="B968" s="127"/>
      <c r="C968" s="126"/>
      <c r="D968" s="126"/>
      <c r="E968" s="128"/>
      <c r="F968" s="128"/>
      <c r="G968" s="128"/>
      <c r="H968" s="128"/>
      <c r="I968" s="128"/>
      <c r="J968" s="126"/>
      <c r="K968" s="126"/>
      <c r="L968" s="126"/>
      <c r="M968" s="125"/>
      <c r="N968" s="126"/>
    </row>
    <row r="969" spans="1:14" x14ac:dyDescent="0.35">
      <c r="A969" s="126"/>
      <c r="B969" s="127"/>
      <c r="C969" s="126"/>
      <c r="D969" s="126"/>
      <c r="E969" s="128"/>
      <c r="F969" s="128"/>
      <c r="G969" s="128"/>
      <c r="H969" s="128"/>
      <c r="I969" s="128"/>
      <c r="J969" s="126"/>
      <c r="K969" s="126"/>
      <c r="L969" s="126"/>
      <c r="M969" s="125"/>
      <c r="N969" s="126"/>
    </row>
    <row r="970" spans="1:14" x14ac:dyDescent="0.35">
      <c r="A970" s="126"/>
      <c r="B970" s="127"/>
      <c r="C970" s="126"/>
      <c r="D970" s="126"/>
      <c r="E970" s="128"/>
      <c r="F970" s="128"/>
      <c r="G970" s="128"/>
      <c r="H970" s="128"/>
      <c r="I970" s="128"/>
      <c r="J970" s="126"/>
      <c r="K970" s="126"/>
      <c r="L970" s="126"/>
      <c r="M970" s="125"/>
      <c r="N970" s="126"/>
    </row>
    <row r="971" spans="1:14" x14ac:dyDescent="0.35">
      <c r="A971" s="126"/>
      <c r="B971" s="127"/>
      <c r="C971" s="126"/>
      <c r="D971" s="126"/>
      <c r="E971" s="128"/>
      <c r="F971" s="128"/>
      <c r="G971" s="128"/>
      <c r="H971" s="128"/>
      <c r="I971" s="128"/>
      <c r="J971" s="126"/>
      <c r="K971" s="126"/>
      <c r="L971" s="126"/>
      <c r="M971" s="125"/>
      <c r="N971" s="126"/>
    </row>
    <row r="972" spans="1:14" x14ac:dyDescent="0.35">
      <c r="A972" s="126"/>
      <c r="B972" s="127"/>
      <c r="C972" s="126"/>
      <c r="D972" s="126"/>
      <c r="E972" s="128"/>
      <c r="F972" s="128"/>
      <c r="G972" s="128"/>
      <c r="H972" s="128"/>
      <c r="I972" s="128"/>
      <c r="J972" s="126"/>
      <c r="K972" s="126"/>
      <c r="L972" s="126"/>
      <c r="M972" s="125"/>
      <c r="N972" s="126"/>
    </row>
    <row r="973" spans="1:14" x14ac:dyDescent="0.35">
      <c r="A973" s="126"/>
      <c r="B973" s="127"/>
      <c r="C973" s="126"/>
      <c r="D973" s="126"/>
      <c r="E973" s="128"/>
      <c r="F973" s="128"/>
      <c r="G973" s="128"/>
      <c r="H973" s="128"/>
      <c r="I973" s="128"/>
      <c r="J973" s="126"/>
      <c r="K973" s="126"/>
      <c r="L973" s="126"/>
      <c r="M973" s="125"/>
      <c r="N973" s="126"/>
    </row>
    <row r="974" spans="1:14" x14ac:dyDescent="0.35">
      <c r="A974" s="126"/>
      <c r="B974" s="127"/>
      <c r="C974" s="126"/>
      <c r="D974" s="126"/>
      <c r="E974" s="128"/>
      <c r="F974" s="128"/>
      <c r="G974" s="128"/>
      <c r="H974" s="128"/>
      <c r="I974" s="128"/>
      <c r="J974" s="126"/>
      <c r="K974" s="126"/>
      <c r="L974" s="126"/>
      <c r="M974" s="125"/>
      <c r="N974" s="126"/>
    </row>
    <row r="975" spans="1:14" x14ac:dyDescent="0.35">
      <c r="A975" s="126"/>
      <c r="B975" s="127"/>
      <c r="C975" s="126"/>
      <c r="D975" s="126"/>
      <c r="E975" s="128"/>
      <c r="F975" s="128"/>
      <c r="G975" s="128"/>
      <c r="H975" s="128"/>
      <c r="I975" s="128"/>
      <c r="J975" s="126"/>
      <c r="K975" s="126"/>
      <c r="L975" s="126"/>
      <c r="M975" s="125"/>
      <c r="N975" s="126"/>
    </row>
    <row r="976" spans="1:14" x14ac:dyDescent="0.35">
      <c r="A976" s="126"/>
      <c r="B976" s="127"/>
      <c r="C976" s="126"/>
      <c r="D976" s="126"/>
      <c r="E976" s="128"/>
      <c r="F976" s="128"/>
      <c r="G976" s="128"/>
      <c r="H976" s="128"/>
      <c r="I976" s="128"/>
      <c r="J976" s="126"/>
      <c r="K976" s="126"/>
      <c r="L976" s="126"/>
      <c r="M976" s="125"/>
      <c r="N976" s="126"/>
    </row>
    <row r="977" spans="1:14" x14ac:dyDescent="0.35">
      <c r="A977" s="126"/>
      <c r="B977" s="127"/>
      <c r="C977" s="126"/>
      <c r="D977" s="126"/>
      <c r="E977" s="128"/>
      <c r="F977" s="128"/>
      <c r="G977" s="128"/>
      <c r="H977" s="128"/>
      <c r="I977" s="128"/>
      <c r="J977" s="126"/>
      <c r="K977" s="126"/>
      <c r="L977" s="126"/>
      <c r="M977" s="125"/>
      <c r="N977" s="126"/>
    </row>
    <row r="978" spans="1:14" x14ac:dyDescent="0.35">
      <c r="A978" s="126"/>
      <c r="B978" s="127"/>
      <c r="C978" s="126"/>
      <c r="D978" s="126"/>
      <c r="E978" s="128"/>
      <c r="F978" s="128"/>
      <c r="G978" s="128"/>
      <c r="H978" s="128"/>
      <c r="I978" s="128"/>
      <c r="J978" s="126"/>
      <c r="K978" s="126"/>
      <c r="L978" s="126"/>
      <c r="M978" s="125"/>
      <c r="N978" s="126"/>
    </row>
    <row r="979" spans="1:14" x14ac:dyDescent="0.35">
      <c r="A979" s="126"/>
      <c r="B979" s="127"/>
      <c r="C979" s="126"/>
      <c r="D979" s="126"/>
      <c r="E979" s="128"/>
      <c r="F979" s="128"/>
      <c r="G979" s="128"/>
      <c r="H979" s="128"/>
      <c r="I979" s="128"/>
      <c r="J979" s="126"/>
      <c r="K979" s="126"/>
      <c r="L979" s="126"/>
      <c r="M979" s="125"/>
      <c r="N979" s="126"/>
    </row>
    <row r="980" spans="1:14" x14ac:dyDescent="0.35">
      <c r="A980" s="126"/>
      <c r="B980" s="127"/>
      <c r="C980" s="126"/>
      <c r="D980" s="126"/>
      <c r="E980" s="128"/>
      <c r="F980" s="128"/>
      <c r="G980" s="128"/>
      <c r="H980" s="128"/>
      <c r="I980" s="128"/>
      <c r="J980" s="126"/>
      <c r="K980" s="126"/>
      <c r="L980" s="126"/>
      <c r="M980" s="125"/>
      <c r="N980" s="126"/>
    </row>
    <row r="981" spans="1:14" x14ac:dyDescent="0.35">
      <c r="A981" s="126"/>
      <c r="B981" s="127"/>
      <c r="C981" s="126"/>
      <c r="D981" s="126"/>
      <c r="E981" s="128"/>
      <c r="F981" s="128"/>
      <c r="G981" s="128"/>
      <c r="H981" s="128"/>
      <c r="I981" s="128"/>
      <c r="J981" s="126"/>
      <c r="K981" s="126"/>
      <c r="L981" s="126"/>
      <c r="M981" s="125"/>
      <c r="N981" s="126"/>
    </row>
    <row r="982" spans="1:14" x14ac:dyDescent="0.35">
      <c r="A982" s="126"/>
      <c r="B982" s="127"/>
      <c r="C982" s="126"/>
      <c r="D982" s="126"/>
      <c r="E982" s="128"/>
      <c r="F982" s="128"/>
      <c r="G982" s="128"/>
      <c r="H982" s="128"/>
      <c r="I982" s="128"/>
      <c r="J982" s="126"/>
      <c r="K982" s="126"/>
      <c r="L982" s="126"/>
      <c r="M982" s="125"/>
      <c r="N982" s="126"/>
    </row>
    <row r="983" spans="1:14" x14ac:dyDescent="0.35">
      <c r="A983" s="126"/>
      <c r="B983" s="127"/>
      <c r="C983" s="126"/>
      <c r="D983" s="126"/>
      <c r="E983" s="128"/>
      <c r="F983" s="128"/>
      <c r="G983" s="128"/>
      <c r="H983" s="128"/>
      <c r="I983" s="128"/>
      <c r="J983" s="126"/>
      <c r="K983" s="126"/>
      <c r="L983" s="126"/>
      <c r="M983" s="125"/>
      <c r="N983" s="126"/>
    </row>
    <row r="984" spans="1:14" x14ac:dyDescent="0.35">
      <c r="A984" s="126"/>
      <c r="B984" s="127"/>
      <c r="C984" s="126"/>
      <c r="D984" s="126"/>
      <c r="E984" s="128"/>
      <c r="F984" s="128"/>
      <c r="G984" s="128"/>
      <c r="H984" s="128"/>
      <c r="I984" s="128"/>
      <c r="J984" s="126"/>
      <c r="K984" s="126"/>
      <c r="L984" s="126"/>
      <c r="M984" s="125"/>
      <c r="N984" s="126"/>
    </row>
    <row r="985" spans="1:14" x14ac:dyDescent="0.35">
      <c r="A985" s="126"/>
      <c r="B985" s="127"/>
      <c r="C985" s="126"/>
      <c r="D985" s="126"/>
      <c r="E985" s="128"/>
      <c r="F985" s="128"/>
      <c r="G985" s="128"/>
      <c r="H985" s="128"/>
      <c r="I985" s="128"/>
      <c r="J985" s="126"/>
      <c r="K985" s="126"/>
      <c r="L985" s="126"/>
      <c r="M985" s="125"/>
      <c r="N985" s="126"/>
    </row>
    <row r="986" spans="1:14" x14ac:dyDescent="0.35">
      <c r="A986" s="126"/>
      <c r="B986" s="127"/>
      <c r="C986" s="126"/>
      <c r="D986" s="126"/>
      <c r="E986" s="128"/>
      <c r="F986" s="128"/>
      <c r="G986" s="128"/>
      <c r="H986" s="128"/>
      <c r="I986" s="128"/>
      <c r="J986" s="126"/>
      <c r="K986" s="126"/>
      <c r="L986" s="126"/>
      <c r="M986" s="125"/>
      <c r="N986" s="126"/>
    </row>
    <row r="987" spans="1:14" x14ac:dyDescent="0.35">
      <c r="A987" s="126"/>
      <c r="B987" s="127"/>
      <c r="C987" s="126"/>
      <c r="D987" s="126"/>
      <c r="E987" s="128"/>
      <c r="F987" s="128"/>
      <c r="G987" s="128"/>
      <c r="H987" s="128"/>
      <c r="I987" s="128"/>
      <c r="J987" s="126"/>
      <c r="K987" s="126"/>
      <c r="L987" s="126"/>
      <c r="M987" s="125"/>
      <c r="N987" s="126"/>
    </row>
    <row r="988" spans="1:14" x14ac:dyDescent="0.35">
      <c r="A988" s="126"/>
      <c r="B988" s="127"/>
      <c r="C988" s="126"/>
      <c r="D988" s="126"/>
      <c r="E988" s="128"/>
      <c r="F988" s="128"/>
      <c r="G988" s="128"/>
      <c r="H988" s="128"/>
      <c r="I988" s="128"/>
      <c r="J988" s="126"/>
      <c r="K988" s="126"/>
      <c r="L988" s="126"/>
      <c r="M988" s="125"/>
      <c r="N988" s="126"/>
    </row>
    <row r="989" spans="1:14" x14ac:dyDescent="0.35">
      <c r="A989" s="126"/>
      <c r="B989" s="127"/>
      <c r="C989" s="126"/>
      <c r="D989" s="126"/>
      <c r="E989" s="128"/>
      <c r="F989" s="128"/>
      <c r="G989" s="128"/>
      <c r="H989" s="128"/>
      <c r="I989" s="128"/>
      <c r="J989" s="126"/>
      <c r="K989" s="126"/>
      <c r="L989" s="126"/>
      <c r="M989" s="125"/>
      <c r="N989" s="126"/>
    </row>
    <row r="990" spans="1:14" x14ac:dyDescent="0.35">
      <c r="A990" s="126"/>
      <c r="B990" s="127"/>
      <c r="C990" s="126"/>
      <c r="D990" s="126"/>
      <c r="E990" s="128"/>
      <c r="F990" s="128"/>
      <c r="G990" s="128"/>
      <c r="H990" s="128"/>
      <c r="I990" s="128"/>
      <c r="J990" s="126"/>
      <c r="K990" s="126"/>
      <c r="L990" s="126"/>
      <c r="M990" s="125"/>
      <c r="N990" s="126"/>
    </row>
    <row r="991" spans="1:14" x14ac:dyDescent="0.35">
      <c r="A991" s="126"/>
      <c r="B991" s="127"/>
      <c r="C991" s="126"/>
      <c r="D991" s="126"/>
      <c r="E991" s="128"/>
      <c r="F991" s="128"/>
      <c r="G991" s="128"/>
      <c r="H991" s="128"/>
      <c r="I991" s="128"/>
      <c r="J991" s="126"/>
      <c r="K991" s="126"/>
      <c r="L991" s="126"/>
      <c r="M991" s="125"/>
      <c r="N991" s="126"/>
    </row>
    <row r="992" spans="1:14" x14ac:dyDescent="0.35">
      <c r="A992" s="126"/>
      <c r="B992" s="127"/>
      <c r="C992" s="126"/>
      <c r="D992" s="126"/>
      <c r="E992" s="128"/>
      <c r="F992" s="128"/>
      <c r="G992" s="128"/>
      <c r="H992" s="128"/>
      <c r="I992" s="128"/>
      <c r="J992" s="126"/>
      <c r="K992" s="126"/>
      <c r="L992" s="126"/>
      <c r="M992" s="125"/>
      <c r="N992" s="126"/>
    </row>
    <row r="993" spans="1:14" x14ac:dyDescent="0.35">
      <c r="A993" s="126"/>
      <c r="B993" s="127"/>
      <c r="C993" s="126"/>
      <c r="D993" s="126"/>
      <c r="E993" s="128"/>
      <c r="F993" s="128"/>
      <c r="G993" s="128"/>
      <c r="H993" s="128"/>
      <c r="I993" s="128"/>
      <c r="J993" s="126"/>
      <c r="K993" s="126"/>
      <c r="L993" s="126"/>
      <c r="M993" s="125"/>
      <c r="N993" s="126"/>
    </row>
    <row r="994" spans="1:14" x14ac:dyDescent="0.35">
      <c r="A994" s="126"/>
      <c r="B994" s="127"/>
      <c r="C994" s="126"/>
      <c r="D994" s="126"/>
      <c r="E994" s="128"/>
      <c r="F994" s="128"/>
      <c r="G994" s="128"/>
      <c r="H994" s="128"/>
      <c r="I994" s="128"/>
      <c r="J994" s="126"/>
      <c r="K994" s="126"/>
      <c r="L994" s="126"/>
      <c r="M994" s="125"/>
      <c r="N994" s="126"/>
    </row>
    <row r="995" spans="1:14" x14ac:dyDescent="0.35">
      <c r="A995" s="126"/>
      <c r="B995" s="127"/>
      <c r="C995" s="126"/>
      <c r="D995" s="126"/>
      <c r="E995" s="128"/>
      <c r="F995" s="128"/>
      <c r="G995" s="128"/>
      <c r="H995" s="128"/>
      <c r="I995" s="128"/>
      <c r="J995" s="126"/>
      <c r="K995" s="126"/>
      <c r="L995" s="126"/>
      <c r="M995" s="125"/>
      <c r="N995" s="126"/>
    </row>
    <row r="996" spans="1:14" x14ac:dyDescent="0.35">
      <c r="A996" s="126"/>
      <c r="B996" s="127"/>
      <c r="C996" s="126"/>
      <c r="D996" s="126"/>
      <c r="E996" s="128"/>
      <c r="F996" s="128"/>
      <c r="G996" s="128"/>
      <c r="H996" s="128"/>
      <c r="I996" s="128"/>
      <c r="J996" s="126"/>
      <c r="K996" s="126"/>
      <c r="L996" s="126"/>
      <c r="M996" s="125"/>
      <c r="N996" s="126"/>
    </row>
    <row r="997" spans="1:14" x14ac:dyDescent="0.35">
      <c r="A997" s="126"/>
      <c r="B997" s="127"/>
      <c r="C997" s="126"/>
      <c r="D997" s="126"/>
      <c r="E997" s="128"/>
      <c r="F997" s="128"/>
      <c r="G997" s="128"/>
      <c r="H997" s="128"/>
      <c r="I997" s="128"/>
      <c r="J997" s="126"/>
      <c r="K997" s="126"/>
      <c r="L997" s="126"/>
      <c r="M997" s="125"/>
      <c r="N997" s="126"/>
    </row>
    <row r="998" spans="1:14" x14ac:dyDescent="0.35">
      <c r="A998" s="126"/>
      <c r="B998" s="127"/>
      <c r="C998" s="126"/>
      <c r="D998" s="126"/>
      <c r="E998" s="128"/>
      <c r="F998" s="128"/>
      <c r="G998" s="128"/>
      <c r="H998" s="128"/>
      <c r="I998" s="128"/>
      <c r="J998" s="126"/>
      <c r="K998" s="126"/>
      <c r="L998" s="126"/>
      <c r="M998" s="125"/>
      <c r="N998" s="126"/>
    </row>
    <row r="999" spans="1:14" x14ac:dyDescent="0.35">
      <c r="A999" s="126"/>
      <c r="B999" s="127"/>
      <c r="C999" s="126"/>
      <c r="D999" s="126"/>
      <c r="E999" s="128"/>
      <c r="F999" s="128"/>
      <c r="G999" s="128"/>
      <c r="H999" s="128"/>
      <c r="I999" s="128"/>
      <c r="J999" s="126"/>
      <c r="K999" s="126"/>
      <c r="L999" s="126"/>
      <c r="M999" s="125"/>
      <c r="N999" s="126"/>
    </row>
    <row r="1000" spans="1:14" x14ac:dyDescent="0.35">
      <c r="A1000" s="126"/>
      <c r="B1000" s="127"/>
      <c r="C1000" s="126"/>
      <c r="D1000" s="126"/>
      <c r="E1000" s="128"/>
      <c r="F1000" s="128"/>
      <c r="G1000" s="128"/>
      <c r="H1000" s="128"/>
      <c r="I1000" s="128"/>
      <c r="J1000" s="126"/>
      <c r="K1000" s="126"/>
      <c r="L1000" s="126"/>
      <c r="M1000" s="125"/>
      <c r="N1000" s="126"/>
    </row>
    <row r="1001" spans="1:14" x14ac:dyDescent="0.35">
      <c r="A1001" s="126"/>
      <c r="B1001" s="127"/>
      <c r="C1001" s="126"/>
      <c r="D1001" s="126"/>
      <c r="E1001" s="128"/>
      <c r="F1001" s="128"/>
      <c r="G1001" s="128"/>
      <c r="H1001" s="128"/>
      <c r="I1001" s="128"/>
      <c r="J1001" s="126"/>
      <c r="K1001" s="126"/>
      <c r="L1001" s="126"/>
      <c r="M1001" s="125"/>
      <c r="N1001" s="126"/>
    </row>
    <row r="1002" spans="1:14" x14ac:dyDescent="0.35">
      <c r="A1002" s="126"/>
      <c r="B1002" s="127"/>
      <c r="C1002" s="126"/>
      <c r="D1002" s="126"/>
      <c r="E1002" s="128"/>
      <c r="F1002" s="128"/>
      <c r="G1002" s="128"/>
      <c r="H1002" s="128"/>
      <c r="I1002" s="128"/>
      <c r="J1002" s="126"/>
      <c r="K1002" s="126"/>
      <c r="L1002" s="126"/>
      <c r="M1002" s="125"/>
      <c r="N1002" s="126"/>
    </row>
    <row r="1003" spans="1:14" x14ac:dyDescent="0.35">
      <c r="A1003" s="126"/>
      <c r="B1003" s="127"/>
      <c r="C1003" s="126"/>
      <c r="D1003" s="126"/>
      <c r="E1003" s="128"/>
      <c r="F1003" s="128"/>
      <c r="G1003" s="128"/>
      <c r="H1003" s="128"/>
      <c r="I1003" s="128"/>
      <c r="J1003" s="126"/>
      <c r="K1003" s="126"/>
      <c r="L1003" s="126"/>
      <c r="M1003" s="125"/>
      <c r="N1003" s="126"/>
    </row>
    <row r="1004" spans="1:14" x14ac:dyDescent="0.35">
      <c r="A1004" s="126"/>
      <c r="B1004" s="127"/>
      <c r="C1004" s="126"/>
      <c r="D1004" s="126"/>
      <c r="E1004" s="128"/>
      <c r="F1004" s="128"/>
      <c r="G1004" s="128"/>
      <c r="H1004" s="128"/>
      <c r="I1004" s="128"/>
      <c r="J1004" s="126"/>
      <c r="K1004" s="126"/>
      <c r="L1004" s="126"/>
      <c r="M1004" s="125"/>
      <c r="N1004" s="126"/>
    </row>
    <row r="1005" spans="1:14" x14ac:dyDescent="0.35">
      <c r="A1005" s="126"/>
      <c r="B1005" s="127"/>
      <c r="C1005" s="126"/>
      <c r="D1005" s="126"/>
      <c r="E1005" s="128"/>
      <c r="F1005" s="128"/>
      <c r="G1005" s="128"/>
      <c r="H1005" s="128"/>
      <c r="I1005" s="128"/>
      <c r="J1005" s="126"/>
      <c r="K1005" s="126"/>
      <c r="L1005" s="126"/>
      <c r="M1005" s="125"/>
      <c r="N1005" s="126"/>
    </row>
    <row r="1006" spans="1:14" x14ac:dyDescent="0.35">
      <c r="A1006" s="126"/>
      <c r="B1006" s="127"/>
      <c r="C1006" s="126"/>
      <c r="D1006" s="126"/>
      <c r="E1006" s="128"/>
      <c r="F1006" s="128"/>
      <c r="G1006" s="128"/>
      <c r="H1006" s="128"/>
      <c r="I1006" s="128"/>
      <c r="J1006" s="126"/>
      <c r="K1006" s="126"/>
      <c r="L1006" s="126"/>
      <c r="M1006" s="125"/>
      <c r="N1006" s="126"/>
    </row>
    <row r="1007" spans="1:14" x14ac:dyDescent="0.35">
      <c r="A1007" s="126"/>
      <c r="B1007" s="127"/>
      <c r="C1007" s="126"/>
      <c r="D1007" s="126"/>
      <c r="E1007" s="128"/>
      <c r="F1007" s="128"/>
      <c r="G1007" s="128"/>
      <c r="H1007" s="128"/>
      <c r="I1007" s="128"/>
      <c r="J1007" s="126"/>
      <c r="K1007" s="126"/>
      <c r="L1007" s="126"/>
      <c r="M1007" s="125"/>
      <c r="N1007" s="126"/>
    </row>
    <row r="1008" spans="1:14" x14ac:dyDescent="0.35">
      <c r="A1008" s="126"/>
      <c r="B1008" s="127"/>
      <c r="C1008" s="126"/>
      <c r="D1008" s="126"/>
      <c r="E1008" s="128"/>
      <c r="F1008" s="128"/>
      <c r="G1008" s="128"/>
      <c r="H1008" s="128"/>
      <c r="I1008" s="128"/>
      <c r="J1008" s="126"/>
      <c r="K1008" s="126"/>
      <c r="L1008" s="126"/>
      <c r="M1008" s="125"/>
      <c r="N1008" s="126"/>
    </row>
    <row r="1009" spans="1:14" x14ac:dyDescent="0.35">
      <c r="A1009" s="126"/>
      <c r="B1009" s="127"/>
      <c r="C1009" s="126"/>
      <c r="D1009" s="126"/>
      <c r="E1009" s="128"/>
      <c r="F1009" s="128"/>
      <c r="G1009" s="128"/>
      <c r="H1009" s="128"/>
      <c r="I1009" s="128"/>
      <c r="J1009" s="126"/>
      <c r="K1009" s="126"/>
      <c r="L1009" s="126"/>
      <c r="M1009" s="125"/>
      <c r="N1009" s="126"/>
    </row>
    <row r="1010" spans="1:14" x14ac:dyDescent="0.35">
      <c r="A1010" s="126"/>
      <c r="B1010" s="127"/>
      <c r="C1010" s="126"/>
      <c r="D1010" s="126"/>
      <c r="E1010" s="128"/>
      <c r="F1010" s="128"/>
      <c r="G1010" s="128"/>
      <c r="H1010" s="128"/>
      <c r="I1010" s="128"/>
      <c r="J1010" s="126"/>
      <c r="K1010" s="126"/>
      <c r="L1010" s="126"/>
      <c r="M1010" s="125"/>
      <c r="N1010" s="126"/>
    </row>
    <row r="1011" spans="1:14" x14ac:dyDescent="0.35">
      <c r="A1011" s="126"/>
      <c r="B1011" s="127"/>
      <c r="C1011" s="126"/>
      <c r="D1011" s="126"/>
      <c r="E1011" s="128"/>
      <c r="F1011" s="128"/>
      <c r="G1011" s="128"/>
      <c r="H1011" s="128"/>
      <c r="I1011" s="128"/>
      <c r="J1011" s="126"/>
      <c r="K1011" s="126"/>
      <c r="L1011" s="126"/>
      <c r="M1011" s="125"/>
      <c r="N1011" s="126"/>
    </row>
    <row r="1012" spans="1:14" x14ac:dyDescent="0.35">
      <c r="A1012" s="126"/>
      <c r="B1012" s="127"/>
      <c r="C1012" s="126"/>
      <c r="D1012" s="126"/>
      <c r="E1012" s="128"/>
      <c r="F1012" s="128"/>
      <c r="G1012" s="128"/>
      <c r="H1012" s="128"/>
      <c r="I1012" s="128"/>
      <c r="J1012" s="126"/>
      <c r="K1012" s="126"/>
      <c r="L1012" s="126"/>
      <c r="M1012" s="125"/>
      <c r="N1012" s="126"/>
    </row>
    <row r="1013" spans="1:14" x14ac:dyDescent="0.35">
      <c r="A1013" s="126"/>
      <c r="B1013" s="127"/>
      <c r="C1013" s="126"/>
      <c r="D1013" s="126"/>
      <c r="E1013" s="128"/>
      <c r="F1013" s="128"/>
      <c r="G1013" s="128"/>
      <c r="H1013" s="128"/>
      <c r="I1013" s="128"/>
      <c r="J1013" s="126"/>
      <c r="K1013" s="126"/>
      <c r="L1013" s="126"/>
      <c r="M1013" s="125"/>
      <c r="N1013" s="126"/>
    </row>
    <row r="1014" spans="1:14" x14ac:dyDescent="0.35">
      <c r="A1014" s="126"/>
      <c r="B1014" s="127"/>
      <c r="C1014" s="126"/>
      <c r="D1014" s="126"/>
      <c r="E1014" s="128"/>
      <c r="F1014" s="128"/>
      <c r="G1014" s="128"/>
      <c r="H1014" s="128"/>
      <c r="I1014" s="128"/>
      <c r="J1014" s="126"/>
      <c r="K1014" s="126"/>
      <c r="L1014" s="126"/>
      <c r="M1014" s="125"/>
      <c r="N1014" s="126"/>
    </row>
    <row r="1015" spans="1:14" x14ac:dyDescent="0.35">
      <c r="A1015" s="126"/>
      <c r="B1015" s="127"/>
      <c r="C1015" s="126"/>
      <c r="D1015" s="126"/>
      <c r="E1015" s="128"/>
      <c r="F1015" s="128"/>
      <c r="G1015" s="128"/>
      <c r="H1015" s="128"/>
      <c r="I1015" s="128"/>
      <c r="J1015" s="126"/>
      <c r="K1015" s="126"/>
      <c r="L1015" s="126"/>
      <c r="M1015" s="125"/>
      <c r="N1015" s="126"/>
    </row>
    <row r="1016" spans="1:14" x14ac:dyDescent="0.35">
      <c r="A1016" s="126"/>
      <c r="B1016" s="127"/>
      <c r="C1016" s="126"/>
      <c r="D1016" s="126"/>
      <c r="E1016" s="128"/>
      <c r="F1016" s="128"/>
      <c r="G1016" s="128"/>
      <c r="H1016" s="128"/>
      <c r="I1016" s="128"/>
      <c r="J1016" s="126"/>
      <c r="K1016" s="126"/>
      <c r="L1016" s="126"/>
      <c r="M1016" s="125"/>
      <c r="N1016" s="126"/>
    </row>
    <row r="1017" spans="1:14" x14ac:dyDescent="0.35">
      <c r="A1017" s="126"/>
      <c r="B1017" s="127"/>
      <c r="C1017" s="126"/>
      <c r="D1017" s="126"/>
      <c r="E1017" s="128"/>
      <c r="F1017" s="128"/>
      <c r="G1017" s="128"/>
      <c r="H1017" s="128"/>
      <c r="I1017" s="128"/>
      <c r="J1017" s="126"/>
      <c r="K1017" s="126"/>
      <c r="L1017" s="126"/>
      <c r="M1017" s="125"/>
      <c r="N1017" s="126"/>
    </row>
    <row r="1018" spans="1:14" x14ac:dyDescent="0.35">
      <c r="A1018" s="126"/>
      <c r="B1018" s="127"/>
      <c r="C1018" s="126"/>
      <c r="D1018" s="126"/>
      <c r="E1018" s="128"/>
      <c r="F1018" s="128"/>
      <c r="G1018" s="128"/>
      <c r="H1018" s="128"/>
      <c r="I1018" s="128"/>
      <c r="J1018" s="126"/>
      <c r="K1018" s="126"/>
      <c r="L1018" s="126"/>
      <c r="M1018" s="125"/>
      <c r="N1018" s="126"/>
    </row>
    <row r="1019" spans="1:14" x14ac:dyDescent="0.35">
      <c r="A1019" s="126"/>
      <c r="B1019" s="127"/>
      <c r="C1019" s="126"/>
      <c r="D1019" s="126"/>
      <c r="E1019" s="128"/>
      <c r="F1019" s="128"/>
      <c r="G1019" s="128"/>
      <c r="H1019" s="128"/>
      <c r="I1019" s="128"/>
      <c r="J1019" s="126"/>
      <c r="K1019" s="126"/>
      <c r="L1019" s="126"/>
      <c r="M1019" s="125"/>
      <c r="N1019" s="126"/>
    </row>
    <row r="1020" spans="1:14" x14ac:dyDescent="0.35">
      <c r="A1020" s="126"/>
      <c r="B1020" s="127"/>
      <c r="C1020" s="126"/>
      <c r="D1020" s="126"/>
      <c r="E1020" s="128"/>
      <c r="F1020" s="128"/>
      <c r="G1020" s="128"/>
      <c r="H1020" s="128"/>
      <c r="I1020" s="128"/>
      <c r="J1020" s="126"/>
      <c r="K1020" s="126"/>
      <c r="L1020" s="126"/>
      <c r="M1020" s="125"/>
      <c r="N1020" s="126"/>
    </row>
    <row r="1021" spans="1:14" x14ac:dyDescent="0.35">
      <c r="A1021" s="126"/>
      <c r="B1021" s="127"/>
      <c r="C1021" s="126"/>
      <c r="D1021" s="126"/>
      <c r="E1021" s="128"/>
      <c r="F1021" s="128"/>
      <c r="G1021" s="128"/>
      <c r="H1021" s="128"/>
      <c r="I1021" s="128"/>
      <c r="J1021" s="126"/>
      <c r="K1021" s="126"/>
      <c r="L1021" s="126"/>
      <c r="M1021" s="125"/>
      <c r="N1021" s="126"/>
    </row>
    <row r="1022" spans="1:14" x14ac:dyDescent="0.35">
      <c r="A1022" s="126"/>
      <c r="B1022" s="127"/>
      <c r="C1022" s="126"/>
      <c r="D1022" s="126"/>
      <c r="E1022" s="128"/>
      <c r="F1022" s="128"/>
      <c r="G1022" s="128"/>
      <c r="H1022" s="128"/>
      <c r="I1022" s="128"/>
      <c r="J1022" s="126"/>
      <c r="K1022" s="126"/>
      <c r="L1022" s="126"/>
      <c r="M1022" s="125"/>
      <c r="N1022" s="126"/>
    </row>
    <row r="1023" spans="1:14" x14ac:dyDescent="0.35">
      <c r="A1023" s="126"/>
      <c r="B1023" s="127"/>
      <c r="C1023" s="126"/>
      <c r="D1023" s="126"/>
      <c r="E1023" s="128"/>
      <c r="F1023" s="128"/>
      <c r="G1023" s="128"/>
      <c r="H1023" s="128"/>
      <c r="I1023" s="128"/>
      <c r="J1023" s="126"/>
      <c r="K1023" s="126"/>
      <c r="L1023" s="126"/>
      <c r="M1023" s="125"/>
      <c r="N1023" s="126"/>
    </row>
    <row r="1024" spans="1:14" x14ac:dyDescent="0.35">
      <c r="A1024" s="126"/>
      <c r="B1024" s="127"/>
      <c r="C1024" s="126"/>
      <c r="D1024" s="126"/>
      <c r="E1024" s="128"/>
      <c r="F1024" s="128"/>
      <c r="G1024" s="128"/>
      <c r="H1024" s="128"/>
      <c r="I1024" s="128"/>
      <c r="J1024" s="126"/>
      <c r="K1024" s="126"/>
      <c r="L1024" s="126"/>
      <c r="M1024" s="125"/>
      <c r="N1024" s="126"/>
    </row>
    <row r="1025" spans="1:14" x14ac:dyDescent="0.35">
      <c r="A1025" s="126"/>
      <c r="B1025" s="127"/>
      <c r="C1025" s="126"/>
      <c r="D1025" s="126"/>
      <c r="E1025" s="128"/>
      <c r="F1025" s="128"/>
      <c r="G1025" s="128"/>
      <c r="H1025" s="128"/>
      <c r="I1025" s="128"/>
      <c r="J1025" s="126"/>
      <c r="K1025" s="126"/>
      <c r="L1025" s="126"/>
      <c r="M1025" s="125"/>
      <c r="N1025" s="126"/>
    </row>
    <row r="1026" spans="1:14" x14ac:dyDescent="0.35">
      <c r="A1026" s="126"/>
      <c r="B1026" s="127"/>
      <c r="C1026" s="126"/>
      <c r="D1026" s="126"/>
      <c r="E1026" s="128"/>
      <c r="F1026" s="128"/>
      <c r="G1026" s="128"/>
      <c r="H1026" s="128"/>
      <c r="I1026" s="128"/>
      <c r="J1026" s="126"/>
      <c r="K1026" s="126"/>
      <c r="L1026" s="126"/>
      <c r="M1026" s="125"/>
      <c r="N1026" s="126"/>
    </row>
    <row r="1027" spans="1:14" x14ac:dyDescent="0.35">
      <c r="A1027" s="126"/>
      <c r="B1027" s="127"/>
      <c r="C1027" s="126"/>
      <c r="D1027" s="126"/>
      <c r="E1027" s="128"/>
      <c r="F1027" s="128"/>
      <c r="G1027" s="128"/>
      <c r="H1027" s="128"/>
      <c r="I1027" s="128"/>
      <c r="J1027" s="126"/>
      <c r="K1027" s="126"/>
      <c r="L1027" s="126"/>
      <c r="M1027" s="125"/>
      <c r="N1027" s="126"/>
    </row>
    <row r="1028" spans="1:14" x14ac:dyDescent="0.35">
      <c r="A1028" s="126"/>
      <c r="B1028" s="127"/>
      <c r="C1028" s="126"/>
      <c r="D1028" s="126"/>
      <c r="E1028" s="128"/>
      <c r="F1028" s="128"/>
      <c r="G1028" s="128"/>
      <c r="H1028" s="128"/>
      <c r="I1028" s="128"/>
      <c r="J1028" s="126"/>
      <c r="K1028" s="126"/>
      <c r="L1028" s="126"/>
      <c r="M1028" s="125"/>
      <c r="N1028" s="126"/>
    </row>
    <row r="1029" spans="1:14" x14ac:dyDescent="0.35">
      <c r="A1029" s="126"/>
      <c r="B1029" s="127"/>
      <c r="C1029" s="126"/>
      <c r="D1029" s="126"/>
      <c r="E1029" s="128"/>
      <c r="F1029" s="128"/>
      <c r="G1029" s="128"/>
      <c r="H1029" s="128"/>
      <c r="I1029" s="128"/>
      <c r="J1029" s="126"/>
      <c r="K1029" s="126"/>
      <c r="L1029" s="126"/>
      <c r="M1029" s="125"/>
      <c r="N1029" s="126"/>
    </row>
    <row r="1030" spans="1:14" x14ac:dyDescent="0.35">
      <c r="A1030" s="126"/>
      <c r="B1030" s="127"/>
      <c r="C1030" s="126"/>
      <c r="D1030" s="126"/>
      <c r="E1030" s="128"/>
      <c r="F1030" s="128"/>
      <c r="G1030" s="128"/>
      <c r="H1030" s="128"/>
      <c r="I1030" s="128"/>
      <c r="J1030" s="126"/>
      <c r="K1030" s="126"/>
      <c r="L1030" s="126"/>
      <c r="M1030" s="125"/>
      <c r="N1030" s="126"/>
    </row>
    <row r="1031" spans="1:14" x14ac:dyDescent="0.35">
      <c r="A1031" s="126"/>
      <c r="B1031" s="127"/>
      <c r="C1031" s="126"/>
      <c r="D1031" s="126"/>
      <c r="E1031" s="128"/>
      <c r="F1031" s="128"/>
      <c r="G1031" s="128"/>
      <c r="H1031" s="128"/>
      <c r="I1031" s="128"/>
      <c r="J1031" s="126"/>
      <c r="K1031" s="126"/>
      <c r="L1031" s="126"/>
      <c r="M1031" s="125"/>
      <c r="N1031" s="126"/>
    </row>
    <row r="1032" spans="1:14" x14ac:dyDescent="0.35">
      <c r="A1032" s="126"/>
      <c r="B1032" s="127"/>
      <c r="C1032" s="126"/>
      <c r="D1032" s="126"/>
      <c r="E1032" s="128"/>
      <c r="F1032" s="128"/>
      <c r="G1032" s="128"/>
      <c r="H1032" s="128"/>
      <c r="I1032" s="128"/>
      <c r="J1032" s="126"/>
      <c r="K1032" s="126"/>
      <c r="L1032" s="126"/>
      <c r="M1032" s="125"/>
      <c r="N1032" s="126"/>
    </row>
    <row r="1033" spans="1:14" x14ac:dyDescent="0.35">
      <c r="A1033" s="126"/>
      <c r="B1033" s="127"/>
      <c r="C1033" s="126"/>
      <c r="D1033" s="126"/>
      <c r="E1033" s="128"/>
      <c r="F1033" s="128"/>
      <c r="G1033" s="128"/>
      <c r="H1033" s="128"/>
      <c r="I1033" s="128"/>
      <c r="J1033" s="126"/>
      <c r="K1033" s="126"/>
      <c r="L1033" s="126"/>
      <c r="M1033" s="125"/>
      <c r="N1033" s="126"/>
    </row>
    <row r="1034" spans="1:14" x14ac:dyDescent="0.35">
      <c r="A1034" s="126"/>
      <c r="B1034" s="127"/>
      <c r="C1034" s="126"/>
      <c r="D1034" s="126"/>
      <c r="E1034" s="128"/>
      <c r="F1034" s="128"/>
      <c r="G1034" s="128"/>
      <c r="H1034" s="128"/>
      <c r="I1034" s="128"/>
      <c r="J1034" s="126"/>
      <c r="K1034" s="126"/>
      <c r="L1034" s="126"/>
      <c r="M1034" s="125"/>
      <c r="N1034" s="126"/>
    </row>
    <row r="1035" spans="1:14" x14ac:dyDescent="0.35">
      <c r="A1035" s="126"/>
      <c r="B1035" s="127"/>
      <c r="C1035" s="126"/>
      <c r="D1035" s="126"/>
      <c r="E1035" s="128"/>
      <c r="F1035" s="128"/>
      <c r="G1035" s="128"/>
      <c r="H1035" s="128"/>
      <c r="I1035" s="128"/>
      <c r="J1035" s="126"/>
      <c r="K1035" s="126"/>
      <c r="L1035" s="126"/>
      <c r="M1035" s="125"/>
      <c r="N1035" s="126"/>
    </row>
    <row r="1036" spans="1:14" x14ac:dyDescent="0.35">
      <c r="A1036" s="126"/>
      <c r="B1036" s="127"/>
      <c r="C1036" s="126"/>
      <c r="D1036" s="126"/>
      <c r="E1036" s="128"/>
      <c r="F1036" s="128"/>
      <c r="G1036" s="128"/>
      <c r="H1036" s="128"/>
      <c r="I1036" s="128"/>
      <c r="J1036" s="126"/>
      <c r="K1036" s="126"/>
      <c r="L1036" s="126"/>
      <c r="M1036" s="125"/>
      <c r="N1036" s="126"/>
    </row>
    <row r="1037" spans="1:14" x14ac:dyDescent="0.35">
      <c r="A1037" s="126"/>
      <c r="B1037" s="127"/>
      <c r="C1037" s="126"/>
      <c r="D1037" s="126"/>
      <c r="E1037" s="128"/>
      <c r="F1037" s="128"/>
      <c r="G1037" s="128"/>
      <c r="H1037" s="128"/>
      <c r="I1037" s="128"/>
      <c r="J1037" s="126"/>
      <c r="K1037" s="126"/>
      <c r="L1037" s="126"/>
      <c r="M1037" s="125"/>
      <c r="N1037" s="126"/>
    </row>
    <row r="1038" spans="1:14" x14ac:dyDescent="0.35">
      <c r="A1038" s="126"/>
      <c r="B1038" s="127"/>
      <c r="C1038" s="126"/>
      <c r="D1038" s="126"/>
      <c r="E1038" s="128"/>
      <c r="F1038" s="128"/>
      <c r="G1038" s="128"/>
      <c r="H1038" s="128"/>
      <c r="I1038" s="128"/>
      <c r="J1038" s="126"/>
      <c r="K1038" s="126"/>
      <c r="L1038" s="126"/>
      <c r="M1038" s="125"/>
      <c r="N1038" s="126"/>
    </row>
    <row r="1039" spans="1:14" x14ac:dyDescent="0.35">
      <c r="A1039" s="126"/>
      <c r="B1039" s="127"/>
      <c r="C1039" s="126"/>
      <c r="D1039" s="126"/>
      <c r="E1039" s="128"/>
      <c r="F1039" s="128"/>
      <c r="G1039" s="128"/>
      <c r="H1039" s="128"/>
      <c r="I1039" s="128"/>
      <c r="J1039" s="126"/>
      <c r="K1039" s="126"/>
      <c r="L1039" s="126"/>
      <c r="M1039" s="125"/>
      <c r="N1039" s="126"/>
    </row>
    <row r="1040" spans="1:14" x14ac:dyDescent="0.35">
      <c r="A1040" s="126"/>
      <c r="B1040" s="127"/>
      <c r="C1040" s="126"/>
      <c r="D1040" s="126"/>
      <c r="E1040" s="128"/>
      <c r="F1040" s="128"/>
      <c r="G1040" s="128"/>
      <c r="H1040" s="128"/>
      <c r="I1040" s="128"/>
      <c r="J1040" s="126"/>
      <c r="K1040" s="126"/>
      <c r="L1040" s="126"/>
      <c r="M1040" s="125"/>
      <c r="N1040" s="126"/>
    </row>
    <row r="1041" spans="1:14" x14ac:dyDescent="0.35">
      <c r="A1041" s="126"/>
      <c r="B1041" s="127"/>
      <c r="C1041" s="126"/>
      <c r="D1041" s="126"/>
      <c r="E1041" s="128"/>
      <c r="F1041" s="128"/>
      <c r="G1041" s="128"/>
      <c r="H1041" s="128"/>
      <c r="I1041" s="128"/>
      <c r="J1041" s="126"/>
      <c r="K1041" s="126"/>
      <c r="L1041" s="126"/>
      <c r="M1041" s="125"/>
      <c r="N1041" s="126"/>
    </row>
    <row r="1042" spans="1:14" x14ac:dyDescent="0.35">
      <c r="A1042" s="126"/>
      <c r="B1042" s="127"/>
      <c r="C1042" s="126"/>
      <c r="D1042" s="126"/>
      <c r="E1042" s="128"/>
      <c r="F1042" s="128"/>
      <c r="G1042" s="128"/>
      <c r="H1042" s="128"/>
      <c r="I1042" s="128"/>
      <c r="J1042" s="126"/>
      <c r="K1042" s="126"/>
      <c r="L1042" s="126"/>
      <c r="M1042" s="125"/>
      <c r="N1042" s="126"/>
    </row>
    <row r="1043" spans="1:14" x14ac:dyDescent="0.35">
      <c r="A1043" s="126"/>
      <c r="B1043" s="127"/>
      <c r="C1043" s="126"/>
      <c r="D1043" s="126"/>
      <c r="E1043" s="128"/>
      <c r="F1043" s="128"/>
      <c r="G1043" s="128"/>
      <c r="H1043" s="128"/>
      <c r="I1043" s="128"/>
      <c r="J1043" s="126"/>
      <c r="K1043" s="126"/>
      <c r="L1043" s="126"/>
      <c r="M1043" s="125"/>
      <c r="N1043" s="126"/>
    </row>
    <row r="1044" spans="1:14" x14ac:dyDescent="0.35">
      <c r="A1044" s="126"/>
      <c r="B1044" s="127"/>
      <c r="C1044" s="126"/>
      <c r="D1044" s="126"/>
      <c r="E1044" s="128"/>
      <c r="F1044" s="128"/>
      <c r="G1044" s="128"/>
      <c r="H1044" s="128"/>
      <c r="I1044" s="128"/>
      <c r="J1044" s="126"/>
      <c r="K1044" s="126"/>
      <c r="L1044" s="126"/>
      <c r="M1044" s="125"/>
      <c r="N1044" s="126"/>
    </row>
    <row r="1045" spans="1:14" x14ac:dyDescent="0.35">
      <c r="A1045" s="126"/>
      <c r="B1045" s="127"/>
      <c r="C1045" s="126"/>
      <c r="D1045" s="126"/>
      <c r="E1045" s="128"/>
      <c r="F1045" s="128"/>
      <c r="G1045" s="128"/>
      <c r="H1045" s="128"/>
      <c r="I1045" s="128"/>
      <c r="J1045" s="126"/>
      <c r="K1045" s="126"/>
      <c r="L1045" s="126"/>
      <c r="M1045" s="125"/>
      <c r="N1045" s="126"/>
    </row>
    <row r="1046" spans="1:14" x14ac:dyDescent="0.35">
      <c r="A1046" s="126"/>
      <c r="B1046" s="127"/>
      <c r="C1046" s="126"/>
      <c r="D1046" s="126"/>
      <c r="E1046" s="128"/>
      <c r="F1046" s="128"/>
      <c r="G1046" s="128"/>
      <c r="H1046" s="128"/>
      <c r="I1046" s="128"/>
      <c r="J1046" s="126"/>
      <c r="K1046" s="126"/>
      <c r="L1046" s="126"/>
      <c r="M1046" s="125"/>
      <c r="N1046" s="126"/>
    </row>
    <row r="1047" spans="1:14" x14ac:dyDescent="0.35">
      <c r="A1047" s="126"/>
      <c r="B1047" s="127"/>
      <c r="C1047" s="126"/>
      <c r="D1047" s="126"/>
      <c r="E1047" s="128"/>
      <c r="F1047" s="128"/>
      <c r="G1047" s="128"/>
      <c r="H1047" s="128"/>
      <c r="I1047" s="128"/>
      <c r="J1047" s="126"/>
      <c r="K1047" s="126"/>
      <c r="L1047" s="126"/>
      <c r="M1047" s="125"/>
      <c r="N1047" s="126"/>
    </row>
    <row r="1048" spans="1:14" x14ac:dyDescent="0.35">
      <c r="A1048" s="126"/>
      <c r="B1048" s="127"/>
      <c r="C1048" s="126"/>
      <c r="D1048" s="126"/>
      <c r="E1048" s="128"/>
      <c r="F1048" s="128"/>
      <c r="G1048" s="128"/>
      <c r="H1048" s="128"/>
      <c r="I1048" s="128"/>
      <c r="J1048" s="126"/>
      <c r="K1048" s="126"/>
      <c r="L1048" s="126"/>
      <c r="M1048" s="125"/>
      <c r="N1048" s="126"/>
    </row>
    <row r="1049" spans="1:14" x14ac:dyDescent="0.35">
      <c r="A1049" s="126"/>
      <c r="B1049" s="127"/>
      <c r="C1049" s="126"/>
      <c r="D1049" s="126"/>
      <c r="E1049" s="128"/>
      <c r="F1049" s="128"/>
      <c r="G1049" s="128"/>
      <c r="H1049" s="128"/>
      <c r="I1049" s="128"/>
      <c r="J1049" s="126"/>
      <c r="K1049" s="126"/>
      <c r="L1049" s="126"/>
      <c r="M1049" s="125"/>
      <c r="N1049" s="126"/>
    </row>
    <row r="1050" spans="1:14" x14ac:dyDescent="0.35">
      <c r="A1050" s="126"/>
      <c r="B1050" s="127"/>
      <c r="C1050" s="126"/>
      <c r="D1050" s="126"/>
      <c r="E1050" s="128"/>
      <c r="F1050" s="128"/>
      <c r="G1050" s="128"/>
      <c r="H1050" s="128"/>
      <c r="I1050" s="128"/>
      <c r="J1050" s="126"/>
      <c r="K1050" s="126"/>
      <c r="L1050" s="126"/>
      <c r="M1050" s="125"/>
      <c r="N1050" s="126"/>
    </row>
    <row r="1051" spans="1:14" x14ac:dyDescent="0.35">
      <c r="A1051" s="126"/>
      <c r="B1051" s="127"/>
      <c r="C1051" s="126"/>
      <c r="D1051" s="126"/>
      <c r="E1051" s="128"/>
      <c r="F1051" s="128"/>
      <c r="G1051" s="128"/>
      <c r="H1051" s="128"/>
      <c r="I1051" s="128"/>
      <c r="J1051" s="126"/>
      <c r="K1051" s="126"/>
      <c r="L1051" s="126"/>
      <c r="M1051" s="125"/>
      <c r="N1051" s="126"/>
    </row>
    <row r="1052" spans="1:14" x14ac:dyDescent="0.35">
      <c r="A1052" s="126"/>
      <c r="B1052" s="127"/>
      <c r="C1052" s="126"/>
      <c r="D1052" s="126"/>
      <c r="E1052" s="128"/>
      <c r="F1052" s="128"/>
      <c r="G1052" s="128"/>
      <c r="H1052" s="128"/>
      <c r="I1052" s="128"/>
      <c r="J1052" s="126"/>
      <c r="K1052" s="126"/>
      <c r="L1052" s="126"/>
      <c r="M1052" s="125"/>
      <c r="N1052" s="126"/>
    </row>
    <row r="1053" spans="1:14" x14ac:dyDescent="0.35">
      <c r="A1053" s="126"/>
      <c r="B1053" s="127"/>
      <c r="C1053" s="126"/>
      <c r="D1053" s="126"/>
      <c r="E1053" s="128"/>
      <c r="F1053" s="128"/>
      <c r="G1053" s="128"/>
      <c r="H1053" s="128"/>
      <c r="I1053" s="128"/>
      <c r="J1053" s="126"/>
      <c r="K1053" s="126"/>
      <c r="L1053" s="126"/>
      <c r="M1053" s="125"/>
      <c r="N1053" s="126"/>
    </row>
    <row r="1054" spans="1:14" x14ac:dyDescent="0.35">
      <c r="A1054" s="126"/>
      <c r="B1054" s="127"/>
      <c r="C1054" s="126"/>
      <c r="D1054" s="126"/>
      <c r="E1054" s="128"/>
      <c r="F1054" s="128"/>
      <c r="G1054" s="128"/>
      <c r="H1054" s="128"/>
      <c r="I1054" s="128"/>
      <c r="J1054" s="126"/>
      <c r="K1054" s="126"/>
      <c r="L1054" s="126"/>
      <c r="M1054" s="125"/>
      <c r="N1054" s="126"/>
    </row>
    <row r="1055" spans="1:14" x14ac:dyDescent="0.35">
      <c r="A1055" s="126"/>
      <c r="B1055" s="127"/>
      <c r="C1055" s="126"/>
      <c r="D1055" s="126"/>
      <c r="E1055" s="128"/>
      <c r="F1055" s="128"/>
      <c r="G1055" s="128"/>
      <c r="H1055" s="128"/>
      <c r="I1055" s="128"/>
      <c r="J1055" s="126"/>
      <c r="K1055" s="126"/>
      <c r="L1055" s="126"/>
      <c r="M1055" s="125"/>
      <c r="N1055" s="126"/>
    </row>
    <row r="1056" spans="1:14" x14ac:dyDescent="0.35">
      <c r="A1056" s="126"/>
      <c r="B1056" s="127"/>
      <c r="C1056" s="126"/>
      <c r="D1056" s="126"/>
      <c r="E1056" s="128"/>
      <c r="F1056" s="128"/>
      <c r="G1056" s="128"/>
      <c r="H1056" s="128"/>
      <c r="I1056" s="128"/>
      <c r="J1056" s="126"/>
      <c r="K1056" s="126"/>
      <c r="L1056" s="126"/>
      <c r="M1056" s="125"/>
      <c r="N1056" s="126"/>
    </row>
    <row r="1057" spans="1:14" x14ac:dyDescent="0.35">
      <c r="A1057" s="126"/>
      <c r="B1057" s="127"/>
      <c r="C1057" s="126"/>
      <c r="D1057" s="126"/>
      <c r="E1057" s="128"/>
      <c r="F1057" s="128"/>
      <c r="G1057" s="128"/>
      <c r="H1057" s="128"/>
      <c r="I1057" s="128"/>
      <c r="J1057" s="126"/>
      <c r="K1057" s="126"/>
      <c r="L1057" s="126"/>
      <c r="M1057" s="125"/>
      <c r="N1057" s="126"/>
    </row>
    <row r="1058" spans="1:14" x14ac:dyDescent="0.35">
      <c r="A1058" s="126"/>
      <c r="B1058" s="127"/>
      <c r="C1058" s="126"/>
      <c r="D1058" s="126"/>
      <c r="E1058" s="128"/>
      <c r="F1058" s="128"/>
      <c r="G1058" s="128"/>
      <c r="H1058" s="128"/>
      <c r="I1058" s="128"/>
      <c r="J1058" s="126"/>
      <c r="K1058" s="126"/>
      <c r="L1058" s="126"/>
      <c r="M1058" s="125"/>
      <c r="N1058" s="126"/>
    </row>
    <row r="1059" spans="1:14" x14ac:dyDescent="0.35">
      <c r="A1059" s="126"/>
      <c r="B1059" s="127"/>
      <c r="C1059" s="126"/>
      <c r="D1059" s="126"/>
      <c r="E1059" s="128"/>
      <c r="F1059" s="128"/>
      <c r="G1059" s="128"/>
      <c r="H1059" s="128"/>
      <c r="I1059" s="128"/>
      <c r="J1059" s="126"/>
      <c r="K1059" s="126"/>
      <c r="L1059" s="126"/>
      <c r="M1059" s="125"/>
      <c r="N1059" s="126"/>
    </row>
    <row r="1060" spans="1:14" x14ac:dyDescent="0.35">
      <c r="A1060" s="126"/>
      <c r="B1060" s="127"/>
      <c r="C1060" s="126"/>
      <c r="D1060" s="126"/>
      <c r="E1060" s="128"/>
      <c r="F1060" s="128"/>
      <c r="G1060" s="128"/>
      <c r="H1060" s="128"/>
      <c r="I1060" s="128"/>
      <c r="J1060" s="126"/>
      <c r="K1060" s="126"/>
      <c r="L1060" s="126"/>
      <c r="M1060" s="125"/>
      <c r="N1060" s="126"/>
    </row>
    <row r="1061" spans="1:14" x14ac:dyDescent="0.35">
      <c r="A1061" s="126"/>
      <c r="B1061" s="127"/>
      <c r="C1061" s="126"/>
      <c r="D1061" s="126"/>
      <c r="E1061" s="128"/>
      <c r="F1061" s="128"/>
      <c r="G1061" s="128"/>
      <c r="H1061" s="128"/>
      <c r="I1061" s="128"/>
      <c r="J1061" s="126"/>
      <c r="K1061" s="126"/>
      <c r="L1061" s="126"/>
      <c r="M1061" s="125"/>
      <c r="N1061" s="126"/>
    </row>
    <row r="1062" spans="1:14" x14ac:dyDescent="0.35">
      <c r="A1062" s="126"/>
      <c r="B1062" s="127"/>
      <c r="C1062" s="126"/>
      <c r="D1062" s="126"/>
      <c r="E1062" s="128"/>
      <c r="F1062" s="128"/>
      <c r="G1062" s="128"/>
      <c r="H1062" s="128"/>
      <c r="I1062" s="128"/>
      <c r="J1062" s="126"/>
      <c r="K1062" s="126"/>
      <c r="L1062" s="126"/>
      <c r="M1062" s="125"/>
      <c r="N1062" s="126"/>
    </row>
    <row r="1063" spans="1:14" x14ac:dyDescent="0.35">
      <c r="A1063" s="126"/>
      <c r="B1063" s="127"/>
      <c r="C1063" s="126"/>
      <c r="D1063" s="126"/>
      <c r="E1063" s="128"/>
      <c r="F1063" s="128"/>
      <c r="G1063" s="128"/>
      <c r="H1063" s="128"/>
      <c r="I1063" s="128"/>
      <c r="J1063" s="126"/>
      <c r="K1063" s="126"/>
      <c r="L1063" s="126"/>
      <c r="M1063" s="125"/>
      <c r="N1063" s="126"/>
    </row>
    <row r="1064" spans="1:14" x14ac:dyDescent="0.35">
      <c r="A1064" s="126"/>
      <c r="B1064" s="127"/>
      <c r="C1064" s="126"/>
      <c r="D1064" s="126"/>
      <c r="E1064" s="128"/>
      <c r="F1064" s="128"/>
      <c r="G1064" s="128"/>
      <c r="H1064" s="128"/>
      <c r="I1064" s="128"/>
      <c r="J1064" s="126"/>
      <c r="K1064" s="126"/>
      <c r="L1064" s="126"/>
      <c r="M1064" s="125"/>
      <c r="N1064" s="126"/>
    </row>
    <row r="1065" spans="1:14" x14ac:dyDescent="0.35">
      <c r="A1065" s="126"/>
      <c r="B1065" s="127"/>
      <c r="C1065" s="126"/>
      <c r="D1065" s="126"/>
      <c r="E1065" s="128"/>
      <c r="F1065" s="128"/>
      <c r="G1065" s="128"/>
      <c r="H1065" s="128"/>
      <c r="I1065" s="128"/>
      <c r="J1065" s="126"/>
      <c r="K1065" s="126"/>
      <c r="L1065" s="126"/>
      <c r="M1065" s="125"/>
      <c r="N1065" s="126"/>
    </row>
    <row r="1066" spans="1:14" x14ac:dyDescent="0.35">
      <c r="A1066" s="126"/>
      <c r="B1066" s="127"/>
      <c r="C1066" s="126"/>
      <c r="D1066" s="126"/>
      <c r="E1066" s="128"/>
      <c r="F1066" s="128"/>
      <c r="G1066" s="128"/>
      <c r="H1066" s="128"/>
      <c r="I1066" s="128"/>
      <c r="J1066" s="126"/>
      <c r="K1066" s="126"/>
      <c r="L1066" s="126"/>
      <c r="M1066" s="125"/>
      <c r="N1066" s="126"/>
    </row>
    <row r="1067" spans="1:14" x14ac:dyDescent="0.35">
      <c r="A1067" s="126"/>
      <c r="B1067" s="127"/>
      <c r="C1067" s="126"/>
      <c r="D1067" s="126"/>
      <c r="E1067" s="128"/>
      <c r="F1067" s="128"/>
      <c r="G1067" s="128"/>
      <c r="H1067" s="128"/>
      <c r="I1067" s="128"/>
      <c r="J1067" s="126"/>
      <c r="K1067" s="126"/>
      <c r="L1067" s="126"/>
      <c r="M1067" s="125"/>
      <c r="N1067" s="126"/>
    </row>
    <row r="1068" spans="1:14" x14ac:dyDescent="0.35">
      <c r="A1068" s="126"/>
      <c r="B1068" s="127"/>
      <c r="C1068" s="126"/>
      <c r="D1068" s="126"/>
      <c r="E1068" s="128"/>
      <c r="F1068" s="128"/>
      <c r="G1068" s="128"/>
      <c r="H1068" s="128"/>
      <c r="I1068" s="128"/>
      <c r="J1068" s="126"/>
      <c r="K1068" s="126"/>
      <c r="L1068" s="126"/>
      <c r="M1068" s="125"/>
      <c r="N1068" s="126"/>
    </row>
    <row r="1069" spans="1:14" x14ac:dyDescent="0.35">
      <c r="A1069" s="126"/>
      <c r="B1069" s="127"/>
      <c r="C1069" s="126"/>
      <c r="D1069" s="126"/>
      <c r="E1069" s="128"/>
      <c r="F1069" s="128"/>
      <c r="G1069" s="128"/>
      <c r="H1069" s="128"/>
      <c r="I1069" s="128"/>
      <c r="J1069" s="126"/>
      <c r="K1069" s="126"/>
      <c r="L1069" s="126"/>
      <c r="M1069" s="125"/>
      <c r="N1069" s="126"/>
    </row>
    <row r="1070" spans="1:14" x14ac:dyDescent="0.35">
      <c r="A1070" s="126"/>
      <c r="B1070" s="127"/>
      <c r="C1070" s="126"/>
      <c r="D1070" s="126"/>
      <c r="E1070" s="128"/>
      <c r="F1070" s="128"/>
      <c r="G1070" s="128"/>
      <c r="H1070" s="128"/>
      <c r="I1070" s="128"/>
      <c r="J1070" s="126"/>
      <c r="K1070" s="126"/>
      <c r="L1070" s="126"/>
      <c r="M1070" s="125"/>
      <c r="N1070" s="126"/>
    </row>
    <row r="1071" spans="1:14" x14ac:dyDescent="0.35">
      <c r="A1071" s="126"/>
      <c r="B1071" s="127"/>
      <c r="C1071" s="126"/>
      <c r="D1071" s="126"/>
      <c r="E1071" s="128"/>
      <c r="F1071" s="128"/>
      <c r="G1071" s="128"/>
      <c r="H1071" s="128"/>
      <c r="I1071" s="128"/>
      <c r="J1071" s="126"/>
      <c r="K1071" s="126"/>
      <c r="L1071" s="126"/>
      <c r="M1071" s="125"/>
      <c r="N1071" s="126"/>
    </row>
    <row r="1072" spans="1:14" x14ac:dyDescent="0.35">
      <c r="A1072" s="126"/>
      <c r="B1072" s="127"/>
      <c r="C1072" s="126"/>
      <c r="D1072" s="126"/>
      <c r="E1072" s="128"/>
      <c r="F1072" s="128"/>
      <c r="G1072" s="128"/>
      <c r="H1072" s="128"/>
      <c r="I1072" s="128"/>
      <c r="J1072" s="126"/>
      <c r="K1072" s="126"/>
      <c r="L1072" s="126"/>
      <c r="M1072" s="125"/>
      <c r="N1072" s="126"/>
    </row>
    <row r="1073" spans="1:14" x14ac:dyDescent="0.35">
      <c r="A1073" s="126"/>
      <c r="B1073" s="127"/>
      <c r="C1073" s="126"/>
      <c r="D1073" s="126"/>
      <c r="E1073" s="128"/>
      <c r="F1073" s="128"/>
      <c r="G1073" s="128"/>
      <c r="H1073" s="128"/>
      <c r="I1073" s="128"/>
      <c r="J1073" s="126"/>
      <c r="K1073" s="126"/>
      <c r="L1073" s="126"/>
      <c r="M1073" s="125"/>
      <c r="N1073" s="126"/>
    </row>
    <row r="1074" spans="1:14" x14ac:dyDescent="0.35">
      <c r="A1074" s="126"/>
      <c r="B1074" s="127"/>
      <c r="C1074" s="126"/>
      <c r="D1074" s="126"/>
      <c r="E1074" s="128"/>
      <c r="F1074" s="128"/>
      <c r="G1074" s="128"/>
      <c r="H1074" s="128"/>
      <c r="I1074" s="128"/>
      <c r="J1074" s="126"/>
      <c r="K1074" s="126"/>
      <c r="L1074" s="126"/>
      <c r="M1074" s="125"/>
      <c r="N1074" s="126"/>
    </row>
    <row r="1075" spans="1:14" x14ac:dyDescent="0.35">
      <c r="A1075" s="126"/>
      <c r="B1075" s="127"/>
      <c r="C1075" s="126"/>
      <c r="D1075" s="126"/>
      <c r="E1075" s="128"/>
      <c r="F1075" s="128"/>
      <c r="G1075" s="128"/>
      <c r="H1075" s="128"/>
      <c r="I1075" s="128"/>
      <c r="J1075" s="126"/>
      <c r="K1075" s="126"/>
      <c r="L1075" s="126"/>
      <c r="M1075" s="125"/>
      <c r="N1075" s="126"/>
    </row>
    <row r="1076" spans="1:14" x14ac:dyDescent="0.35">
      <c r="A1076" s="126"/>
      <c r="B1076" s="127"/>
      <c r="C1076" s="126"/>
      <c r="D1076" s="126"/>
      <c r="E1076" s="128"/>
      <c r="F1076" s="128"/>
      <c r="G1076" s="128"/>
      <c r="H1076" s="128"/>
      <c r="I1076" s="128"/>
      <c r="J1076" s="126"/>
      <c r="K1076" s="126"/>
      <c r="L1076" s="126"/>
      <c r="M1076" s="125"/>
      <c r="N1076" s="126"/>
    </row>
    <row r="1077" spans="1:14" x14ac:dyDescent="0.35">
      <c r="A1077" s="126"/>
      <c r="B1077" s="127"/>
      <c r="C1077" s="126"/>
      <c r="D1077" s="126"/>
      <c r="E1077" s="128"/>
      <c r="F1077" s="128"/>
      <c r="G1077" s="128"/>
      <c r="H1077" s="128"/>
      <c r="I1077" s="128"/>
      <c r="J1077" s="126"/>
      <c r="K1077" s="126"/>
      <c r="L1077" s="126"/>
      <c r="M1077" s="125"/>
      <c r="N1077" s="126"/>
    </row>
    <row r="1078" spans="1:14" x14ac:dyDescent="0.35">
      <c r="A1078" s="126"/>
      <c r="B1078" s="127"/>
      <c r="C1078" s="126"/>
      <c r="D1078" s="126"/>
      <c r="E1078" s="128"/>
      <c r="F1078" s="128"/>
      <c r="G1078" s="128"/>
      <c r="H1078" s="128"/>
      <c r="I1078" s="128"/>
      <c r="J1078" s="126"/>
      <c r="K1078" s="126"/>
      <c r="L1078" s="126"/>
      <c r="M1078" s="125"/>
      <c r="N1078" s="126"/>
    </row>
    <row r="1079" spans="1:14" x14ac:dyDescent="0.35">
      <c r="A1079" s="126"/>
      <c r="B1079" s="127"/>
      <c r="C1079" s="126"/>
      <c r="D1079" s="126"/>
      <c r="E1079" s="128"/>
      <c r="F1079" s="128"/>
      <c r="G1079" s="128"/>
      <c r="H1079" s="128"/>
      <c r="I1079" s="128"/>
      <c r="J1079" s="126"/>
      <c r="K1079" s="126"/>
      <c r="L1079" s="126"/>
      <c r="M1079" s="125"/>
      <c r="N1079" s="126"/>
    </row>
    <row r="1080" spans="1:14" x14ac:dyDescent="0.35">
      <c r="A1080" s="126"/>
      <c r="B1080" s="127"/>
      <c r="C1080" s="126"/>
      <c r="D1080" s="126"/>
      <c r="E1080" s="128"/>
      <c r="F1080" s="128"/>
      <c r="G1080" s="128"/>
      <c r="H1080" s="128"/>
      <c r="I1080" s="128"/>
      <c r="J1080" s="126"/>
      <c r="K1080" s="126"/>
      <c r="L1080" s="126"/>
      <c r="M1080" s="125"/>
      <c r="N1080" s="126"/>
    </row>
    <row r="1081" spans="1:14" x14ac:dyDescent="0.35">
      <c r="A1081" s="126"/>
      <c r="B1081" s="127"/>
      <c r="C1081" s="126"/>
      <c r="D1081" s="126"/>
      <c r="E1081" s="128"/>
      <c r="F1081" s="128"/>
      <c r="G1081" s="128"/>
      <c r="H1081" s="128"/>
      <c r="I1081" s="128"/>
      <c r="J1081" s="126"/>
      <c r="K1081" s="126"/>
      <c r="L1081" s="126"/>
      <c r="M1081" s="125"/>
      <c r="N1081" s="126"/>
    </row>
    <row r="1082" spans="1:14" x14ac:dyDescent="0.35">
      <c r="A1082" s="126"/>
      <c r="B1082" s="127"/>
      <c r="C1082" s="126"/>
      <c r="D1082" s="126"/>
      <c r="E1082" s="128"/>
      <c r="F1082" s="128"/>
      <c r="G1082" s="128"/>
      <c r="H1082" s="128"/>
      <c r="I1082" s="128"/>
      <c r="J1082" s="126"/>
      <c r="K1082" s="126"/>
      <c r="L1082" s="126"/>
      <c r="M1082" s="125"/>
      <c r="N1082" s="126"/>
    </row>
    <row r="1083" spans="1:14" x14ac:dyDescent="0.35">
      <c r="A1083" s="126"/>
      <c r="B1083" s="127"/>
      <c r="C1083" s="126"/>
      <c r="D1083" s="126"/>
      <c r="E1083" s="128"/>
      <c r="F1083" s="128"/>
      <c r="G1083" s="128"/>
      <c r="H1083" s="128"/>
      <c r="I1083" s="128"/>
      <c r="J1083" s="126"/>
      <c r="K1083" s="126"/>
      <c r="L1083" s="126"/>
      <c r="M1083" s="125"/>
      <c r="N1083" s="126"/>
    </row>
    <row r="1084" spans="1:14" x14ac:dyDescent="0.35">
      <c r="A1084" s="126"/>
      <c r="B1084" s="127"/>
      <c r="C1084" s="126"/>
      <c r="D1084" s="126"/>
      <c r="E1084" s="128"/>
      <c r="F1084" s="128"/>
      <c r="G1084" s="128"/>
      <c r="H1084" s="128"/>
      <c r="I1084" s="128"/>
      <c r="J1084" s="126"/>
      <c r="K1084" s="126"/>
      <c r="L1084" s="126"/>
      <c r="M1084" s="125"/>
      <c r="N1084" s="126"/>
    </row>
    <row r="1085" spans="1:14" x14ac:dyDescent="0.35">
      <c r="A1085" s="126"/>
      <c r="B1085" s="127"/>
      <c r="C1085" s="126"/>
      <c r="D1085" s="126"/>
      <c r="E1085" s="128"/>
      <c r="F1085" s="128"/>
      <c r="G1085" s="128"/>
      <c r="H1085" s="128"/>
      <c r="I1085" s="128"/>
      <c r="J1085" s="126"/>
      <c r="K1085" s="126"/>
      <c r="L1085" s="126"/>
      <c r="M1085" s="125"/>
      <c r="N1085" s="126"/>
    </row>
    <row r="1086" spans="1:14" x14ac:dyDescent="0.35">
      <c r="A1086" s="126"/>
      <c r="B1086" s="127"/>
      <c r="C1086" s="126"/>
      <c r="D1086" s="126"/>
      <c r="E1086" s="128"/>
      <c r="F1086" s="128"/>
      <c r="G1086" s="128"/>
      <c r="H1086" s="128"/>
      <c r="I1086" s="128"/>
      <c r="J1086" s="126"/>
      <c r="K1086" s="126"/>
      <c r="L1086" s="126"/>
      <c r="M1086" s="125"/>
      <c r="N1086" s="126"/>
    </row>
    <row r="1087" spans="1:14" x14ac:dyDescent="0.35">
      <c r="A1087" s="126"/>
      <c r="B1087" s="127"/>
      <c r="C1087" s="126"/>
      <c r="D1087" s="126"/>
      <c r="E1087" s="128"/>
      <c r="F1087" s="128"/>
      <c r="G1087" s="128"/>
      <c r="H1087" s="128"/>
      <c r="I1087" s="128"/>
      <c r="J1087" s="126"/>
      <c r="K1087" s="126"/>
      <c r="L1087" s="126"/>
      <c r="M1087" s="125"/>
      <c r="N1087" s="126"/>
    </row>
    <row r="1088" spans="1:14" x14ac:dyDescent="0.35">
      <c r="A1088" s="126"/>
      <c r="B1088" s="127"/>
      <c r="C1088" s="126"/>
      <c r="D1088" s="126"/>
      <c r="E1088" s="128"/>
      <c r="F1088" s="128"/>
      <c r="G1088" s="128"/>
      <c r="H1088" s="128"/>
      <c r="I1088" s="128"/>
      <c r="J1088" s="126"/>
      <c r="K1088" s="126"/>
      <c r="L1088" s="126"/>
      <c r="M1088" s="125"/>
      <c r="N1088" s="126"/>
    </row>
    <row r="1089" spans="1:14" x14ac:dyDescent="0.35">
      <c r="A1089" s="126"/>
      <c r="B1089" s="127"/>
      <c r="C1089" s="126"/>
      <c r="D1089" s="126"/>
      <c r="E1089" s="128"/>
      <c r="F1089" s="128"/>
      <c r="G1089" s="128"/>
      <c r="H1089" s="128"/>
      <c r="I1089" s="128"/>
      <c r="J1089" s="126"/>
      <c r="K1089" s="126"/>
      <c r="L1089" s="126"/>
      <c r="M1089" s="125"/>
      <c r="N1089" s="126"/>
    </row>
    <row r="1090" spans="1:14" x14ac:dyDescent="0.35">
      <c r="A1090" s="126"/>
      <c r="B1090" s="127"/>
      <c r="C1090" s="126"/>
      <c r="D1090" s="126"/>
      <c r="E1090" s="128"/>
      <c r="F1090" s="128"/>
      <c r="G1090" s="128"/>
      <c r="H1090" s="128"/>
      <c r="I1090" s="128"/>
      <c r="J1090" s="126"/>
      <c r="K1090" s="126"/>
      <c r="L1090" s="126"/>
      <c r="M1090" s="125"/>
      <c r="N1090" s="126"/>
    </row>
    <row r="1091" spans="1:14" x14ac:dyDescent="0.35">
      <c r="A1091" s="126"/>
      <c r="B1091" s="127"/>
      <c r="C1091" s="126"/>
      <c r="D1091" s="126"/>
      <c r="E1091" s="128"/>
      <c r="F1091" s="128"/>
      <c r="G1091" s="128"/>
      <c r="H1091" s="128"/>
      <c r="I1091" s="128"/>
      <c r="J1091" s="126"/>
      <c r="K1091" s="126"/>
      <c r="L1091" s="126"/>
      <c r="M1091" s="125"/>
      <c r="N1091" s="126"/>
    </row>
    <row r="1092" spans="1:14" x14ac:dyDescent="0.35">
      <c r="A1092" s="126"/>
      <c r="B1092" s="127"/>
      <c r="C1092" s="126"/>
      <c r="D1092" s="126"/>
      <c r="E1092" s="128"/>
      <c r="F1092" s="128"/>
      <c r="G1092" s="128"/>
      <c r="H1092" s="128"/>
      <c r="I1092" s="128"/>
      <c r="J1092" s="126"/>
      <c r="K1092" s="126"/>
      <c r="L1092" s="126"/>
      <c r="M1092" s="125"/>
      <c r="N1092" s="126"/>
    </row>
    <row r="1093" spans="1:14" x14ac:dyDescent="0.35">
      <c r="A1093" s="126"/>
      <c r="B1093" s="127"/>
      <c r="C1093" s="126"/>
      <c r="D1093" s="126"/>
      <c r="E1093" s="128"/>
      <c r="F1093" s="128"/>
      <c r="G1093" s="128"/>
      <c r="H1093" s="128"/>
      <c r="I1093" s="128"/>
      <c r="J1093" s="126"/>
      <c r="K1093" s="126"/>
      <c r="L1093" s="126"/>
      <c r="M1093" s="125"/>
      <c r="N1093" s="126"/>
    </row>
    <row r="1094" spans="1:14" x14ac:dyDescent="0.35">
      <c r="A1094" s="126"/>
      <c r="B1094" s="127"/>
      <c r="C1094" s="126"/>
      <c r="D1094" s="126"/>
      <c r="E1094" s="128"/>
      <c r="F1094" s="128"/>
      <c r="G1094" s="128"/>
      <c r="H1094" s="128"/>
      <c r="I1094" s="128"/>
      <c r="J1094" s="126"/>
      <c r="K1094" s="126"/>
      <c r="L1094" s="126"/>
      <c r="M1094" s="125"/>
      <c r="N1094" s="126"/>
    </row>
    <row r="1095" spans="1:14" x14ac:dyDescent="0.35">
      <c r="A1095" s="126"/>
      <c r="B1095" s="127"/>
      <c r="C1095" s="126"/>
      <c r="D1095" s="126"/>
      <c r="E1095" s="128"/>
      <c r="F1095" s="128"/>
      <c r="G1095" s="128"/>
      <c r="H1095" s="128"/>
      <c r="I1095" s="128"/>
      <c r="J1095" s="126"/>
      <c r="K1095" s="126"/>
      <c r="L1095" s="126"/>
      <c r="M1095" s="125"/>
      <c r="N1095" s="126"/>
    </row>
    <row r="1096" spans="1:14" x14ac:dyDescent="0.35">
      <c r="A1096" s="126"/>
      <c r="B1096" s="127"/>
      <c r="C1096" s="126"/>
      <c r="D1096" s="126"/>
      <c r="E1096" s="128"/>
      <c r="F1096" s="128"/>
      <c r="G1096" s="128"/>
      <c r="H1096" s="128"/>
      <c r="I1096" s="128"/>
      <c r="J1096" s="126"/>
      <c r="K1096" s="126"/>
      <c r="L1096" s="126"/>
      <c r="M1096" s="125"/>
      <c r="N1096" s="126"/>
    </row>
    <row r="1097" spans="1:14" x14ac:dyDescent="0.35">
      <c r="A1097" s="126"/>
      <c r="B1097" s="127"/>
      <c r="C1097" s="126"/>
      <c r="D1097" s="126"/>
      <c r="E1097" s="128"/>
      <c r="F1097" s="128"/>
      <c r="G1097" s="128"/>
      <c r="H1097" s="128"/>
      <c r="I1097" s="128"/>
      <c r="J1097" s="126"/>
      <c r="K1097" s="126"/>
      <c r="L1097" s="126"/>
      <c r="M1097" s="125"/>
      <c r="N1097" s="126"/>
    </row>
    <row r="1098" spans="1:14" x14ac:dyDescent="0.35">
      <c r="A1098" s="126"/>
      <c r="B1098" s="127"/>
      <c r="C1098" s="126"/>
      <c r="D1098" s="126"/>
      <c r="E1098" s="128"/>
      <c r="F1098" s="128"/>
      <c r="G1098" s="128"/>
      <c r="H1098" s="128"/>
      <c r="I1098" s="128"/>
      <c r="J1098" s="126"/>
      <c r="K1098" s="126"/>
      <c r="L1098" s="126"/>
      <c r="M1098" s="125"/>
      <c r="N1098" s="126"/>
    </row>
    <row r="1099" spans="1:14" x14ac:dyDescent="0.35">
      <c r="A1099" s="126"/>
      <c r="B1099" s="127"/>
      <c r="C1099" s="126"/>
      <c r="D1099" s="126"/>
      <c r="E1099" s="128"/>
      <c r="F1099" s="128"/>
      <c r="G1099" s="128"/>
      <c r="H1099" s="128"/>
      <c r="I1099" s="128"/>
      <c r="J1099" s="126"/>
      <c r="K1099" s="126"/>
      <c r="L1099" s="126"/>
      <c r="M1099" s="125"/>
      <c r="N1099" s="126"/>
    </row>
    <row r="1100" spans="1:14" x14ac:dyDescent="0.35">
      <c r="A1100" s="126"/>
      <c r="B1100" s="127"/>
      <c r="C1100" s="126"/>
      <c r="D1100" s="126"/>
      <c r="E1100" s="128"/>
      <c r="F1100" s="128"/>
      <c r="G1100" s="128"/>
      <c r="H1100" s="128"/>
      <c r="I1100" s="128"/>
      <c r="J1100" s="126"/>
      <c r="K1100" s="126"/>
      <c r="L1100" s="126"/>
      <c r="M1100" s="125"/>
      <c r="N1100" s="126"/>
    </row>
    <row r="1101" spans="1:14" x14ac:dyDescent="0.35">
      <c r="A1101" s="126"/>
      <c r="B1101" s="127"/>
      <c r="C1101" s="126"/>
      <c r="D1101" s="126"/>
      <c r="E1101" s="128"/>
      <c r="F1101" s="128"/>
      <c r="G1101" s="128"/>
      <c r="H1101" s="128"/>
      <c r="I1101" s="128"/>
      <c r="J1101" s="126"/>
      <c r="K1101" s="126"/>
      <c r="L1101" s="126"/>
      <c r="M1101" s="125"/>
      <c r="N1101" s="126"/>
    </row>
    <row r="1102" spans="1:14" x14ac:dyDescent="0.35">
      <c r="A1102" s="126"/>
      <c r="B1102" s="127"/>
      <c r="C1102" s="126"/>
      <c r="D1102" s="126"/>
      <c r="E1102" s="128"/>
      <c r="F1102" s="128"/>
      <c r="G1102" s="128"/>
      <c r="H1102" s="128"/>
      <c r="I1102" s="128"/>
      <c r="J1102" s="126"/>
      <c r="K1102" s="126"/>
      <c r="L1102" s="126"/>
      <c r="M1102" s="125"/>
      <c r="N1102" s="126"/>
    </row>
    <row r="1103" spans="1:14" x14ac:dyDescent="0.35">
      <c r="A1103" s="126"/>
      <c r="B1103" s="127"/>
      <c r="C1103" s="126"/>
      <c r="D1103" s="126"/>
      <c r="E1103" s="128"/>
      <c r="F1103" s="128"/>
      <c r="G1103" s="128"/>
      <c r="H1103" s="128"/>
      <c r="I1103" s="128"/>
      <c r="J1103" s="126"/>
      <c r="K1103" s="126"/>
      <c r="L1103" s="126"/>
      <c r="M1103" s="125"/>
      <c r="N1103" s="126"/>
    </row>
    <row r="1104" spans="1:14" x14ac:dyDescent="0.35">
      <c r="A1104" s="126"/>
      <c r="B1104" s="127"/>
      <c r="C1104" s="126"/>
      <c r="D1104" s="126"/>
      <c r="E1104" s="128"/>
      <c r="F1104" s="128"/>
      <c r="G1104" s="128"/>
      <c r="H1104" s="128"/>
      <c r="I1104" s="128"/>
      <c r="J1104" s="126"/>
      <c r="K1104" s="126"/>
      <c r="L1104" s="126"/>
      <c r="M1104" s="125"/>
      <c r="N1104" s="126"/>
    </row>
    <row r="1105" spans="1:14" x14ac:dyDescent="0.35">
      <c r="A1105" s="126"/>
      <c r="B1105" s="127"/>
      <c r="C1105" s="126"/>
      <c r="D1105" s="126"/>
      <c r="E1105" s="128"/>
      <c r="F1105" s="128"/>
      <c r="G1105" s="128"/>
      <c r="H1105" s="128"/>
      <c r="I1105" s="128"/>
      <c r="J1105" s="126"/>
      <c r="K1105" s="126"/>
      <c r="L1105" s="126"/>
      <c r="M1105" s="125"/>
      <c r="N1105" s="126"/>
    </row>
    <row r="1106" spans="1:14" x14ac:dyDescent="0.35">
      <c r="A1106" s="126"/>
      <c r="B1106" s="127"/>
      <c r="C1106" s="126"/>
      <c r="D1106" s="126"/>
      <c r="E1106" s="128"/>
      <c r="F1106" s="128"/>
      <c r="G1106" s="128"/>
      <c r="H1106" s="128"/>
      <c r="I1106" s="128"/>
      <c r="J1106" s="126"/>
      <c r="K1106" s="126"/>
      <c r="L1106" s="126"/>
      <c r="M1106" s="125"/>
      <c r="N1106" s="126"/>
    </row>
    <row r="1107" spans="1:14" x14ac:dyDescent="0.35">
      <c r="A1107" s="126"/>
      <c r="B1107" s="127"/>
      <c r="C1107" s="126"/>
      <c r="D1107" s="126"/>
      <c r="E1107" s="128"/>
      <c r="F1107" s="128"/>
      <c r="G1107" s="128"/>
      <c r="H1107" s="128"/>
      <c r="I1107" s="128"/>
      <c r="J1107" s="126"/>
      <c r="K1107" s="126"/>
      <c r="L1107" s="126"/>
      <c r="M1107" s="125"/>
      <c r="N1107" s="126"/>
    </row>
    <row r="1108" spans="1:14" x14ac:dyDescent="0.35">
      <c r="A1108" s="126"/>
      <c r="B1108" s="127"/>
      <c r="C1108" s="126"/>
      <c r="D1108" s="126"/>
      <c r="E1108" s="128"/>
      <c r="F1108" s="128"/>
      <c r="G1108" s="128"/>
      <c r="H1108" s="128"/>
      <c r="I1108" s="128"/>
      <c r="J1108" s="126"/>
      <c r="K1108" s="126"/>
      <c r="L1108" s="126"/>
      <c r="M1108" s="125"/>
      <c r="N1108" s="126"/>
    </row>
    <row r="1109" spans="1:14" x14ac:dyDescent="0.35">
      <c r="A1109" s="126"/>
      <c r="B1109" s="127"/>
      <c r="C1109" s="126"/>
      <c r="D1109" s="126"/>
      <c r="E1109" s="128"/>
      <c r="F1109" s="128"/>
      <c r="G1109" s="126"/>
      <c r="H1109" s="126"/>
      <c r="I1109" s="126"/>
      <c r="J1109" s="126"/>
      <c r="K1109" s="126"/>
      <c r="L1109" s="126"/>
      <c r="M1109" s="125"/>
      <c r="N1109" s="126"/>
    </row>
    <row r="1110" spans="1:14" x14ac:dyDescent="0.35">
      <c r="A1110" s="126"/>
      <c r="B1110" s="127"/>
      <c r="C1110" s="126"/>
      <c r="D1110" s="126"/>
      <c r="E1110" s="128"/>
      <c r="F1110" s="128"/>
      <c r="G1110" s="126"/>
      <c r="H1110" s="126"/>
      <c r="I1110" s="126"/>
      <c r="J1110" s="126"/>
      <c r="K1110" s="126"/>
      <c r="L1110" s="126"/>
      <c r="M1110" s="125"/>
      <c r="N1110" s="126"/>
    </row>
    <row r="1111" spans="1:14" x14ac:dyDescent="0.35">
      <c r="A1111" s="126"/>
      <c r="B1111" s="127"/>
      <c r="C1111" s="126"/>
      <c r="D1111" s="126"/>
      <c r="E1111" s="128"/>
      <c r="F1111" s="128"/>
      <c r="G1111" s="126"/>
      <c r="H1111" s="126"/>
      <c r="I1111" s="126"/>
      <c r="J1111" s="126"/>
      <c r="K1111" s="126"/>
      <c r="L1111" s="126"/>
      <c r="M1111" s="125"/>
      <c r="N1111" s="126"/>
    </row>
    <row r="1112" spans="1:14" x14ac:dyDescent="0.35">
      <c r="A1112" s="126"/>
      <c r="B1112" s="127"/>
      <c r="C1112" s="126"/>
      <c r="D1112" s="126"/>
      <c r="E1112" s="128"/>
      <c r="F1112" s="128"/>
      <c r="G1112" s="126"/>
      <c r="H1112" s="126"/>
      <c r="I1112" s="126"/>
      <c r="J1112" s="126"/>
      <c r="K1112" s="126"/>
      <c r="L1112" s="126"/>
      <c r="M1112" s="125"/>
      <c r="N1112" s="126"/>
    </row>
    <row r="1113" spans="1:14" x14ac:dyDescent="0.35">
      <c r="A1113" s="126"/>
      <c r="B1113" s="127"/>
      <c r="C1113" s="126"/>
      <c r="D1113" s="126"/>
      <c r="E1113" s="128"/>
      <c r="F1113" s="128"/>
      <c r="G1113" s="126"/>
      <c r="H1113" s="126"/>
      <c r="I1113" s="126"/>
      <c r="J1113" s="126"/>
      <c r="K1113" s="126"/>
      <c r="L1113" s="126"/>
      <c r="M1113" s="125"/>
      <c r="N1113" s="126"/>
    </row>
    <row r="1114" spans="1:14" x14ac:dyDescent="0.35">
      <c r="A1114" s="126"/>
      <c r="B1114" s="127"/>
      <c r="C1114" s="126"/>
      <c r="D1114" s="126"/>
      <c r="E1114" s="128"/>
      <c r="F1114" s="128"/>
      <c r="G1114" s="126"/>
      <c r="H1114" s="126"/>
      <c r="I1114" s="126"/>
      <c r="J1114" s="126"/>
      <c r="K1114" s="126"/>
      <c r="L1114" s="126"/>
      <c r="M1114" s="125"/>
      <c r="N1114" s="126"/>
    </row>
    <row r="1115" spans="1:14" x14ac:dyDescent="0.35">
      <c r="A1115" s="126"/>
      <c r="B1115" s="127"/>
      <c r="C1115" s="126"/>
      <c r="D1115" s="126"/>
      <c r="E1115" s="128"/>
      <c r="F1115" s="128"/>
      <c r="G1115" s="126"/>
      <c r="H1115" s="126"/>
      <c r="I1115" s="126"/>
      <c r="J1115" s="126"/>
      <c r="K1115" s="126"/>
      <c r="L1115" s="126"/>
      <c r="M1115" s="125"/>
      <c r="N1115" s="126"/>
    </row>
    <row r="1116" spans="1:14" x14ac:dyDescent="0.35">
      <c r="A1116" s="126"/>
      <c r="B1116" s="127"/>
      <c r="C1116" s="126"/>
      <c r="D1116" s="126"/>
      <c r="E1116" s="128"/>
      <c r="F1116" s="128"/>
      <c r="G1116" s="126"/>
      <c r="H1116" s="126"/>
      <c r="I1116" s="126"/>
      <c r="J1116" s="126"/>
      <c r="K1116" s="126"/>
      <c r="L1116" s="126"/>
      <c r="M1116" s="125"/>
      <c r="N1116" s="126"/>
    </row>
    <row r="1117" spans="1:14" x14ac:dyDescent="0.35">
      <c r="A1117" s="126"/>
      <c r="B1117" s="127"/>
      <c r="C1117" s="126"/>
      <c r="D1117" s="126"/>
      <c r="E1117" s="128"/>
      <c r="F1117" s="128"/>
      <c r="G1117" s="126"/>
      <c r="H1117" s="126"/>
      <c r="I1117" s="126"/>
      <c r="J1117" s="126"/>
      <c r="K1117" s="126"/>
      <c r="L1117" s="126"/>
      <c r="M1117" s="125"/>
      <c r="N1117" s="126"/>
    </row>
    <row r="1118" spans="1:14" x14ac:dyDescent="0.35">
      <c r="A1118" s="126"/>
      <c r="B1118" s="127"/>
      <c r="C1118" s="126"/>
      <c r="D1118" s="126"/>
      <c r="E1118" s="128"/>
      <c r="F1118" s="128"/>
      <c r="G1118" s="126"/>
      <c r="H1118" s="126"/>
      <c r="I1118" s="126"/>
      <c r="J1118" s="126"/>
      <c r="K1118" s="126"/>
      <c r="L1118" s="126"/>
      <c r="M1118" s="125"/>
      <c r="N1118" s="126"/>
    </row>
    <row r="1119" spans="1:14" x14ac:dyDescent="0.35">
      <c r="A1119" s="126"/>
      <c r="B1119" s="127"/>
      <c r="C1119" s="126"/>
      <c r="D1119" s="126"/>
      <c r="E1119" s="128"/>
      <c r="F1119" s="128"/>
      <c r="G1119" s="126"/>
      <c r="H1119" s="126"/>
      <c r="I1119" s="126"/>
      <c r="J1119" s="126"/>
      <c r="K1119" s="126"/>
      <c r="L1119" s="126"/>
      <c r="M1119" s="125"/>
      <c r="N1119" s="126"/>
    </row>
    <row r="1120" spans="1:14" x14ac:dyDescent="0.35">
      <c r="A1120" s="126"/>
      <c r="B1120" s="127"/>
      <c r="C1120" s="126"/>
      <c r="D1120" s="126"/>
      <c r="E1120" s="128"/>
      <c r="F1120" s="128"/>
      <c r="G1120" s="126"/>
      <c r="H1120" s="126"/>
      <c r="I1120" s="126"/>
      <c r="J1120" s="126"/>
      <c r="K1120" s="126"/>
      <c r="L1120" s="126"/>
      <c r="M1120" s="125"/>
      <c r="N1120" s="126"/>
    </row>
    <row r="1121" spans="1:14" x14ac:dyDescent="0.35">
      <c r="A1121" s="126"/>
      <c r="B1121" s="127"/>
      <c r="C1121" s="126"/>
      <c r="D1121" s="126"/>
      <c r="E1121" s="128"/>
      <c r="F1121" s="128"/>
      <c r="G1121" s="126"/>
      <c r="H1121" s="126"/>
      <c r="I1121" s="126"/>
      <c r="J1121" s="126"/>
      <c r="K1121" s="126"/>
      <c r="L1121" s="126"/>
      <c r="M1121" s="125"/>
      <c r="N1121" s="126"/>
    </row>
    <row r="1122" spans="1:14" x14ac:dyDescent="0.35">
      <c r="A1122" s="126"/>
      <c r="B1122" s="127"/>
      <c r="C1122" s="126"/>
      <c r="D1122" s="126"/>
      <c r="E1122" s="128"/>
      <c r="F1122" s="128"/>
      <c r="G1122" s="126"/>
      <c r="H1122" s="126"/>
      <c r="I1122" s="126"/>
      <c r="J1122" s="126"/>
      <c r="K1122" s="126"/>
      <c r="L1122" s="126"/>
      <c r="M1122" s="125"/>
      <c r="N1122" s="126"/>
    </row>
    <row r="1123" spans="1:14" x14ac:dyDescent="0.35">
      <c r="A1123" s="126"/>
      <c r="B1123" s="127"/>
      <c r="C1123" s="126"/>
      <c r="D1123" s="126"/>
      <c r="E1123" s="128"/>
      <c r="F1123" s="128"/>
      <c r="G1123" s="126"/>
      <c r="H1123" s="126"/>
      <c r="I1123" s="126"/>
      <c r="J1123" s="126"/>
      <c r="K1123" s="126"/>
      <c r="L1123" s="126"/>
      <c r="M1123" s="125"/>
      <c r="N1123" s="126"/>
    </row>
    <row r="1124" spans="1:14" x14ac:dyDescent="0.35">
      <c r="A1124" s="126"/>
      <c r="B1124" s="127"/>
      <c r="C1124" s="126"/>
      <c r="D1124" s="126"/>
      <c r="E1124" s="128"/>
      <c r="F1124" s="128"/>
      <c r="G1124" s="126"/>
      <c r="H1124" s="126"/>
      <c r="I1124" s="126"/>
      <c r="J1124" s="126"/>
      <c r="K1124" s="126"/>
      <c r="L1124" s="126"/>
      <c r="M1124" s="125"/>
      <c r="N1124" s="126"/>
    </row>
    <row r="1125" spans="1:14" x14ac:dyDescent="0.35">
      <c r="A1125" s="126"/>
      <c r="B1125" s="127"/>
      <c r="C1125" s="126"/>
      <c r="D1125" s="126"/>
      <c r="E1125" s="128"/>
      <c r="F1125" s="128"/>
      <c r="G1125" s="126"/>
      <c r="H1125" s="126"/>
      <c r="I1125" s="126"/>
      <c r="J1125" s="126"/>
      <c r="K1125" s="126"/>
      <c r="L1125" s="126"/>
      <c r="M1125" s="125"/>
      <c r="N1125" s="126"/>
    </row>
    <row r="1126" spans="1:14" x14ac:dyDescent="0.35">
      <c r="A1126" s="126"/>
      <c r="B1126" s="127"/>
      <c r="C1126" s="126"/>
      <c r="D1126" s="126"/>
      <c r="E1126" s="128"/>
      <c r="F1126" s="128"/>
      <c r="G1126" s="126"/>
      <c r="H1126" s="126"/>
      <c r="I1126" s="126"/>
      <c r="J1126" s="126"/>
      <c r="K1126" s="126"/>
      <c r="L1126" s="126"/>
      <c r="M1126" s="125"/>
      <c r="N1126" s="126"/>
    </row>
    <row r="1127" spans="1:14" x14ac:dyDescent="0.35">
      <c r="A1127" s="126"/>
      <c r="B1127" s="127"/>
      <c r="C1127" s="126"/>
      <c r="D1127" s="126"/>
      <c r="E1127" s="128"/>
      <c r="F1127" s="128"/>
      <c r="G1127" s="126"/>
      <c r="H1127" s="126"/>
      <c r="I1127" s="126"/>
      <c r="J1127" s="126"/>
      <c r="K1127" s="126"/>
      <c r="L1127" s="126"/>
      <c r="M1127" s="125"/>
      <c r="N1127" s="126"/>
    </row>
    <row r="1128" spans="1:14" x14ac:dyDescent="0.35">
      <c r="A1128" s="126"/>
      <c r="B1128" s="127"/>
      <c r="C1128" s="126"/>
      <c r="D1128" s="126"/>
      <c r="E1128" s="128"/>
      <c r="F1128" s="128"/>
      <c r="G1128" s="126"/>
      <c r="H1128" s="126"/>
      <c r="I1128" s="126"/>
      <c r="J1128" s="126"/>
      <c r="K1128" s="126"/>
      <c r="L1128" s="126"/>
      <c r="M1128" s="125"/>
      <c r="N1128" s="126"/>
    </row>
    <row r="1129" spans="1:14" x14ac:dyDescent="0.35">
      <c r="A1129" s="126"/>
      <c r="B1129" s="127"/>
      <c r="C1129" s="126"/>
      <c r="D1129" s="126"/>
      <c r="E1129" s="128"/>
      <c r="F1129" s="128"/>
      <c r="G1129" s="126"/>
      <c r="H1129" s="126"/>
      <c r="I1129" s="126"/>
      <c r="J1129" s="126"/>
      <c r="K1129" s="126"/>
      <c r="L1129" s="126"/>
      <c r="M1129" s="125"/>
      <c r="N1129" s="126"/>
    </row>
    <row r="1130" spans="1:14" x14ac:dyDescent="0.35">
      <c r="A1130" s="126"/>
      <c r="B1130" s="127"/>
      <c r="C1130" s="126"/>
      <c r="D1130" s="126"/>
      <c r="E1130" s="128"/>
      <c r="F1130" s="128"/>
      <c r="G1130" s="126"/>
      <c r="H1130" s="126"/>
      <c r="I1130" s="126"/>
      <c r="J1130" s="126"/>
      <c r="K1130" s="126"/>
      <c r="L1130" s="126"/>
      <c r="M1130" s="125"/>
      <c r="N1130" s="126"/>
    </row>
    <row r="1131" spans="1:14" x14ac:dyDescent="0.35">
      <c r="A1131" s="126"/>
      <c r="B1131" s="127"/>
      <c r="C1131" s="126"/>
      <c r="D1131" s="126"/>
      <c r="E1131" s="128"/>
      <c r="F1131" s="128"/>
      <c r="G1131" s="126"/>
      <c r="H1131" s="126"/>
      <c r="I1131" s="126"/>
      <c r="J1131" s="126"/>
      <c r="K1131" s="126"/>
      <c r="L1131" s="126"/>
      <c r="M1131" s="125"/>
      <c r="N1131" s="126"/>
    </row>
    <row r="1132" spans="1:14" x14ac:dyDescent="0.35">
      <c r="A1132" s="126"/>
      <c r="B1132" s="127"/>
      <c r="C1132" s="126"/>
      <c r="D1132" s="126"/>
      <c r="E1132" s="128"/>
      <c r="F1132" s="128"/>
      <c r="G1132" s="126"/>
      <c r="H1132" s="126"/>
      <c r="I1132" s="126"/>
      <c r="J1132" s="126"/>
      <c r="K1132" s="126"/>
      <c r="L1132" s="126"/>
      <c r="M1132" s="125"/>
      <c r="N1132" s="126"/>
    </row>
    <row r="1133" spans="1:14" x14ac:dyDescent="0.35">
      <c r="A1133" s="126"/>
      <c r="B1133" s="127"/>
      <c r="C1133" s="126"/>
      <c r="D1133" s="126"/>
      <c r="E1133" s="128"/>
      <c r="F1133" s="128"/>
      <c r="G1133" s="126"/>
      <c r="H1133" s="126"/>
      <c r="I1133" s="126"/>
      <c r="J1133" s="126"/>
      <c r="K1133" s="126"/>
      <c r="L1133" s="126"/>
      <c r="M1133" s="125"/>
      <c r="N1133" s="126"/>
    </row>
    <row r="1134" spans="1:14" x14ac:dyDescent="0.35">
      <c r="A1134" s="126"/>
      <c r="B1134" s="127"/>
      <c r="C1134" s="126"/>
      <c r="D1134" s="126"/>
      <c r="E1134" s="128"/>
      <c r="F1134" s="128"/>
      <c r="G1134" s="126"/>
      <c r="H1134" s="126"/>
      <c r="I1134" s="126"/>
      <c r="J1134" s="126"/>
      <c r="K1134" s="126"/>
      <c r="L1134" s="126"/>
      <c r="M1134" s="125"/>
      <c r="N1134" s="126"/>
    </row>
    <row r="1135" spans="1:14" x14ac:dyDescent="0.35">
      <c r="A1135" s="126"/>
      <c r="B1135" s="127"/>
      <c r="C1135" s="126"/>
      <c r="D1135" s="126"/>
      <c r="E1135" s="128"/>
      <c r="F1135" s="128"/>
      <c r="G1135" s="126"/>
      <c r="H1135" s="126"/>
      <c r="I1135" s="126"/>
      <c r="J1135" s="126"/>
      <c r="K1135" s="126"/>
      <c r="L1135" s="126"/>
      <c r="M1135" s="125"/>
      <c r="N1135" s="126"/>
    </row>
    <row r="1136" spans="1:14" x14ac:dyDescent="0.35">
      <c r="A1136" s="126"/>
      <c r="B1136" s="127"/>
      <c r="C1136" s="126"/>
      <c r="D1136" s="126"/>
      <c r="E1136" s="128"/>
      <c r="F1136" s="128"/>
      <c r="G1136" s="126"/>
      <c r="H1136" s="126"/>
      <c r="I1136" s="126"/>
      <c r="J1136" s="126"/>
      <c r="K1136" s="126"/>
      <c r="L1136" s="126"/>
      <c r="M1136" s="125"/>
      <c r="N1136" s="126"/>
    </row>
    <row r="1137" spans="1:14" x14ac:dyDescent="0.35">
      <c r="A1137" s="126"/>
      <c r="B1137" s="127"/>
      <c r="C1137" s="126"/>
      <c r="D1137" s="126"/>
      <c r="E1137" s="128"/>
      <c r="F1137" s="128"/>
      <c r="G1137" s="126"/>
      <c r="H1137" s="126"/>
      <c r="I1137" s="126"/>
      <c r="J1137" s="126"/>
      <c r="K1137" s="126"/>
      <c r="L1137" s="126"/>
      <c r="M1137" s="125"/>
      <c r="N1137" s="126"/>
    </row>
    <row r="1138" spans="1:14" x14ac:dyDescent="0.35">
      <c r="A1138" s="126"/>
      <c r="B1138" s="127"/>
      <c r="C1138" s="126"/>
      <c r="D1138" s="126"/>
      <c r="E1138" s="128"/>
      <c r="F1138" s="128"/>
      <c r="G1138" s="126"/>
      <c r="H1138" s="126"/>
      <c r="I1138" s="126"/>
      <c r="J1138" s="126"/>
      <c r="K1138" s="126"/>
      <c r="L1138" s="126"/>
      <c r="M1138" s="125"/>
      <c r="N1138" s="126"/>
    </row>
    <row r="1139" spans="1:14" x14ac:dyDescent="0.35">
      <c r="A1139" s="126"/>
      <c r="B1139" s="127"/>
      <c r="C1139" s="126"/>
      <c r="D1139" s="126"/>
      <c r="E1139" s="128"/>
      <c r="F1139" s="128"/>
      <c r="G1139" s="126"/>
      <c r="H1139" s="126"/>
      <c r="I1139" s="126"/>
      <c r="J1139" s="126"/>
      <c r="K1139" s="126"/>
      <c r="L1139" s="126"/>
      <c r="M1139" s="125"/>
      <c r="N1139" s="126"/>
    </row>
    <row r="1140" spans="1:14" x14ac:dyDescent="0.35">
      <c r="A1140" s="126"/>
      <c r="B1140" s="127"/>
      <c r="C1140" s="126"/>
      <c r="D1140" s="126"/>
      <c r="E1140" s="128"/>
      <c r="F1140" s="128"/>
      <c r="G1140" s="126"/>
      <c r="H1140" s="126"/>
      <c r="I1140" s="126"/>
      <c r="J1140" s="126"/>
      <c r="K1140" s="126"/>
      <c r="L1140" s="126"/>
      <c r="M1140" s="125"/>
      <c r="N1140" s="126"/>
    </row>
    <row r="1141" spans="1:14" x14ac:dyDescent="0.35">
      <c r="A1141" s="126"/>
      <c r="B1141" s="127"/>
      <c r="C1141" s="126"/>
      <c r="D1141" s="126"/>
      <c r="E1141" s="128"/>
      <c r="F1141" s="128"/>
      <c r="G1141" s="126"/>
      <c r="H1141" s="126"/>
      <c r="I1141" s="126"/>
      <c r="J1141" s="126"/>
      <c r="K1141" s="126"/>
      <c r="L1141" s="126"/>
      <c r="M1141" s="125"/>
      <c r="N1141" s="126"/>
    </row>
    <row r="1142" spans="1:14" x14ac:dyDescent="0.35">
      <c r="A1142" s="126"/>
      <c r="B1142" s="127"/>
      <c r="C1142" s="126"/>
      <c r="D1142" s="126"/>
      <c r="E1142" s="128"/>
      <c r="F1142" s="128"/>
      <c r="G1142" s="126"/>
      <c r="H1142" s="126"/>
      <c r="I1142" s="126"/>
      <c r="J1142" s="126"/>
      <c r="K1142" s="126"/>
      <c r="L1142" s="126"/>
      <c r="M1142" s="125"/>
      <c r="N1142" s="126"/>
    </row>
    <row r="1143" spans="1:14" x14ac:dyDescent="0.35">
      <c r="A1143" s="126"/>
      <c r="B1143" s="127"/>
      <c r="C1143" s="126"/>
      <c r="D1143" s="126"/>
      <c r="E1143" s="128"/>
      <c r="F1143" s="128"/>
      <c r="G1143" s="126"/>
      <c r="H1143" s="126"/>
      <c r="I1143" s="126"/>
      <c r="J1143" s="126"/>
      <c r="K1143" s="126"/>
      <c r="L1143" s="126"/>
      <c r="M1143" s="125"/>
      <c r="N1143" s="126"/>
    </row>
    <row r="1144" spans="1:14" x14ac:dyDescent="0.35">
      <c r="A1144" s="126"/>
      <c r="B1144" s="127"/>
      <c r="C1144" s="126"/>
      <c r="D1144" s="126"/>
      <c r="E1144" s="128"/>
      <c r="F1144" s="128"/>
      <c r="G1144" s="126"/>
      <c r="H1144" s="126"/>
      <c r="I1144" s="126"/>
      <c r="J1144" s="126"/>
      <c r="K1144" s="126"/>
      <c r="L1144" s="126"/>
      <c r="M1144" s="125"/>
      <c r="N1144" s="126"/>
    </row>
    <row r="1145" spans="1:14" x14ac:dyDescent="0.35">
      <c r="A1145" s="126"/>
      <c r="B1145" s="127"/>
      <c r="C1145" s="126"/>
      <c r="D1145" s="126"/>
      <c r="E1145" s="128"/>
      <c r="F1145" s="128"/>
      <c r="G1145" s="126"/>
      <c r="H1145" s="126"/>
      <c r="I1145" s="126"/>
      <c r="J1145" s="126"/>
      <c r="K1145" s="126"/>
      <c r="L1145" s="126"/>
      <c r="M1145" s="125"/>
      <c r="N1145" s="126"/>
    </row>
    <row r="1146" spans="1:14" x14ac:dyDescent="0.35">
      <c r="A1146" s="126"/>
      <c r="B1146" s="127"/>
      <c r="C1146" s="126"/>
      <c r="D1146" s="126"/>
      <c r="E1146" s="128"/>
      <c r="F1146" s="128"/>
      <c r="G1146" s="126"/>
      <c r="H1146" s="126"/>
      <c r="I1146" s="126"/>
      <c r="J1146" s="126"/>
      <c r="K1146" s="126"/>
      <c r="L1146" s="126"/>
      <c r="M1146" s="125"/>
      <c r="N1146" s="126"/>
    </row>
    <row r="1147" spans="1:14" x14ac:dyDescent="0.35">
      <c r="A1147" s="126"/>
      <c r="B1147" s="127"/>
      <c r="C1147" s="126"/>
      <c r="D1147" s="126"/>
      <c r="E1147" s="128"/>
      <c r="F1147" s="128"/>
      <c r="G1147" s="126"/>
      <c r="H1147" s="126"/>
      <c r="I1147" s="126"/>
      <c r="J1147" s="126"/>
      <c r="K1147" s="126"/>
      <c r="L1147" s="126"/>
      <c r="M1147" s="125"/>
      <c r="N1147" s="126"/>
    </row>
    <row r="1148" spans="1:14" x14ac:dyDescent="0.35">
      <c r="A1148" s="126"/>
      <c r="B1148" s="127"/>
      <c r="C1148" s="126"/>
      <c r="D1148" s="126"/>
      <c r="E1148" s="128"/>
      <c r="F1148" s="128"/>
      <c r="G1148" s="126"/>
      <c r="H1148" s="126"/>
      <c r="I1148" s="126"/>
      <c r="J1148" s="126"/>
      <c r="K1148" s="126"/>
      <c r="L1148" s="126"/>
      <c r="M1148" s="125"/>
      <c r="N1148" s="126"/>
    </row>
    <row r="1149" spans="1:14" x14ac:dyDescent="0.35">
      <c r="A1149" s="126"/>
      <c r="B1149" s="127"/>
      <c r="C1149" s="126"/>
      <c r="D1149" s="126"/>
      <c r="E1149" s="128"/>
      <c r="F1149" s="128"/>
      <c r="G1149" s="126"/>
      <c r="H1149" s="126"/>
      <c r="I1149" s="126"/>
      <c r="J1149" s="126"/>
      <c r="K1149" s="126"/>
      <c r="L1149" s="126"/>
      <c r="M1149" s="125"/>
      <c r="N1149" s="126"/>
    </row>
    <row r="1150" spans="1:14" x14ac:dyDescent="0.35">
      <c r="A1150" s="126"/>
      <c r="B1150" s="127"/>
      <c r="C1150" s="126"/>
      <c r="D1150" s="126"/>
      <c r="E1150" s="128"/>
      <c r="F1150" s="128"/>
      <c r="G1150" s="126"/>
      <c r="H1150" s="126"/>
      <c r="I1150" s="126"/>
      <c r="J1150" s="126"/>
      <c r="K1150" s="126"/>
      <c r="L1150" s="126"/>
      <c r="M1150" s="125"/>
      <c r="N1150" s="126"/>
    </row>
    <row r="1151" spans="1:14" x14ac:dyDescent="0.35">
      <c r="A1151" s="126"/>
      <c r="B1151" s="127"/>
      <c r="C1151" s="126"/>
      <c r="D1151" s="126"/>
      <c r="E1151" s="128"/>
      <c r="F1151" s="128"/>
      <c r="G1151" s="126"/>
      <c r="H1151" s="126"/>
      <c r="I1151" s="126"/>
      <c r="J1151" s="126"/>
      <c r="K1151" s="126"/>
      <c r="L1151" s="126"/>
      <c r="M1151" s="125"/>
      <c r="N1151" s="126"/>
    </row>
    <row r="1152" spans="1:14" x14ac:dyDescent="0.35">
      <c r="A1152" s="126"/>
      <c r="B1152" s="127"/>
      <c r="C1152" s="126"/>
      <c r="D1152" s="126"/>
      <c r="E1152" s="128"/>
      <c r="F1152" s="128"/>
      <c r="G1152" s="126"/>
      <c r="H1152" s="126"/>
      <c r="I1152" s="126"/>
      <c r="J1152" s="126"/>
      <c r="K1152" s="126"/>
      <c r="L1152" s="126"/>
      <c r="M1152" s="125"/>
      <c r="N1152" s="126"/>
    </row>
    <row r="1153" spans="1:14" x14ac:dyDescent="0.35">
      <c r="A1153" s="126"/>
      <c r="B1153" s="127"/>
      <c r="C1153" s="126"/>
      <c r="D1153" s="126"/>
      <c r="E1153" s="128"/>
      <c r="F1153" s="128"/>
      <c r="G1153" s="126"/>
      <c r="H1153" s="126"/>
      <c r="I1153" s="126"/>
      <c r="J1153" s="126"/>
      <c r="K1153" s="126"/>
      <c r="L1153" s="126"/>
      <c r="M1153" s="125"/>
      <c r="N1153" s="126"/>
    </row>
    <row r="1154" spans="1:14" x14ac:dyDescent="0.35">
      <c r="A1154" s="126"/>
      <c r="B1154" s="127"/>
      <c r="C1154" s="126"/>
      <c r="D1154" s="126"/>
      <c r="E1154" s="128"/>
      <c r="F1154" s="128"/>
      <c r="G1154" s="126"/>
      <c r="H1154" s="126"/>
      <c r="I1154" s="126"/>
      <c r="J1154" s="126"/>
      <c r="K1154" s="126"/>
      <c r="L1154" s="126"/>
      <c r="M1154" s="125"/>
      <c r="N1154" s="126"/>
    </row>
    <row r="1155" spans="1:14" x14ac:dyDescent="0.35">
      <c r="A1155" s="126"/>
      <c r="B1155" s="127"/>
      <c r="C1155" s="126"/>
      <c r="D1155" s="126"/>
      <c r="E1155" s="128"/>
      <c r="F1155" s="128"/>
      <c r="G1155" s="126"/>
      <c r="H1155" s="126"/>
      <c r="I1155" s="126"/>
      <c r="J1155" s="126"/>
      <c r="K1155" s="126"/>
      <c r="L1155" s="126"/>
      <c r="M1155" s="125"/>
      <c r="N1155" s="126"/>
    </row>
    <row r="1156" spans="1:14" x14ac:dyDescent="0.35">
      <c r="A1156" s="126"/>
      <c r="B1156" s="127"/>
      <c r="C1156" s="126"/>
      <c r="D1156" s="126"/>
      <c r="E1156" s="128"/>
      <c r="F1156" s="128"/>
      <c r="G1156" s="126"/>
      <c r="H1156" s="126"/>
      <c r="I1156" s="126"/>
      <c r="J1156" s="126"/>
      <c r="K1156" s="126"/>
      <c r="L1156" s="126"/>
      <c r="M1156" s="125"/>
      <c r="N1156" s="126"/>
    </row>
    <row r="1157" spans="1:14" x14ac:dyDescent="0.35">
      <c r="A1157" s="126"/>
      <c r="B1157" s="127"/>
      <c r="C1157" s="126"/>
      <c r="D1157" s="126"/>
      <c r="E1157" s="128"/>
      <c r="F1157" s="128"/>
      <c r="G1157" s="126"/>
      <c r="H1157" s="126"/>
      <c r="I1157" s="126"/>
      <c r="J1157" s="126"/>
      <c r="K1157" s="126"/>
      <c r="L1157" s="126"/>
      <c r="M1157" s="125"/>
      <c r="N1157" s="126"/>
    </row>
    <row r="1158" spans="1:14" x14ac:dyDescent="0.35">
      <c r="A1158" s="126"/>
      <c r="B1158" s="127"/>
      <c r="C1158" s="126"/>
      <c r="D1158" s="126"/>
      <c r="E1158" s="128"/>
      <c r="F1158" s="128"/>
      <c r="G1158" s="126"/>
      <c r="H1158" s="126"/>
      <c r="I1158" s="126"/>
      <c r="J1158" s="126"/>
      <c r="K1158" s="126"/>
      <c r="L1158" s="126"/>
      <c r="M1158" s="125"/>
      <c r="N1158" s="126"/>
    </row>
    <row r="1159" spans="1:14" x14ac:dyDescent="0.35">
      <c r="A1159" s="126"/>
      <c r="B1159" s="127"/>
      <c r="C1159" s="126"/>
      <c r="D1159" s="126"/>
      <c r="E1159" s="128"/>
      <c r="F1159" s="128"/>
      <c r="G1159" s="126"/>
      <c r="H1159" s="126"/>
      <c r="I1159" s="126"/>
      <c r="J1159" s="126"/>
      <c r="K1159" s="126"/>
      <c r="L1159" s="126"/>
      <c r="M1159" s="125"/>
      <c r="N1159" s="126"/>
    </row>
    <row r="1160" spans="1:14" x14ac:dyDescent="0.35">
      <c r="A1160" s="126"/>
      <c r="B1160" s="127"/>
      <c r="C1160" s="126"/>
      <c r="D1160" s="126"/>
      <c r="E1160" s="128"/>
      <c r="F1160" s="128"/>
      <c r="G1160" s="126"/>
      <c r="H1160" s="126"/>
      <c r="I1160" s="126"/>
      <c r="J1160" s="126"/>
      <c r="K1160" s="126"/>
      <c r="L1160" s="126"/>
      <c r="M1160" s="125"/>
      <c r="N1160" s="126"/>
    </row>
    <row r="1161" spans="1:14" x14ac:dyDescent="0.35">
      <c r="A1161" s="126"/>
      <c r="B1161" s="127"/>
      <c r="C1161" s="126"/>
      <c r="D1161" s="126"/>
      <c r="E1161" s="128"/>
      <c r="F1161" s="128"/>
      <c r="G1161" s="126"/>
      <c r="H1161" s="126"/>
      <c r="I1161" s="126"/>
      <c r="J1161" s="126"/>
      <c r="K1161" s="126"/>
      <c r="L1161" s="126"/>
      <c r="M1161" s="125"/>
      <c r="N1161" s="126"/>
    </row>
    <row r="1162" spans="1:14" x14ac:dyDescent="0.35">
      <c r="A1162" s="126"/>
      <c r="B1162" s="127"/>
      <c r="C1162" s="126"/>
      <c r="D1162" s="126"/>
      <c r="E1162" s="128"/>
      <c r="F1162" s="128"/>
      <c r="G1162" s="126"/>
      <c r="H1162" s="126"/>
      <c r="I1162" s="126"/>
      <c r="J1162" s="126"/>
      <c r="K1162" s="126"/>
      <c r="L1162" s="126"/>
      <c r="M1162" s="125"/>
      <c r="N1162" s="126"/>
    </row>
    <row r="1163" spans="1:14" x14ac:dyDescent="0.35">
      <c r="A1163" s="126"/>
      <c r="B1163" s="127"/>
      <c r="C1163" s="126"/>
      <c r="D1163" s="126"/>
      <c r="E1163" s="128"/>
      <c r="F1163" s="128"/>
      <c r="G1163" s="126"/>
      <c r="H1163" s="126"/>
      <c r="I1163" s="126"/>
      <c r="J1163" s="126"/>
      <c r="K1163" s="126"/>
      <c r="L1163" s="126"/>
      <c r="M1163" s="125"/>
      <c r="N1163" s="126"/>
    </row>
    <row r="1164" spans="1:14" x14ac:dyDescent="0.35">
      <c r="A1164" s="126"/>
      <c r="B1164" s="127"/>
      <c r="C1164" s="126"/>
      <c r="D1164" s="126"/>
      <c r="E1164" s="128"/>
      <c r="F1164" s="128"/>
      <c r="G1164" s="126"/>
      <c r="H1164" s="126"/>
      <c r="I1164" s="126"/>
      <c r="J1164" s="126"/>
      <c r="K1164" s="126"/>
      <c r="L1164" s="126"/>
      <c r="M1164" s="125"/>
      <c r="N1164" s="126"/>
    </row>
    <row r="1165" spans="1:14" x14ac:dyDescent="0.35">
      <c r="A1165" s="126"/>
      <c r="B1165" s="127"/>
      <c r="C1165" s="126"/>
      <c r="D1165" s="126"/>
      <c r="E1165" s="128"/>
      <c r="F1165" s="128"/>
      <c r="G1165" s="126"/>
      <c r="H1165" s="126"/>
      <c r="I1165" s="126"/>
      <c r="J1165" s="126"/>
      <c r="K1165" s="126"/>
      <c r="L1165" s="126"/>
      <c r="M1165" s="125"/>
      <c r="N1165" s="126"/>
    </row>
    <row r="1166" spans="1:14" x14ac:dyDescent="0.35">
      <c r="A1166" s="126"/>
      <c r="B1166" s="127"/>
      <c r="C1166" s="126"/>
      <c r="D1166" s="126"/>
      <c r="E1166" s="128"/>
      <c r="F1166" s="128"/>
      <c r="G1166" s="126"/>
      <c r="H1166" s="126"/>
      <c r="I1166" s="126"/>
      <c r="J1166" s="126"/>
      <c r="K1166" s="126"/>
      <c r="L1166" s="126"/>
      <c r="M1166" s="125"/>
      <c r="N1166" s="126"/>
    </row>
    <row r="1167" spans="1:14" x14ac:dyDescent="0.35">
      <c r="A1167" s="126"/>
      <c r="B1167" s="127"/>
      <c r="C1167" s="126"/>
      <c r="D1167" s="126"/>
      <c r="E1167" s="128"/>
      <c r="F1167" s="128"/>
      <c r="G1167" s="126"/>
      <c r="H1167" s="126"/>
      <c r="I1167" s="126"/>
      <c r="J1167" s="126"/>
      <c r="K1167" s="126"/>
      <c r="L1167" s="126"/>
      <c r="M1167" s="125"/>
      <c r="N1167" s="126"/>
    </row>
    <row r="1168" spans="1:14" x14ac:dyDescent="0.35">
      <c r="A1168" s="126"/>
      <c r="B1168" s="127"/>
      <c r="C1168" s="126"/>
      <c r="D1168" s="126"/>
      <c r="E1168" s="128"/>
      <c r="F1168" s="128"/>
      <c r="G1168" s="126"/>
      <c r="H1168" s="126"/>
      <c r="I1168" s="126"/>
      <c r="J1168" s="126"/>
      <c r="K1168" s="126"/>
      <c r="L1168" s="126"/>
      <c r="M1168" s="125"/>
      <c r="N1168" s="126"/>
    </row>
    <row r="1169" spans="1:14" x14ac:dyDescent="0.35">
      <c r="A1169" s="126"/>
      <c r="B1169" s="127"/>
      <c r="C1169" s="126"/>
      <c r="D1169" s="126"/>
      <c r="E1169" s="128"/>
      <c r="F1169" s="128"/>
      <c r="G1169" s="126"/>
      <c r="H1169" s="126"/>
      <c r="I1169" s="126"/>
      <c r="J1169" s="126"/>
      <c r="K1169" s="126"/>
      <c r="L1169" s="126"/>
      <c r="M1169" s="125"/>
      <c r="N1169" s="126"/>
    </row>
    <row r="1170" spans="1:14" x14ac:dyDescent="0.35">
      <c r="A1170" s="126"/>
      <c r="B1170" s="127"/>
      <c r="C1170" s="126"/>
      <c r="D1170" s="126"/>
      <c r="E1170" s="128"/>
      <c r="F1170" s="128"/>
      <c r="G1170" s="126"/>
      <c r="H1170" s="126"/>
      <c r="I1170" s="126"/>
      <c r="J1170" s="126"/>
      <c r="K1170" s="126"/>
      <c r="L1170" s="126"/>
      <c r="M1170" s="125"/>
      <c r="N1170" s="126"/>
    </row>
    <row r="1171" spans="1:14" x14ac:dyDescent="0.35">
      <c r="A1171" s="126"/>
      <c r="B1171" s="127"/>
      <c r="C1171" s="126"/>
      <c r="D1171" s="126"/>
      <c r="E1171" s="128"/>
      <c r="F1171" s="128"/>
      <c r="G1171" s="126"/>
      <c r="H1171" s="126"/>
      <c r="I1171" s="126"/>
      <c r="J1171" s="126"/>
      <c r="K1171" s="126"/>
      <c r="L1171" s="126"/>
      <c r="M1171" s="125"/>
      <c r="N1171" s="126"/>
    </row>
    <row r="1172" spans="1:14" x14ac:dyDescent="0.35">
      <c r="A1172" s="126"/>
      <c r="B1172" s="127"/>
      <c r="C1172" s="126"/>
      <c r="D1172" s="126"/>
      <c r="E1172" s="128"/>
      <c r="F1172" s="128"/>
      <c r="G1172" s="126"/>
      <c r="H1172" s="126"/>
      <c r="I1172" s="126"/>
      <c r="J1172" s="126"/>
      <c r="K1172" s="126"/>
      <c r="L1172" s="126"/>
      <c r="M1172" s="125"/>
      <c r="N1172" s="126"/>
    </row>
    <row r="1173" spans="1:14" x14ac:dyDescent="0.35">
      <c r="A1173" s="126"/>
      <c r="B1173" s="127"/>
      <c r="C1173" s="126"/>
      <c r="D1173" s="126"/>
      <c r="E1173" s="128"/>
      <c r="F1173" s="128"/>
      <c r="G1173" s="126"/>
      <c r="H1173" s="126"/>
      <c r="I1173" s="126"/>
      <c r="J1173" s="126"/>
      <c r="K1173" s="126"/>
      <c r="L1173" s="126"/>
      <c r="M1173" s="125"/>
      <c r="N1173" s="126"/>
    </row>
    <row r="1174" spans="1:14" x14ac:dyDescent="0.35">
      <c r="A1174" s="126"/>
      <c r="B1174" s="127"/>
      <c r="C1174" s="126"/>
      <c r="D1174" s="126"/>
      <c r="E1174" s="128"/>
      <c r="F1174" s="128"/>
      <c r="G1174" s="126"/>
      <c r="H1174" s="126"/>
      <c r="I1174" s="126"/>
      <c r="J1174" s="126"/>
      <c r="K1174" s="126"/>
      <c r="L1174" s="126"/>
      <c r="M1174" s="125"/>
      <c r="N1174" s="126"/>
    </row>
    <row r="1175" spans="1:14" x14ac:dyDescent="0.35">
      <c r="A1175" s="126"/>
      <c r="B1175" s="127"/>
      <c r="C1175" s="126"/>
      <c r="D1175" s="126"/>
      <c r="E1175" s="128"/>
      <c r="F1175" s="128"/>
      <c r="G1175" s="126"/>
      <c r="H1175" s="126"/>
      <c r="I1175" s="126"/>
      <c r="J1175" s="126"/>
      <c r="K1175" s="126"/>
      <c r="L1175" s="126"/>
      <c r="M1175" s="125"/>
      <c r="N1175" s="126"/>
    </row>
    <row r="1176" spans="1:14" x14ac:dyDescent="0.35">
      <c r="A1176" s="126"/>
      <c r="B1176" s="127"/>
      <c r="C1176" s="126"/>
      <c r="D1176" s="126"/>
      <c r="E1176" s="128"/>
      <c r="F1176" s="128"/>
      <c r="G1176" s="126"/>
      <c r="H1176" s="126"/>
      <c r="I1176" s="126"/>
      <c r="J1176" s="126"/>
      <c r="K1176" s="126"/>
      <c r="L1176" s="126"/>
      <c r="M1176" s="125"/>
      <c r="N1176" s="126"/>
    </row>
    <row r="1177" spans="1:14" x14ac:dyDescent="0.35">
      <c r="A1177" s="126"/>
      <c r="B1177" s="127"/>
      <c r="C1177" s="126"/>
      <c r="D1177" s="126"/>
      <c r="E1177" s="128"/>
      <c r="F1177" s="128"/>
      <c r="G1177" s="126"/>
      <c r="H1177" s="126"/>
      <c r="I1177" s="126"/>
      <c r="J1177" s="126"/>
      <c r="K1177" s="126"/>
      <c r="L1177" s="126"/>
      <c r="M1177" s="125"/>
      <c r="N1177" s="126"/>
    </row>
    <row r="1178" spans="1:14" x14ac:dyDescent="0.35">
      <c r="A1178" s="126"/>
      <c r="B1178" s="127"/>
      <c r="C1178" s="126"/>
      <c r="D1178" s="126"/>
      <c r="E1178" s="128"/>
      <c r="F1178" s="128"/>
      <c r="G1178" s="126"/>
      <c r="H1178" s="126"/>
      <c r="I1178" s="126"/>
      <c r="J1178" s="126"/>
      <c r="K1178" s="126"/>
      <c r="L1178" s="126"/>
      <c r="M1178" s="125"/>
      <c r="N1178" s="126"/>
    </row>
    <row r="1179" spans="1:14" x14ac:dyDescent="0.35">
      <c r="A1179" s="126"/>
      <c r="B1179" s="127"/>
      <c r="C1179" s="126"/>
      <c r="D1179" s="126"/>
      <c r="E1179" s="128"/>
      <c r="F1179" s="128"/>
      <c r="G1179" s="126"/>
      <c r="H1179" s="126"/>
      <c r="I1179" s="126"/>
      <c r="J1179" s="126"/>
      <c r="K1179" s="126"/>
      <c r="L1179" s="126"/>
      <c r="M1179" s="125"/>
      <c r="N1179" s="126"/>
    </row>
    <row r="1180" spans="1:14" x14ac:dyDescent="0.35">
      <c r="A1180" s="126"/>
      <c r="B1180" s="127"/>
      <c r="C1180" s="126"/>
      <c r="D1180" s="126"/>
      <c r="E1180" s="128"/>
      <c r="F1180" s="128"/>
      <c r="G1180" s="126"/>
      <c r="H1180" s="126"/>
      <c r="I1180" s="126"/>
      <c r="J1180" s="126"/>
      <c r="K1180" s="126"/>
      <c r="L1180" s="126"/>
      <c r="M1180" s="125"/>
      <c r="N1180" s="126"/>
    </row>
    <row r="1181" spans="1:14" x14ac:dyDescent="0.35">
      <c r="A1181" s="126"/>
      <c r="B1181" s="127"/>
      <c r="C1181" s="126"/>
      <c r="D1181" s="126"/>
      <c r="E1181" s="128"/>
      <c r="F1181" s="128"/>
      <c r="G1181" s="126"/>
      <c r="H1181" s="126"/>
      <c r="I1181" s="126"/>
      <c r="J1181" s="126"/>
      <c r="K1181" s="126"/>
      <c r="L1181" s="126"/>
      <c r="M1181" s="125"/>
      <c r="N1181" s="126"/>
    </row>
    <row r="1182" spans="1:14" x14ac:dyDescent="0.35">
      <c r="A1182" s="126"/>
      <c r="B1182" s="127"/>
      <c r="C1182" s="126"/>
      <c r="D1182" s="126"/>
      <c r="E1182" s="128"/>
      <c r="F1182" s="128"/>
      <c r="G1182" s="126"/>
      <c r="H1182" s="126"/>
      <c r="I1182" s="126"/>
      <c r="J1182" s="126"/>
      <c r="K1182" s="126"/>
      <c r="L1182" s="126"/>
      <c r="M1182" s="125"/>
      <c r="N1182" s="126"/>
    </row>
    <row r="1183" spans="1:14" x14ac:dyDescent="0.35">
      <c r="A1183" s="126"/>
      <c r="B1183" s="127"/>
      <c r="C1183" s="126"/>
      <c r="D1183" s="126"/>
      <c r="E1183" s="128"/>
      <c r="F1183" s="128"/>
      <c r="G1183" s="126"/>
      <c r="H1183" s="126"/>
      <c r="I1183" s="126"/>
      <c r="J1183" s="126"/>
      <c r="K1183" s="126"/>
      <c r="L1183" s="126"/>
      <c r="M1183" s="125"/>
      <c r="N1183" s="126"/>
    </row>
    <row r="1184" spans="1:14" x14ac:dyDescent="0.35">
      <c r="A1184" s="126"/>
      <c r="B1184" s="127"/>
      <c r="C1184" s="126"/>
      <c r="D1184" s="126"/>
      <c r="E1184" s="128"/>
      <c r="F1184" s="128"/>
      <c r="G1184" s="126"/>
      <c r="H1184" s="126"/>
      <c r="I1184" s="126"/>
      <c r="J1184" s="126"/>
      <c r="K1184" s="126"/>
      <c r="L1184" s="126"/>
      <c r="M1184" s="125"/>
      <c r="N1184" s="126"/>
    </row>
    <row r="1185" spans="1:14" x14ac:dyDescent="0.35">
      <c r="A1185" s="126"/>
      <c r="B1185" s="127"/>
      <c r="C1185" s="126"/>
      <c r="D1185" s="126"/>
      <c r="E1185" s="128"/>
      <c r="F1185" s="128"/>
      <c r="G1185" s="126"/>
      <c r="H1185" s="126"/>
      <c r="I1185" s="126"/>
      <c r="J1185" s="126"/>
      <c r="K1185" s="126"/>
      <c r="L1185" s="126"/>
      <c r="M1185" s="125"/>
      <c r="N1185" s="126"/>
    </row>
    <row r="1186" spans="1:14" x14ac:dyDescent="0.35">
      <c r="A1186" s="126"/>
      <c r="B1186" s="127"/>
      <c r="C1186" s="126"/>
      <c r="D1186" s="126"/>
      <c r="E1186" s="128"/>
      <c r="F1186" s="128"/>
      <c r="G1186" s="126"/>
      <c r="H1186" s="126"/>
      <c r="I1186" s="126"/>
      <c r="J1186" s="126"/>
      <c r="K1186" s="126"/>
      <c r="L1186" s="126"/>
      <c r="M1186" s="125"/>
      <c r="N1186" s="126"/>
    </row>
    <row r="1187" spans="1:14" x14ac:dyDescent="0.35">
      <c r="A1187" s="126"/>
      <c r="B1187" s="127"/>
      <c r="C1187" s="126"/>
      <c r="D1187" s="126"/>
      <c r="E1187" s="128"/>
      <c r="F1187" s="128"/>
      <c r="G1187" s="126"/>
      <c r="H1187" s="126"/>
      <c r="I1187" s="126"/>
      <c r="J1187" s="126"/>
      <c r="K1187" s="126"/>
      <c r="L1187" s="126"/>
      <c r="M1187" s="125"/>
      <c r="N1187" s="126"/>
    </row>
    <row r="1188" spans="1:14" x14ac:dyDescent="0.35">
      <c r="A1188" s="126"/>
      <c r="B1188" s="127"/>
      <c r="C1188" s="126"/>
      <c r="D1188" s="126"/>
      <c r="E1188" s="128"/>
      <c r="F1188" s="128"/>
      <c r="G1188" s="126"/>
      <c r="H1188" s="126"/>
      <c r="I1188" s="126"/>
      <c r="J1188" s="126"/>
      <c r="K1188" s="126"/>
      <c r="L1188" s="126"/>
      <c r="M1188" s="125"/>
      <c r="N1188" s="126"/>
    </row>
    <row r="1189" spans="1:14" x14ac:dyDescent="0.35">
      <c r="A1189" s="126"/>
      <c r="B1189" s="127"/>
      <c r="C1189" s="126"/>
      <c r="D1189" s="126"/>
      <c r="E1189" s="128"/>
      <c r="F1189" s="128"/>
      <c r="G1189" s="126"/>
      <c r="H1189" s="126"/>
      <c r="I1189" s="126"/>
      <c r="J1189" s="126"/>
      <c r="K1189" s="126"/>
      <c r="L1189" s="126"/>
      <c r="M1189" s="125"/>
      <c r="N1189" s="126"/>
    </row>
    <row r="1190" spans="1:14" x14ac:dyDescent="0.35">
      <c r="A1190" s="126"/>
      <c r="B1190" s="127"/>
      <c r="C1190" s="126"/>
      <c r="D1190" s="126"/>
      <c r="E1190" s="128"/>
      <c r="F1190" s="128"/>
      <c r="G1190" s="126"/>
      <c r="H1190" s="126"/>
      <c r="I1190" s="126"/>
      <c r="J1190" s="126"/>
      <c r="K1190" s="126"/>
      <c r="L1190" s="126"/>
      <c r="M1190" s="125"/>
      <c r="N1190" s="126"/>
    </row>
    <row r="1191" spans="1:14" x14ac:dyDescent="0.35">
      <c r="A1191" s="126"/>
      <c r="B1191" s="127"/>
      <c r="C1191" s="126"/>
      <c r="D1191" s="126"/>
      <c r="E1191" s="128"/>
      <c r="F1191" s="128"/>
      <c r="G1191" s="126"/>
      <c r="H1191" s="126"/>
      <c r="I1191" s="126"/>
      <c r="J1191" s="126"/>
      <c r="K1191" s="126"/>
      <c r="L1191" s="126"/>
      <c r="M1191" s="125"/>
      <c r="N1191" s="126"/>
    </row>
    <row r="1192" spans="1:14" x14ac:dyDescent="0.35">
      <c r="A1192" s="126"/>
      <c r="B1192" s="127"/>
      <c r="C1192" s="126"/>
      <c r="D1192" s="126"/>
      <c r="E1192" s="128"/>
      <c r="F1192" s="128"/>
      <c r="G1192" s="126"/>
      <c r="H1192" s="126"/>
      <c r="I1192" s="126"/>
      <c r="J1192" s="126"/>
      <c r="K1192" s="126"/>
      <c r="L1192" s="126"/>
      <c r="M1192" s="125"/>
      <c r="N1192" s="126"/>
    </row>
    <row r="1193" spans="1:14" x14ac:dyDescent="0.35">
      <c r="A1193" s="126"/>
      <c r="B1193" s="127"/>
      <c r="C1193" s="126"/>
      <c r="D1193" s="126"/>
      <c r="E1193" s="128"/>
      <c r="F1193" s="128"/>
      <c r="G1193" s="126"/>
      <c r="H1193" s="126"/>
      <c r="I1193" s="126"/>
      <c r="J1193" s="126"/>
      <c r="K1193" s="126"/>
      <c r="L1193" s="126"/>
      <c r="M1193" s="125"/>
      <c r="N1193" s="126"/>
    </row>
    <row r="1194" spans="1:14" x14ac:dyDescent="0.35">
      <c r="A1194" s="126"/>
      <c r="B1194" s="127"/>
      <c r="C1194" s="126"/>
      <c r="D1194" s="126"/>
      <c r="E1194" s="128"/>
      <c r="F1194" s="128"/>
      <c r="G1194" s="126"/>
      <c r="H1194" s="126"/>
      <c r="I1194" s="126"/>
      <c r="J1194" s="126"/>
      <c r="K1194" s="126"/>
      <c r="L1194" s="126"/>
      <c r="M1194" s="125"/>
      <c r="N1194" s="126"/>
    </row>
    <row r="1195" spans="1:14" x14ac:dyDescent="0.35">
      <c r="A1195" s="126"/>
      <c r="B1195" s="127"/>
      <c r="C1195" s="126"/>
      <c r="D1195" s="126"/>
      <c r="E1195" s="128"/>
      <c r="F1195" s="128"/>
      <c r="G1195" s="126"/>
      <c r="H1195" s="126"/>
      <c r="I1195" s="126"/>
      <c r="J1195" s="126"/>
      <c r="K1195" s="126"/>
      <c r="L1195" s="126"/>
      <c r="M1195" s="125"/>
      <c r="N1195" s="126"/>
    </row>
    <row r="1196" spans="1:14" x14ac:dyDescent="0.35">
      <c r="A1196" s="126"/>
      <c r="B1196" s="127"/>
      <c r="C1196" s="126"/>
      <c r="D1196" s="126"/>
      <c r="E1196" s="128"/>
      <c r="F1196" s="128"/>
      <c r="G1196" s="126"/>
      <c r="H1196" s="126"/>
      <c r="I1196" s="126"/>
      <c r="J1196" s="126"/>
      <c r="K1196" s="126"/>
      <c r="L1196" s="126"/>
      <c r="M1196" s="125"/>
      <c r="N1196" s="126"/>
    </row>
    <row r="1197" spans="1:14" x14ac:dyDescent="0.35">
      <c r="A1197" s="126"/>
      <c r="B1197" s="127"/>
      <c r="C1197" s="126"/>
      <c r="D1197" s="126"/>
      <c r="E1197" s="128"/>
      <c r="F1197" s="128"/>
      <c r="G1197" s="126"/>
      <c r="H1197" s="126"/>
      <c r="I1197" s="126"/>
      <c r="J1197" s="126"/>
      <c r="K1197" s="126"/>
      <c r="L1197" s="126"/>
      <c r="M1197" s="125"/>
      <c r="N1197" s="126"/>
    </row>
    <row r="1198" spans="1:14" x14ac:dyDescent="0.35">
      <c r="A1198" s="126"/>
      <c r="B1198" s="127"/>
      <c r="C1198" s="126"/>
      <c r="D1198" s="126"/>
      <c r="E1198" s="128"/>
      <c r="F1198" s="128"/>
      <c r="G1198" s="126"/>
      <c r="H1198" s="126"/>
      <c r="I1198" s="126"/>
      <c r="J1198" s="126"/>
      <c r="K1198" s="126"/>
      <c r="L1198" s="126"/>
      <c r="M1198" s="125"/>
      <c r="N1198" s="126"/>
    </row>
    <row r="1199" spans="1:14" x14ac:dyDescent="0.35">
      <c r="A1199" s="126"/>
      <c r="B1199" s="127"/>
      <c r="C1199" s="126"/>
      <c r="D1199" s="126"/>
      <c r="E1199" s="128"/>
      <c r="F1199" s="128"/>
      <c r="G1199" s="126"/>
      <c r="H1199" s="126"/>
      <c r="I1199" s="126"/>
      <c r="J1199" s="126"/>
      <c r="K1199" s="126"/>
      <c r="L1199" s="126"/>
      <c r="M1199" s="125"/>
      <c r="N1199" s="126"/>
    </row>
    <row r="1200" spans="1:14" x14ac:dyDescent="0.35">
      <c r="A1200" s="126"/>
      <c r="B1200" s="127"/>
      <c r="C1200" s="126"/>
      <c r="D1200" s="126"/>
      <c r="E1200" s="128"/>
      <c r="F1200" s="128"/>
      <c r="G1200" s="126"/>
      <c r="H1200" s="126"/>
      <c r="I1200" s="126"/>
      <c r="J1200" s="126"/>
      <c r="K1200" s="126"/>
      <c r="L1200" s="126"/>
      <c r="M1200" s="125"/>
      <c r="N1200" s="126"/>
    </row>
    <row r="1201" spans="1:14" x14ac:dyDescent="0.35">
      <c r="A1201" s="126"/>
      <c r="B1201" s="127"/>
      <c r="C1201" s="126"/>
      <c r="D1201" s="126"/>
      <c r="E1201" s="128"/>
      <c r="F1201" s="128"/>
      <c r="G1201" s="126"/>
      <c r="H1201" s="126"/>
      <c r="I1201" s="126"/>
      <c r="J1201" s="126"/>
      <c r="K1201" s="126"/>
      <c r="L1201" s="126"/>
      <c r="M1201" s="125"/>
      <c r="N1201" s="126"/>
    </row>
    <row r="1202" spans="1:14" x14ac:dyDescent="0.35">
      <c r="A1202" s="126"/>
      <c r="B1202" s="127"/>
      <c r="C1202" s="126"/>
      <c r="D1202" s="126"/>
      <c r="E1202" s="128"/>
      <c r="F1202" s="128"/>
      <c r="G1202" s="126"/>
      <c r="H1202" s="126"/>
      <c r="I1202" s="126"/>
      <c r="J1202" s="126"/>
      <c r="K1202" s="126"/>
      <c r="L1202" s="126"/>
      <c r="M1202" s="125"/>
      <c r="N1202" s="126"/>
    </row>
    <row r="1203" spans="1:14" x14ac:dyDescent="0.35">
      <c r="A1203" s="126"/>
      <c r="B1203" s="127"/>
      <c r="C1203" s="126"/>
      <c r="D1203" s="126"/>
      <c r="E1203" s="128"/>
      <c r="F1203" s="128"/>
      <c r="G1203" s="126"/>
      <c r="H1203" s="126"/>
      <c r="I1203" s="126"/>
      <c r="J1203" s="126"/>
      <c r="K1203" s="126"/>
      <c r="L1203" s="126"/>
      <c r="M1203" s="125"/>
      <c r="N1203" s="126"/>
    </row>
    <row r="1204" spans="1:14" x14ac:dyDescent="0.35">
      <c r="A1204" s="126"/>
      <c r="B1204" s="127"/>
      <c r="C1204" s="126"/>
      <c r="D1204" s="126"/>
      <c r="E1204" s="128"/>
      <c r="F1204" s="128"/>
      <c r="G1204" s="126"/>
      <c r="H1204" s="126"/>
      <c r="I1204" s="126"/>
      <c r="J1204" s="126"/>
      <c r="K1204" s="126"/>
      <c r="L1204" s="126"/>
      <c r="M1204" s="125"/>
      <c r="N1204" s="126"/>
    </row>
    <row r="1205" spans="1:14" x14ac:dyDescent="0.35">
      <c r="A1205" s="126"/>
      <c r="B1205" s="127"/>
      <c r="C1205" s="126"/>
      <c r="D1205" s="126"/>
      <c r="E1205" s="128"/>
      <c r="F1205" s="128"/>
      <c r="G1205" s="126"/>
      <c r="H1205" s="126"/>
      <c r="I1205" s="126"/>
      <c r="J1205" s="126"/>
      <c r="K1205" s="126"/>
      <c r="L1205" s="126"/>
      <c r="M1205" s="125"/>
      <c r="N1205" s="126"/>
    </row>
    <row r="1206" spans="1:14" x14ac:dyDescent="0.35">
      <c r="A1206" s="126"/>
      <c r="B1206" s="127"/>
      <c r="C1206" s="126"/>
      <c r="D1206" s="126"/>
      <c r="E1206" s="128"/>
      <c r="F1206" s="128"/>
      <c r="G1206" s="126"/>
      <c r="H1206" s="126"/>
      <c r="I1206" s="126"/>
      <c r="J1206" s="126"/>
      <c r="K1206" s="126"/>
      <c r="L1206" s="126"/>
      <c r="M1206" s="125"/>
      <c r="N1206" s="126"/>
    </row>
    <row r="1207" spans="1:14" x14ac:dyDescent="0.35">
      <c r="A1207" s="126"/>
      <c r="B1207" s="127"/>
      <c r="C1207" s="126"/>
      <c r="D1207" s="126"/>
      <c r="E1207" s="128"/>
      <c r="F1207" s="128"/>
      <c r="G1207" s="126"/>
      <c r="H1207" s="126"/>
      <c r="I1207" s="126"/>
      <c r="J1207" s="126"/>
      <c r="K1207" s="126"/>
      <c r="L1207" s="126"/>
      <c r="M1207" s="125"/>
      <c r="N1207" s="126"/>
    </row>
    <row r="1208" spans="1:14" x14ac:dyDescent="0.35">
      <c r="A1208" s="126"/>
      <c r="B1208" s="127"/>
      <c r="C1208" s="126"/>
      <c r="D1208" s="126"/>
      <c r="E1208" s="128"/>
      <c r="F1208" s="128"/>
      <c r="G1208" s="126"/>
      <c r="H1208" s="126"/>
      <c r="I1208" s="126"/>
      <c r="J1208" s="126"/>
      <c r="K1208" s="126"/>
      <c r="L1208" s="126"/>
      <c r="M1208" s="125"/>
      <c r="N1208" s="126"/>
    </row>
    <row r="1209" spans="1:14" x14ac:dyDescent="0.35">
      <c r="A1209" s="126"/>
      <c r="B1209" s="127"/>
      <c r="C1209" s="126"/>
      <c r="D1209" s="126"/>
      <c r="E1209" s="128"/>
      <c r="F1209" s="128"/>
      <c r="G1209" s="126"/>
      <c r="H1209" s="126"/>
      <c r="I1209" s="126"/>
      <c r="J1209" s="126"/>
      <c r="K1209" s="126"/>
      <c r="L1209" s="126"/>
      <c r="M1209" s="125"/>
      <c r="N1209" s="126"/>
    </row>
    <row r="1210" spans="1:14" x14ac:dyDescent="0.35">
      <c r="A1210" s="126"/>
      <c r="B1210" s="127"/>
      <c r="C1210" s="126"/>
      <c r="D1210" s="126"/>
      <c r="E1210" s="128"/>
      <c r="F1210" s="128"/>
      <c r="G1210" s="126"/>
      <c r="H1210" s="126"/>
      <c r="I1210" s="126"/>
      <c r="J1210" s="126"/>
      <c r="K1210" s="126"/>
      <c r="L1210" s="126"/>
      <c r="M1210" s="125"/>
      <c r="N1210" s="126"/>
    </row>
    <row r="1211" spans="1:14" x14ac:dyDescent="0.35">
      <c r="A1211" s="126"/>
      <c r="B1211" s="127"/>
      <c r="C1211" s="126"/>
      <c r="D1211" s="126"/>
      <c r="E1211" s="128"/>
      <c r="F1211" s="128"/>
      <c r="G1211" s="126"/>
      <c r="H1211" s="126"/>
      <c r="I1211" s="126"/>
      <c r="J1211" s="126"/>
      <c r="K1211" s="126"/>
      <c r="L1211" s="126"/>
      <c r="M1211" s="125"/>
      <c r="N1211" s="126"/>
    </row>
    <row r="1212" spans="1:14" x14ac:dyDescent="0.35">
      <c r="A1212" s="126"/>
      <c r="B1212" s="127"/>
      <c r="C1212" s="126"/>
      <c r="D1212" s="126"/>
      <c r="E1212" s="128"/>
      <c r="F1212" s="128"/>
      <c r="G1212" s="126"/>
      <c r="H1212" s="126"/>
      <c r="I1212" s="126"/>
      <c r="J1212" s="126"/>
      <c r="K1212" s="126"/>
      <c r="L1212" s="126"/>
      <c r="M1212" s="125"/>
      <c r="N1212" s="126"/>
    </row>
    <row r="1213" spans="1:14" x14ac:dyDescent="0.35">
      <c r="A1213" s="126"/>
      <c r="B1213" s="127"/>
      <c r="C1213" s="126"/>
      <c r="D1213" s="126"/>
      <c r="E1213" s="128"/>
      <c r="F1213" s="128"/>
      <c r="G1213" s="126"/>
      <c r="H1213" s="126"/>
      <c r="I1213" s="126"/>
      <c r="J1213" s="126"/>
      <c r="K1213" s="126"/>
      <c r="L1213" s="126"/>
      <c r="M1213" s="125"/>
      <c r="N1213" s="126"/>
    </row>
    <row r="1214" spans="1:14" x14ac:dyDescent="0.35">
      <c r="A1214" s="126"/>
      <c r="B1214" s="127"/>
      <c r="C1214" s="126"/>
      <c r="D1214" s="126"/>
      <c r="E1214" s="128"/>
      <c r="F1214" s="128"/>
      <c r="G1214" s="126"/>
      <c r="H1214" s="126"/>
      <c r="I1214" s="126"/>
      <c r="J1214" s="126"/>
      <c r="K1214" s="126"/>
      <c r="L1214" s="126"/>
      <c r="M1214" s="125"/>
      <c r="N1214" s="126"/>
    </row>
    <row r="1215" spans="1:14" x14ac:dyDescent="0.35">
      <c r="A1215" s="126"/>
      <c r="B1215" s="127"/>
      <c r="C1215" s="126"/>
      <c r="D1215" s="126"/>
      <c r="E1215" s="128"/>
      <c r="F1215" s="128"/>
      <c r="G1215" s="126"/>
      <c r="H1215" s="126"/>
      <c r="I1215" s="126"/>
      <c r="J1215" s="126"/>
      <c r="K1215" s="126"/>
      <c r="L1215" s="126"/>
      <c r="M1215" s="125"/>
      <c r="N1215" s="126"/>
    </row>
    <row r="1216" spans="1:14" x14ac:dyDescent="0.35">
      <c r="A1216" s="126"/>
      <c r="B1216" s="127"/>
      <c r="C1216" s="126"/>
      <c r="D1216" s="126"/>
      <c r="E1216" s="128"/>
      <c r="F1216" s="128"/>
      <c r="G1216" s="126"/>
      <c r="H1216" s="126"/>
      <c r="I1216" s="126"/>
      <c r="J1216" s="126"/>
      <c r="K1216" s="126"/>
      <c r="L1216" s="126"/>
      <c r="M1216" s="125"/>
      <c r="N1216" s="126"/>
    </row>
    <row r="1217" spans="1:14" x14ac:dyDescent="0.35">
      <c r="A1217" s="126"/>
      <c r="B1217" s="127"/>
      <c r="C1217" s="126"/>
      <c r="D1217" s="126"/>
      <c r="E1217" s="128"/>
      <c r="F1217" s="128"/>
      <c r="G1217" s="126"/>
      <c r="H1217" s="126"/>
      <c r="I1217" s="126"/>
      <c r="J1217" s="126"/>
      <c r="K1217" s="126"/>
      <c r="L1217" s="126"/>
      <c r="M1217" s="125"/>
      <c r="N1217" s="126"/>
    </row>
    <row r="1218" spans="1:14" x14ac:dyDescent="0.35">
      <c r="A1218" s="126"/>
      <c r="B1218" s="127"/>
      <c r="C1218" s="126"/>
      <c r="D1218" s="126"/>
      <c r="E1218" s="128"/>
      <c r="F1218" s="128"/>
      <c r="G1218" s="126"/>
      <c r="H1218" s="126"/>
      <c r="I1218" s="126"/>
      <c r="J1218" s="126"/>
      <c r="K1218" s="126"/>
      <c r="L1218" s="126"/>
      <c r="M1218" s="125"/>
      <c r="N1218" s="126"/>
    </row>
    <row r="1219" spans="1:14" x14ac:dyDescent="0.35">
      <c r="A1219" s="126"/>
      <c r="B1219" s="127"/>
      <c r="C1219" s="126"/>
      <c r="D1219" s="126"/>
      <c r="E1219" s="128"/>
      <c r="F1219" s="128"/>
      <c r="G1219" s="126"/>
      <c r="H1219" s="126"/>
      <c r="I1219" s="126"/>
      <c r="J1219" s="126"/>
      <c r="K1219" s="126"/>
      <c r="L1219" s="126"/>
      <c r="M1219" s="125"/>
      <c r="N1219" s="126"/>
    </row>
    <row r="1220" spans="1:14" x14ac:dyDescent="0.35">
      <c r="A1220" s="126"/>
      <c r="B1220" s="127"/>
      <c r="C1220" s="126"/>
      <c r="D1220" s="126"/>
      <c r="E1220" s="128"/>
      <c r="F1220" s="128"/>
      <c r="G1220" s="126"/>
      <c r="H1220" s="126"/>
      <c r="I1220" s="126"/>
      <c r="J1220" s="126"/>
      <c r="K1220" s="126"/>
      <c r="L1220" s="126"/>
      <c r="M1220" s="125"/>
      <c r="N1220" s="126"/>
    </row>
    <row r="1221" spans="1:14" x14ac:dyDescent="0.35">
      <c r="A1221" s="126"/>
      <c r="B1221" s="127"/>
      <c r="C1221" s="126"/>
      <c r="D1221" s="126"/>
      <c r="E1221" s="128"/>
      <c r="F1221" s="128"/>
      <c r="G1221" s="126"/>
      <c r="H1221" s="126"/>
      <c r="I1221" s="126"/>
      <c r="J1221" s="126"/>
      <c r="K1221" s="126"/>
      <c r="L1221" s="126"/>
      <c r="M1221" s="125"/>
      <c r="N1221" s="126"/>
    </row>
    <row r="1222" spans="1:14" x14ac:dyDescent="0.35">
      <c r="A1222" s="126"/>
      <c r="B1222" s="127"/>
      <c r="C1222" s="126"/>
      <c r="D1222" s="126"/>
      <c r="E1222" s="128"/>
      <c r="F1222" s="128"/>
      <c r="G1222" s="126"/>
      <c r="H1222" s="126"/>
      <c r="I1222" s="126"/>
      <c r="J1222" s="126"/>
      <c r="K1222" s="126"/>
      <c r="L1222" s="126"/>
      <c r="M1222" s="125"/>
      <c r="N1222" s="126"/>
    </row>
    <row r="1223" spans="1:14" x14ac:dyDescent="0.35">
      <c r="A1223" s="126"/>
      <c r="B1223" s="127"/>
      <c r="C1223" s="126"/>
      <c r="D1223" s="126"/>
      <c r="E1223" s="128"/>
      <c r="F1223" s="128"/>
      <c r="G1223" s="126"/>
      <c r="H1223" s="126"/>
      <c r="I1223" s="126"/>
      <c r="J1223" s="126"/>
      <c r="K1223" s="126"/>
      <c r="L1223" s="126"/>
      <c r="M1223" s="125"/>
      <c r="N1223" s="126"/>
    </row>
    <row r="1224" spans="1:14" x14ac:dyDescent="0.35">
      <c r="A1224" s="126"/>
      <c r="B1224" s="127"/>
      <c r="C1224" s="126"/>
      <c r="D1224" s="126"/>
      <c r="E1224" s="128"/>
      <c r="F1224" s="128"/>
      <c r="G1224" s="126"/>
      <c r="H1224" s="126"/>
      <c r="I1224" s="126"/>
      <c r="J1224" s="126"/>
      <c r="K1224" s="126"/>
      <c r="L1224" s="126"/>
      <c r="M1224" s="125"/>
      <c r="N1224" s="126"/>
    </row>
    <row r="1225" spans="1:14" x14ac:dyDescent="0.35">
      <c r="A1225" s="126"/>
      <c r="B1225" s="127"/>
      <c r="C1225" s="126"/>
      <c r="D1225" s="126"/>
      <c r="E1225" s="128"/>
      <c r="F1225" s="128"/>
      <c r="G1225" s="126"/>
      <c r="H1225" s="126"/>
      <c r="I1225" s="126"/>
      <c r="J1225" s="126"/>
      <c r="K1225" s="126"/>
      <c r="L1225" s="126"/>
      <c r="M1225" s="125"/>
      <c r="N1225" s="126"/>
    </row>
    <row r="1226" spans="1:14" x14ac:dyDescent="0.35">
      <c r="A1226" s="126"/>
      <c r="B1226" s="127"/>
      <c r="C1226" s="126"/>
      <c r="D1226" s="126"/>
      <c r="E1226" s="128"/>
      <c r="F1226" s="128"/>
      <c r="G1226" s="126"/>
      <c r="H1226" s="126"/>
      <c r="I1226" s="126"/>
      <c r="J1226" s="126"/>
      <c r="K1226" s="126"/>
      <c r="L1226" s="126"/>
      <c r="M1226" s="125"/>
      <c r="N1226" s="126"/>
    </row>
    <row r="1227" spans="1:14" x14ac:dyDescent="0.35">
      <c r="A1227" s="126"/>
      <c r="B1227" s="127"/>
      <c r="C1227" s="126"/>
      <c r="D1227" s="126"/>
      <c r="E1227" s="128"/>
      <c r="F1227" s="128"/>
      <c r="G1227" s="126"/>
      <c r="H1227" s="126"/>
      <c r="I1227" s="126"/>
      <c r="J1227" s="126"/>
      <c r="K1227" s="126"/>
      <c r="L1227" s="126"/>
      <c r="M1227" s="125"/>
      <c r="N1227" s="126"/>
    </row>
    <row r="1228" spans="1:14" x14ac:dyDescent="0.35">
      <c r="A1228" s="126"/>
      <c r="B1228" s="127"/>
      <c r="C1228" s="126"/>
      <c r="D1228" s="126"/>
      <c r="E1228" s="128"/>
      <c r="F1228" s="128"/>
      <c r="G1228" s="126"/>
      <c r="H1228" s="126"/>
      <c r="I1228" s="126"/>
      <c r="J1228" s="126"/>
      <c r="K1228" s="126"/>
      <c r="L1228" s="126"/>
      <c r="M1228" s="125"/>
      <c r="N1228" s="126"/>
    </row>
    <row r="1229" spans="1:14" x14ac:dyDescent="0.35">
      <c r="A1229" s="126"/>
      <c r="B1229" s="127"/>
      <c r="C1229" s="126"/>
      <c r="D1229" s="126"/>
      <c r="E1229" s="128"/>
      <c r="F1229" s="128"/>
      <c r="G1229" s="126"/>
      <c r="H1229" s="126"/>
      <c r="I1229" s="126"/>
      <c r="J1229" s="126"/>
      <c r="K1229" s="126"/>
      <c r="L1229" s="126"/>
      <c r="M1229" s="125"/>
      <c r="N1229" s="126"/>
    </row>
    <row r="1230" spans="1:14" x14ac:dyDescent="0.35">
      <c r="A1230" s="126"/>
      <c r="B1230" s="127"/>
      <c r="C1230" s="126"/>
      <c r="D1230" s="126"/>
      <c r="E1230" s="128"/>
      <c r="F1230" s="128"/>
      <c r="G1230" s="126"/>
      <c r="H1230" s="126"/>
      <c r="I1230" s="126"/>
      <c r="J1230" s="126"/>
      <c r="K1230" s="126"/>
      <c r="L1230" s="126"/>
      <c r="M1230" s="125"/>
      <c r="N1230" s="126"/>
    </row>
    <row r="1231" spans="1:14" x14ac:dyDescent="0.35">
      <c r="A1231" s="126"/>
      <c r="B1231" s="127"/>
      <c r="C1231" s="126"/>
      <c r="D1231" s="126"/>
      <c r="E1231" s="128"/>
      <c r="F1231" s="128"/>
      <c r="G1231" s="126"/>
      <c r="H1231" s="126"/>
      <c r="I1231" s="126"/>
      <c r="J1231" s="126"/>
      <c r="K1231" s="126"/>
      <c r="L1231" s="126"/>
      <c r="M1231" s="125"/>
      <c r="N1231" s="126"/>
    </row>
    <row r="1232" spans="1:14" x14ac:dyDescent="0.35">
      <c r="A1232" s="126"/>
      <c r="B1232" s="127"/>
      <c r="C1232" s="126"/>
      <c r="D1232" s="126"/>
      <c r="E1232" s="128"/>
      <c r="F1232" s="128"/>
      <c r="G1232" s="126"/>
      <c r="H1232" s="126"/>
      <c r="I1232" s="126"/>
      <c r="J1232" s="126"/>
      <c r="K1232" s="126"/>
      <c r="L1232" s="126"/>
      <c r="M1232" s="125"/>
      <c r="N1232" s="126"/>
    </row>
    <row r="1233" spans="1:14" x14ac:dyDescent="0.35">
      <c r="A1233" s="126"/>
      <c r="B1233" s="127"/>
      <c r="C1233" s="126"/>
      <c r="D1233" s="126"/>
      <c r="E1233" s="128"/>
      <c r="F1233" s="128"/>
      <c r="G1233" s="126"/>
      <c r="H1233" s="126"/>
      <c r="I1233" s="126"/>
      <c r="J1233" s="126"/>
      <c r="K1233" s="126"/>
      <c r="L1233" s="126"/>
      <c r="M1233" s="125"/>
      <c r="N1233" s="126"/>
    </row>
    <row r="1234" spans="1:14" x14ac:dyDescent="0.35">
      <c r="A1234" s="126"/>
      <c r="B1234" s="127"/>
      <c r="C1234" s="126"/>
      <c r="D1234" s="126"/>
      <c r="E1234" s="128"/>
      <c r="F1234" s="128"/>
      <c r="G1234" s="126"/>
      <c r="H1234" s="126"/>
      <c r="I1234" s="126"/>
      <c r="J1234" s="126"/>
      <c r="K1234" s="126"/>
      <c r="L1234" s="126"/>
      <c r="M1234" s="125"/>
      <c r="N1234" s="126"/>
    </row>
    <row r="1235" spans="1:14" x14ac:dyDescent="0.35">
      <c r="A1235" s="126"/>
      <c r="B1235" s="127"/>
      <c r="C1235" s="126"/>
      <c r="D1235" s="126"/>
      <c r="E1235" s="128"/>
      <c r="F1235" s="128"/>
      <c r="G1235" s="126"/>
      <c r="H1235" s="126"/>
      <c r="I1235" s="126"/>
      <c r="J1235" s="126"/>
      <c r="K1235" s="126"/>
      <c r="L1235" s="126"/>
      <c r="M1235" s="125"/>
      <c r="N1235" s="126"/>
    </row>
    <row r="1236" spans="1:14" x14ac:dyDescent="0.35">
      <c r="A1236" s="126"/>
      <c r="B1236" s="127"/>
      <c r="C1236" s="126"/>
      <c r="D1236" s="126"/>
      <c r="E1236" s="128"/>
      <c r="F1236" s="128"/>
      <c r="G1236" s="126"/>
      <c r="H1236" s="126"/>
      <c r="I1236" s="126"/>
      <c r="J1236" s="126"/>
      <c r="K1236" s="126"/>
      <c r="L1236" s="126"/>
      <c r="M1236" s="125"/>
      <c r="N1236" s="126"/>
    </row>
    <row r="1237" spans="1:14" x14ac:dyDescent="0.35">
      <c r="A1237" s="126"/>
      <c r="B1237" s="127"/>
      <c r="C1237" s="126"/>
      <c r="D1237" s="126"/>
      <c r="E1237" s="128"/>
      <c r="F1237" s="128"/>
      <c r="G1237" s="126"/>
      <c r="H1237" s="126"/>
      <c r="I1237" s="126"/>
      <c r="J1237" s="126"/>
      <c r="K1237" s="126"/>
      <c r="L1237" s="126"/>
      <c r="M1237" s="125"/>
      <c r="N1237" s="126"/>
    </row>
    <row r="1238" spans="1:14" x14ac:dyDescent="0.35">
      <c r="A1238" s="126"/>
      <c r="B1238" s="127"/>
      <c r="C1238" s="126"/>
      <c r="D1238" s="126"/>
      <c r="E1238" s="128"/>
      <c r="F1238" s="128"/>
      <c r="G1238" s="126"/>
      <c r="H1238" s="126"/>
      <c r="I1238" s="126"/>
      <c r="J1238" s="126"/>
      <c r="K1238" s="126"/>
      <c r="L1238" s="126"/>
      <c r="M1238" s="125"/>
      <c r="N1238" s="126"/>
    </row>
    <row r="1239" spans="1:14" x14ac:dyDescent="0.35">
      <c r="A1239" s="126"/>
      <c r="B1239" s="127"/>
      <c r="C1239" s="126"/>
      <c r="D1239" s="126"/>
      <c r="E1239" s="128"/>
      <c r="F1239" s="128"/>
      <c r="G1239" s="126"/>
      <c r="H1239" s="126"/>
      <c r="I1239" s="126"/>
      <c r="J1239" s="126"/>
      <c r="K1239" s="126"/>
      <c r="L1239" s="126"/>
      <c r="M1239" s="125"/>
      <c r="N1239" s="126"/>
    </row>
    <row r="1240" spans="1:14" x14ac:dyDescent="0.35">
      <c r="B1240" s="22"/>
      <c r="E1240" s="113"/>
      <c r="F1240" s="113"/>
      <c r="M1240" s="125"/>
    </row>
    <row r="1241" spans="1:14" x14ac:dyDescent="0.35">
      <c r="B1241" s="22"/>
      <c r="E1241" s="113"/>
      <c r="F1241" s="113"/>
      <c r="M1241" s="125"/>
    </row>
    <row r="1242" spans="1:14" x14ac:dyDescent="0.35">
      <c r="B1242" s="22"/>
      <c r="E1242" s="113"/>
      <c r="F1242" s="113"/>
      <c r="M1242" s="125"/>
    </row>
    <row r="1243" spans="1:14" x14ac:dyDescent="0.35">
      <c r="B1243" s="22"/>
      <c r="E1243" s="113"/>
      <c r="F1243" s="113"/>
      <c r="M1243" s="125"/>
    </row>
    <row r="1244" spans="1:14" x14ac:dyDescent="0.35">
      <c r="B1244" s="22"/>
      <c r="E1244" s="113"/>
      <c r="F1244" s="113"/>
      <c r="M1244" s="125"/>
    </row>
    <row r="1245" spans="1:14" x14ac:dyDescent="0.35">
      <c r="B1245" s="22"/>
      <c r="E1245" s="113"/>
      <c r="F1245" s="113"/>
      <c r="M1245" s="125"/>
    </row>
    <row r="1246" spans="1:14" x14ac:dyDescent="0.35">
      <c r="B1246" s="22"/>
      <c r="E1246" s="113"/>
      <c r="F1246" s="113"/>
      <c r="M1246" s="125"/>
    </row>
    <row r="1247" spans="1:14" x14ac:dyDescent="0.35">
      <c r="B1247" s="22"/>
      <c r="E1247" s="113"/>
      <c r="F1247" s="113"/>
      <c r="M1247" s="125"/>
    </row>
    <row r="1248" spans="1:14" x14ac:dyDescent="0.35">
      <c r="B1248" s="22"/>
      <c r="E1248" s="113"/>
      <c r="F1248" s="113"/>
      <c r="M1248" s="125"/>
    </row>
    <row r="1249" spans="2:13" x14ac:dyDescent="0.35">
      <c r="B1249" s="22"/>
      <c r="E1249" s="113"/>
      <c r="F1249" s="113"/>
      <c r="M1249" s="125"/>
    </row>
    <row r="1250" spans="2:13" x14ac:dyDescent="0.35">
      <c r="B1250" s="22"/>
      <c r="E1250" s="113"/>
      <c r="F1250" s="113"/>
      <c r="M1250" s="125"/>
    </row>
    <row r="1251" spans="2:13" x14ac:dyDescent="0.35">
      <c r="B1251" s="22"/>
      <c r="E1251" s="113"/>
      <c r="F1251" s="113"/>
    </row>
    <row r="1252" spans="2:13" x14ac:dyDescent="0.35">
      <c r="B1252" s="22"/>
      <c r="E1252" s="113"/>
      <c r="F1252" s="113"/>
    </row>
    <row r="1253" spans="2:13" x14ac:dyDescent="0.35">
      <c r="B1253" s="22"/>
      <c r="E1253" s="113"/>
      <c r="F1253" s="113"/>
    </row>
    <row r="1254" spans="2:13" x14ac:dyDescent="0.35">
      <c r="B1254" s="22"/>
      <c r="E1254" s="113"/>
      <c r="F1254" s="113"/>
    </row>
    <row r="1255" spans="2:13" x14ac:dyDescent="0.35">
      <c r="B1255" s="22"/>
      <c r="E1255" s="113"/>
      <c r="F1255" s="113"/>
    </row>
    <row r="1256" spans="2:13" x14ac:dyDescent="0.35">
      <c r="B1256" s="22"/>
      <c r="E1256" s="113"/>
      <c r="F1256" s="113"/>
    </row>
    <row r="1257" spans="2:13" x14ac:dyDescent="0.35">
      <c r="B1257" s="22"/>
      <c r="E1257" s="113"/>
      <c r="F1257" s="113"/>
    </row>
    <row r="1258" spans="2:13" x14ac:dyDescent="0.35">
      <c r="B1258" s="22"/>
      <c r="E1258" s="113"/>
      <c r="F1258" s="113"/>
    </row>
    <row r="1259" spans="2:13" x14ac:dyDescent="0.35">
      <c r="B1259" s="22"/>
      <c r="E1259" s="113"/>
      <c r="F1259" s="113"/>
    </row>
    <row r="1260" spans="2:13" x14ac:dyDescent="0.35">
      <c r="B1260" s="22"/>
      <c r="E1260" s="113"/>
      <c r="F1260" s="113"/>
    </row>
    <row r="1261" spans="2:13" x14ac:dyDescent="0.35">
      <c r="B1261" s="22"/>
      <c r="E1261" s="113"/>
      <c r="F1261" s="113"/>
    </row>
    <row r="1262" spans="2:13" x14ac:dyDescent="0.35">
      <c r="B1262" s="22"/>
      <c r="E1262" s="113"/>
      <c r="F1262" s="113"/>
    </row>
    <row r="1263" spans="2:13" x14ac:dyDescent="0.35">
      <c r="B1263" s="22"/>
      <c r="E1263" s="113"/>
      <c r="F1263" s="113"/>
    </row>
    <row r="1264" spans="2:13" x14ac:dyDescent="0.35">
      <c r="B1264" s="22"/>
      <c r="E1264" s="113"/>
      <c r="F1264" s="113"/>
    </row>
    <row r="1265" spans="2:6" x14ac:dyDescent="0.35">
      <c r="B1265" s="22"/>
      <c r="E1265" s="113"/>
      <c r="F1265" s="113"/>
    </row>
    <row r="1266" spans="2:6" x14ac:dyDescent="0.35">
      <c r="B1266" s="22"/>
      <c r="E1266" s="113"/>
      <c r="F1266" s="113"/>
    </row>
    <row r="1267" spans="2:6" x14ac:dyDescent="0.35">
      <c r="B1267" s="22"/>
      <c r="E1267" s="113"/>
      <c r="F1267" s="113"/>
    </row>
    <row r="1268" spans="2:6" x14ac:dyDescent="0.35">
      <c r="B1268" s="22"/>
      <c r="E1268" s="113"/>
      <c r="F1268" s="113"/>
    </row>
    <row r="1269" spans="2:6" x14ac:dyDescent="0.35">
      <c r="B1269" s="22"/>
      <c r="E1269" s="113"/>
      <c r="F1269" s="113"/>
    </row>
    <row r="1270" spans="2:6" x14ac:dyDescent="0.35">
      <c r="B1270" s="22"/>
      <c r="E1270" s="113"/>
      <c r="F1270" s="113"/>
    </row>
    <row r="1271" spans="2:6" x14ac:dyDescent="0.35">
      <c r="B1271" s="22"/>
      <c r="E1271" s="113"/>
      <c r="F1271" s="113"/>
    </row>
    <row r="1272" spans="2:6" x14ac:dyDescent="0.35">
      <c r="B1272" s="22"/>
      <c r="E1272" s="113"/>
      <c r="F1272" s="113"/>
    </row>
    <row r="1273" spans="2:6" x14ac:dyDescent="0.35">
      <c r="B1273" s="22"/>
      <c r="E1273" s="113"/>
      <c r="F1273" s="113"/>
    </row>
    <row r="1274" spans="2:6" x14ac:dyDescent="0.35">
      <c r="B1274" s="22"/>
      <c r="E1274" s="113"/>
      <c r="F1274" s="113"/>
    </row>
    <row r="1275" spans="2:6" x14ac:dyDescent="0.35">
      <c r="B1275" s="22"/>
      <c r="E1275" s="113"/>
      <c r="F1275" s="113"/>
    </row>
    <row r="1276" spans="2:6" x14ac:dyDescent="0.35">
      <c r="B1276" s="22"/>
      <c r="E1276" s="113"/>
      <c r="F1276" s="113"/>
    </row>
    <row r="1277" spans="2:6" x14ac:dyDescent="0.35">
      <c r="B1277" s="22"/>
      <c r="E1277" s="113"/>
      <c r="F1277" s="113"/>
    </row>
    <row r="1278" spans="2:6" x14ac:dyDescent="0.35">
      <c r="B1278" s="22"/>
      <c r="E1278" s="113"/>
      <c r="F1278" s="113"/>
    </row>
    <row r="1279" spans="2:6" x14ac:dyDescent="0.35">
      <c r="B1279" s="22"/>
      <c r="E1279" s="113"/>
      <c r="F1279" s="113"/>
    </row>
    <row r="1280" spans="2:6" x14ac:dyDescent="0.35">
      <c r="B1280" s="22"/>
      <c r="E1280" s="113"/>
      <c r="F1280" s="113"/>
    </row>
    <row r="1281" spans="2:6" x14ac:dyDescent="0.35">
      <c r="B1281" s="22"/>
      <c r="E1281" s="113"/>
      <c r="F1281" s="113"/>
    </row>
    <row r="1282" spans="2:6" x14ac:dyDescent="0.35">
      <c r="B1282" s="22"/>
      <c r="E1282" s="113"/>
      <c r="F1282" s="113"/>
    </row>
    <row r="1283" spans="2:6" x14ac:dyDescent="0.35">
      <c r="B1283" s="22"/>
      <c r="E1283" s="113"/>
      <c r="F1283" s="113"/>
    </row>
    <row r="1284" spans="2:6" x14ac:dyDescent="0.35">
      <c r="B1284" s="22"/>
      <c r="E1284" s="113"/>
      <c r="F1284" s="113"/>
    </row>
    <row r="1285" spans="2:6" x14ac:dyDescent="0.35">
      <c r="B1285" s="22"/>
      <c r="E1285" s="113"/>
      <c r="F1285" s="113"/>
    </row>
    <row r="1286" spans="2:6" x14ac:dyDescent="0.35">
      <c r="B1286" s="22"/>
      <c r="E1286" s="113"/>
      <c r="F1286" s="113"/>
    </row>
    <row r="1287" spans="2:6" x14ac:dyDescent="0.35">
      <c r="B1287" s="22"/>
      <c r="E1287" s="113"/>
      <c r="F1287" s="113"/>
    </row>
    <row r="1288" spans="2:6" x14ac:dyDescent="0.35">
      <c r="B1288" s="22"/>
      <c r="E1288" s="113"/>
      <c r="F1288" s="113"/>
    </row>
    <row r="1289" spans="2:6" x14ac:dyDescent="0.35">
      <c r="B1289" s="22"/>
      <c r="E1289" s="113"/>
      <c r="F1289" s="113"/>
    </row>
    <row r="1290" spans="2:6" x14ac:dyDescent="0.35">
      <c r="B1290" s="22"/>
      <c r="E1290" s="113"/>
      <c r="F1290" s="113"/>
    </row>
    <row r="1291" spans="2:6" x14ac:dyDescent="0.35">
      <c r="B1291" s="22"/>
      <c r="E1291" s="113"/>
      <c r="F1291" s="113"/>
    </row>
    <row r="1292" spans="2:6" x14ac:dyDescent="0.35">
      <c r="B1292" s="22"/>
      <c r="E1292" s="113"/>
      <c r="F1292" s="113"/>
    </row>
    <row r="1293" spans="2:6" x14ac:dyDescent="0.35">
      <c r="B1293" s="22"/>
      <c r="E1293" s="113"/>
      <c r="F1293" s="113"/>
    </row>
    <row r="1294" spans="2:6" x14ac:dyDescent="0.35">
      <c r="B1294" s="22"/>
      <c r="E1294" s="113"/>
      <c r="F1294" s="113"/>
    </row>
    <row r="1295" spans="2:6" x14ac:dyDescent="0.35">
      <c r="B1295" s="22"/>
      <c r="E1295" s="113"/>
      <c r="F1295" s="113"/>
    </row>
    <row r="1296" spans="2:6" x14ac:dyDescent="0.35">
      <c r="B1296" s="22"/>
      <c r="E1296" s="113"/>
      <c r="F1296" s="113"/>
    </row>
    <row r="1297" spans="2:6" x14ac:dyDescent="0.35">
      <c r="B1297" s="22"/>
      <c r="E1297" s="113"/>
      <c r="F1297" s="113"/>
    </row>
    <row r="1298" spans="2:6" x14ac:dyDescent="0.35">
      <c r="B1298" s="22"/>
      <c r="E1298" s="113"/>
      <c r="F1298" s="113"/>
    </row>
    <row r="1299" spans="2:6" x14ac:dyDescent="0.35">
      <c r="B1299" s="22"/>
      <c r="E1299" s="113"/>
      <c r="F1299" s="113"/>
    </row>
    <row r="1300" spans="2:6" x14ac:dyDescent="0.35">
      <c r="B1300" s="22"/>
      <c r="E1300" s="113"/>
      <c r="F1300" s="113"/>
    </row>
    <row r="1301" spans="2:6" x14ac:dyDescent="0.35">
      <c r="B1301" s="22"/>
      <c r="E1301" s="113"/>
      <c r="F1301" s="113"/>
    </row>
    <row r="1302" spans="2:6" x14ac:dyDescent="0.35">
      <c r="B1302" s="22"/>
      <c r="E1302" s="113"/>
      <c r="F1302" s="113"/>
    </row>
    <row r="1303" spans="2:6" x14ac:dyDescent="0.35">
      <c r="B1303" s="22"/>
      <c r="E1303" s="113"/>
      <c r="F1303" s="113"/>
    </row>
    <row r="1304" spans="2:6" x14ac:dyDescent="0.35">
      <c r="B1304" s="22"/>
      <c r="E1304" s="113"/>
      <c r="F1304" s="113"/>
    </row>
    <row r="1305" spans="2:6" x14ac:dyDescent="0.35">
      <c r="B1305" s="22"/>
      <c r="E1305" s="113"/>
      <c r="F1305" s="113"/>
    </row>
    <row r="1306" spans="2:6" x14ac:dyDescent="0.35">
      <c r="B1306" s="22"/>
      <c r="E1306" s="113"/>
      <c r="F1306" s="113"/>
    </row>
    <row r="1307" spans="2:6" x14ac:dyDescent="0.35">
      <c r="B1307" s="22"/>
      <c r="E1307" s="113"/>
      <c r="F1307" s="113"/>
    </row>
    <row r="1308" spans="2:6" x14ac:dyDescent="0.35">
      <c r="B1308" s="22"/>
      <c r="E1308" s="113"/>
      <c r="F1308" s="113"/>
    </row>
    <row r="1309" spans="2:6" x14ac:dyDescent="0.35">
      <c r="B1309" s="22"/>
      <c r="E1309" s="113"/>
      <c r="F1309" s="113"/>
    </row>
    <row r="1310" spans="2:6" x14ac:dyDescent="0.35">
      <c r="B1310" s="22"/>
      <c r="E1310" s="113"/>
      <c r="F1310" s="113"/>
    </row>
    <row r="1311" spans="2:6" x14ac:dyDescent="0.35">
      <c r="B1311" s="22"/>
      <c r="E1311" s="113"/>
      <c r="F1311" s="113"/>
    </row>
    <row r="1312" spans="2:6" x14ac:dyDescent="0.35">
      <c r="B1312" s="22"/>
      <c r="E1312" s="113"/>
      <c r="F1312" s="113"/>
    </row>
    <row r="1313" spans="2:6" x14ac:dyDescent="0.35">
      <c r="B1313" s="22"/>
      <c r="E1313" s="113"/>
      <c r="F1313" s="113"/>
    </row>
    <row r="1314" spans="2:6" x14ac:dyDescent="0.35">
      <c r="B1314" s="22"/>
      <c r="E1314" s="113"/>
      <c r="F1314" s="113"/>
    </row>
    <row r="1315" spans="2:6" x14ac:dyDescent="0.35">
      <c r="B1315" s="22"/>
      <c r="E1315" s="113"/>
      <c r="F1315" s="113"/>
    </row>
    <row r="1316" spans="2:6" x14ac:dyDescent="0.35">
      <c r="B1316" s="22"/>
      <c r="E1316" s="113"/>
      <c r="F1316" s="113"/>
    </row>
    <row r="1317" spans="2:6" x14ac:dyDescent="0.35">
      <c r="B1317" s="22"/>
      <c r="E1317" s="113"/>
      <c r="F1317" s="113"/>
    </row>
    <row r="1318" spans="2:6" x14ac:dyDescent="0.35">
      <c r="B1318" s="22"/>
      <c r="E1318" s="113"/>
      <c r="F1318" s="113"/>
    </row>
    <row r="1319" spans="2:6" x14ac:dyDescent="0.35">
      <c r="B1319" s="22"/>
      <c r="E1319" s="113"/>
      <c r="F1319" s="113"/>
    </row>
    <row r="1320" spans="2:6" x14ac:dyDescent="0.35">
      <c r="B1320" s="22"/>
      <c r="E1320" s="113"/>
      <c r="F1320" s="113"/>
    </row>
    <row r="1321" spans="2:6" x14ac:dyDescent="0.35">
      <c r="B1321" s="22"/>
      <c r="E1321" s="113"/>
      <c r="F1321" s="113"/>
    </row>
    <row r="1322" spans="2:6" x14ac:dyDescent="0.35">
      <c r="B1322" s="22"/>
      <c r="E1322" s="113"/>
      <c r="F1322" s="113"/>
    </row>
    <row r="1323" spans="2:6" x14ac:dyDescent="0.35">
      <c r="B1323" s="22"/>
      <c r="E1323" s="113"/>
      <c r="F1323" s="113"/>
    </row>
    <row r="1324" spans="2:6" x14ac:dyDescent="0.35">
      <c r="B1324" s="22"/>
      <c r="E1324" s="113"/>
      <c r="F1324" s="113"/>
    </row>
    <row r="1325" spans="2:6" x14ac:dyDescent="0.35">
      <c r="B1325" s="22"/>
      <c r="E1325" s="113"/>
      <c r="F1325" s="113"/>
    </row>
    <row r="1326" spans="2:6" x14ac:dyDescent="0.35">
      <c r="B1326" s="22"/>
      <c r="E1326" s="113"/>
      <c r="F1326" s="113"/>
    </row>
    <row r="1327" spans="2:6" x14ac:dyDescent="0.35">
      <c r="B1327" s="22"/>
      <c r="E1327" s="113"/>
      <c r="F1327" s="113"/>
    </row>
    <row r="1328" spans="2:6" x14ac:dyDescent="0.35">
      <c r="B1328" s="22"/>
      <c r="E1328" s="113"/>
      <c r="F1328" s="113"/>
    </row>
    <row r="1329" spans="2:6" x14ac:dyDescent="0.35">
      <c r="B1329" s="22"/>
      <c r="E1329" s="113"/>
      <c r="F1329" s="113"/>
    </row>
    <row r="1330" spans="2:6" x14ac:dyDescent="0.35">
      <c r="B1330" s="22"/>
      <c r="E1330" s="113"/>
      <c r="F1330" s="113"/>
    </row>
    <row r="1331" spans="2:6" x14ac:dyDescent="0.35">
      <c r="B1331" s="22"/>
      <c r="E1331" s="113"/>
      <c r="F1331" s="113"/>
    </row>
    <row r="1332" spans="2:6" x14ac:dyDescent="0.35">
      <c r="B1332" s="22"/>
      <c r="E1332" s="113"/>
      <c r="F1332" s="113"/>
    </row>
    <row r="1333" spans="2:6" x14ac:dyDescent="0.35">
      <c r="B1333" s="22"/>
      <c r="E1333" s="113"/>
      <c r="F1333" s="113"/>
    </row>
    <row r="1334" spans="2:6" x14ac:dyDescent="0.35">
      <c r="B1334" s="22"/>
      <c r="E1334" s="113"/>
      <c r="F1334" s="113"/>
    </row>
    <row r="1335" spans="2:6" x14ac:dyDescent="0.35">
      <c r="B1335" s="22"/>
      <c r="E1335" s="113"/>
      <c r="F1335" s="113"/>
    </row>
    <row r="1336" spans="2:6" x14ac:dyDescent="0.35">
      <c r="B1336" s="22"/>
      <c r="E1336" s="113"/>
      <c r="F1336" s="113"/>
    </row>
    <row r="1337" spans="2:6" x14ac:dyDescent="0.35">
      <c r="B1337" s="22"/>
      <c r="E1337" s="113"/>
      <c r="F1337" s="113"/>
    </row>
    <row r="1338" spans="2:6" x14ac:dyDescent="0.35">
      <c r="B1338" s="22"/>
      <c r="E1338" s="113"/>
      <c r="F1338" s="113"/>
    </row>
    <row r="1339" spans="2:6" x14ac:dyDescent="0.35">
      <c r="B1339" s="22"/>
      <c r="E1339" s="113"/>
      <c r="F1339" s="113"/>
    </row>
    <row r="1340" spans="2:6" x14ac:dyDescent="0.35">
      <c r="B1340" s="22"/>
      <c r="E1340" s="113"/>
      <c r="F1340" s="113"/>
    </row>
    <row r="1341" spans="2:6" x14ac:dyDescent="0.35">
      <c r="B1341" s="22"/>
      <c r="E1341" s="113"/>
      <c r="F1341" s="113"/>
    </row>
    <row r="1342" spans="2:6" x14ac:dyDescent="0.35">
      <c r="B1342" s="22"/>
      <c r="E1342" s="113"/>
      <c r="F1342" s="113"/>
    </row>
    <row r="1343" spans="2:6" x14ac:dyDescent="0.35">
      <c r="B1343" s="22"/>
      <c r="E1343" s="113"/>
      <c r="F1343" s="113"/>
    </row>
    <row r="1344" spans="2:6" x14ac:dyDescent="0.35">
      <c r="B1344" s="22"/>
      <c r="E1344" s="113"/>
      <c r="F1344" s="113"/>
    </row>
    <row r="1345" spans="2:6" x14ac:dyDescent="0.35">
      <c r="B1345" s="22"/>
      <c r="E1345" s="113"/>
      <c r="F1345" s="113"/>
    </row>
    <row r="1346" spans="2:6" x14ac:dyDescent="0.35">
      <c r="B1346" s="22"/>
      <c r="E1346" s="113"/>
      <c r="F1346" s="113"/>
    </row>
    <row r="1347" spans="2:6" x14ac:dyDescent="0.35">
      <c r="B1347" s="22"/>
      <c r="E1347" s="113"/>
      <c r="F1347" s="113"/>
    </row>
    <row r="1348" spans="2:6" x14ac:dyDescent="0.35">
      <c r="B1348" s="22"/>
      <c r="E1348" s="113"/>
      <c r="F1348" s="113"/>
    </row>
    <row r="1349" spans="2:6" x14ac:dyDescent="0.35">
      <c r="B1349" s="22"/>
      <c r="E1349" s="113"/>
      <c r="F1349" s="113"/>
    </row>
    <row r="1350" spans="2:6" x14ac:dyDescent="0.35">
      <c r="B1350" s="22"/>
      <c r="E1350" s="113"/>
      <c r="F1350" s="113"/>
    </row>
    <row r="1351" spans="2:6" x14ac:dyDescent="0.35">
      <c r="B1351" s="22"/>
      <c r="E1351" s="113"/>
      <c r="F1351" s="113"/>
    </row>
    <row r="1352" spans="2:6" x14ac:dyDescent="0.35">
      <c r="B1352" s="22"/>
      <c r="E1352" s="113"/>
      <c r="F1352" s="113"/>
    </row>
    <row r="1353" spans="2:6" x14ac:dyDescent="0.35">
      <c r="B1353" s="22"/>
      <c r="E1353" s="113"/>
      <c r="F1353" s="113"/>
    </row>
    <row r="1354" spans="2:6" x14ac:dyDescent="0.35">
      <c r="B1354" s="22"/>
      <c r="E1354" s="113"/>
      <c r="F1354" s="113"/>
    </row>
    <row r="1355" spans="2:6" x14ac:dyDescent="0.35">
      <c r="B1355" s="22"/>
      <c r="E1355" s="113"/>
      <c r="F1355" s="113"/>
    </row>
    <row r="1356" spans="2:6" x14ac:dyDescent="0.35">
      <c r="B1356" s="22"/>
      <c r="E1356" s="113"/>
      <c r="F1356" s="113"/>
    </row>
    <row r="1357" spans="2:6" x14ac:dyDescent="0.35">
      <c r="B1357" s="22"/>
      <c r="E1357" s="113"/>
      <c r="F1357" s="113"/>
    </row>
    <row r="1358" spans="2:6" x14ac:dyDescent="0.35">
      <c r="B1358" s="22"/>
      <c r="E1358" s="113"/>
      <c r="F1358" s="113"/>
    </row>
    <row r="1359" spans="2:6" x14ac:dyDescent="0.35">
      <c r="B1359" s="22"/>
      <c r="E1359" s="113"/>
      <c r="F1359" s="113"/>
    </row>
    <row r="1360" spans="2:6" x14ac:dyDescent="0.35">
      <c r="B1360" s="22"/>
      <c r="E1360" s="113"/>
      <c r="F1360" s="113"/>
    </row>
    <row r="1361" spans="2:6" x14ac:dyDescent="0.35">
      <c r="B1361" s="22"/>
      <c r="E1361" s="113"/>
      <c r="F1361" s="113"/>
    </row>
    <row r="1362" spans="2:6" x14ac:dyDescent="0.35">
      <c r="B1362" s="22"/>
      <c r="E1362" s="113"/>
      <c r="F1362" s="113"/>
    </row>
    <row r="1363" spans="2:6" x14ac:dyDescent="0.35">
      <c r="B1363" s="22"/>
      <c r="E1363" s="113"/>
      <c r="F1363" s="113"/>
    </row>
    <row r="1364" spans="2:6" x14ac:dyDescent="0.35">
      <c r="B1364" s="22"/>
      <c r="E1364" s="113"/>
      <c r="F1364" s="113"/>
    </row>
    <row r="1365" spans="2:6" x14ac:dyDescent="0.35">
      <c r="B1365" s="22"/>
      <c r="E1365" s="113"/>
      <c r="F1365" s="113"/>
    </row>
    <row r="1366" spans="2:6" x14ac:dyDescent="0.35">
      <c r="B1366" s="22"/>
      <c r="E1366" s="113"/>
      <c r="F1366" s="113"/>
    </row>
    <row r="1367" spans="2:6" x14ac:dyDescent="0.35">
      <c r="B1367" s="22"/>
      <c r="E1367" s="113"/>
      <c r="F1367" s="113"/>
    </row>
    <row r="1368" spans="2:6" x14ac:dyDescent="0.35">
      <c r="B1368" s="22"/>
      <c r="E1368" s="113"/>
      <c r="F1368" s="113"/>
    </row>
    <row r="1369" spans="2:6" x14ac:dyDescent="0.35">
      <c r="B1369" s="22"/>
      <c r="E1369" s="113"/>
      <c r="F1369" s="113"/>
    </row>
    <row r="1370" spans="2:6" x14ac:dyDescent="0.35">
      <c r="B1370" s="22"/>
      <c r="E1370" s="113"/>
      <c r="F1370" s="113"/>
    </row>
    <row r="1371" spans="2:6" x14ac:dyDescent="0.35">
      <c r="B1371" s="22"/>
      <c r="E1371" s="113"/>
      <c r="F1371" s="113"/>
    </row>
    <row r="1372" spans="2:6" x14ac:dyDescent="0.35">
      <c r="B1372" s="22"/>
      <c r="E1372" s="113"/>
      <c r="F1372" s="113"/>
    </row>
    <row r="1373" spans="2:6" x14ac:dyDescent="0.35">
      <c r="B1373" s="22"/>
      <c r="E1373" s="113"/>
      <c r="F1373" s="113"/>
    </row>
    <row r="1374" spans="2:6" x14ac:dyDescent="0.35">
      <c r="B1374" s="22"/>
      <c r="E1374" s="113"/>
      <c r="F1374" s="113"/>
    </row>
    <row r="1375" spans="2:6" x14ac:dyDescent="0.35">
      <c r="B1375" s="22"/>
      <c r="E1375" s="113"/>
      <c r="F1375" s="113"/>
    </row>
    <row r="1376" spans="2:6" x14ac:dyDescent="0.35">
      <c r="B1376" s="22"/>
      <c r="E1376" s="113"/>
      <c r="F1376" s="113"/>
    </row>
    <row r="1377" spans="2:6" x14ac:dyDescent="0.35">
      <c r="B1377" s="22"/>
      <c r="E1377" s="113"/>
      <c r="F1377" s="113"/>
    </row>
    <row r="1378" spans="2:6" x14ac:dyDescent="0.35">
      <c r="B1378" s="22"/>
      <c r="E1378" s="113"/>
      <c r="F1378" s="113"/>
    </row>
    <row r="1379" spans="2:6" x14ac:dyDescent="0.35">
      <c r="B1379" s="22"/>
      <c r="E1379" s="113"/>
      <c r="F1379" s="113"/>
    </row>
    <row r="1380" spans="2:6" x14ac:dyDescent="0.35">
      <c r="B1380" s="22"/>
      <c r="E1380" s="113"/>
      <c r="F1380" s="113"/>
    </row>
    <row r="1381" spans="2:6" x14ac:dyDescent="0.35">
      <c r="B1381" s="22"/>
      <c r="E1381" s="113"/>
      <c r="F1381" s="113"/>
    </row>
    <row r="1382" spans="2:6" x14ac:dyDescent="0.35">
      <c r="B1382" s="22"/>
      <c r="E1382" s="113"/>
      <c r="F1382" s="113"/>
    </row>
    <row r="1383" spans="2:6" x14ac:dyDescent="0.35">
      <c r="B1383" s="22"/>
      <c r="E1383" s="113"/>
      <c r="F1383" s="113"/>
    </row>
    <row r="1384" spans="2:6" x14ac:dyDescent="0.35">
      <c r="B1384" s="22"/>
      <c r="E1384" s="113"/>
      <c r="F1384" s="113"/>
    </row>
    <row r="1385" spans="2:6" x14ac:dyDescent="0.35">
      <c r="B1385" s="22"/>
      <c r="E1385" s="113"/>
      <c r="F1385" s="113"/>
    </row>
    <row r="1386" spans="2:6" x14ac:dyDescent="0.35">
      <c r="B1386" s="22"/>
      <c r="E1386" s="113"/>
      <c r="F1386" s="113"/>
    </row>
    <row r="1387" spans="2:6" x14ac:dyDescent="0.35">
      <c r="B1387" s="22"/>
      <c r="E1387" s="113"/>
      <c r="F1387" s="113"/>
    </row>
    <row r="1388" spans="2:6" x14ac:dyDescent="0.35">
      <c r="B1388" s="22"/>
      <c r="E1388" s="113"/>
      <c r="F1388" s="113"/>
    </row>
    <row r="1389" spans="2:6" x14ac:dyDescent="0.35">
      <c r="B1389" s="22"/>
      <c r="E1389" s="113"/>
      <c r="F1389" s="113"/>
    </row>
    <row r="1390" spans="2:6" x14ac:dyDescent="0.35">
      <c r="B1390" s="22"/>
      <c r="E1390" s="113"/>
      <c r="F1390" s="113"/>
    </row>
    <row r="1391" spans="2:6" x14ac:dyDescent="0.35">
      <c r="B1391" s="22"/>
      <c r="E1391" s="113"/>
      <c r="F1391" s="113"/>
    </row>
    <row r="1392" spans="2:6" x14ac:dyDescent="0.35">
      <c r="B1392" s="22"/>
      <c r="E1392" s="113"/>
      <c r="F1392" s="113"/>
    </row>
    <row r="1393" spans="2:6" x14ac:dyDescent="0.35">
      <c r="B1393" s="22"/>
      <c r="E1393" s="113"/>
      <c r="F1393" s="113"/>
    </row>
    <row r="1394" spans="2:6" x14ac:dyDescent="0.35">
      <c r="B1394" s="22"/>
      <c r="E1394" s="113"/>
      <c r="F1394" s="113"/>
    </row>
    <row r="1395" spans="2:6" x14ac:dyDescent="0.35">
      <c r="B1395" s="22"/>
      <c r="E1395" s="113"/>
      <c r="F1395" s="113"/>
    </row>
    <row r="1396" spans="2:6" x14ac:dyDescent="0.35">
      <c r="B1396" s="22"/>
      <c r="E1396" s="113"/>
      <c r="F1396" s="113"/>
    </row>
    <row r="1397" spans="2:6" x14ac:dyDescent="0.35">
      <c r="B1397" s="22"/>
      <c r="E1397" s="113"/>
      <c r="F1397" s="113"/>
    </row>
    <row r="1398" spans="2:6" x14ac:dyDescent="0.35">
      <c r="B1398" s="22"/>
      <c r="E1398" s="113"/>
      <c r="F1398" s="113"/>
    </row>
    <row r="1399" spans="2:6" x14ac:dyDescent="0.35">
      <c r="B1399" s="22"/>
      <c r="E1399" s="113"/>
      <c r="F1399" s="113"/>
    </row>
    <row r="1400" spans="2:6" x14ac:dyDescent="0.35">
      <c r="B1400" s="22"/>
      <c r="E1400" s="113"/>
      <c r="F1400" s="113"/>
    </row>
    <row r="1401" spans="2:6" x14ac:dyDescent="0.35">
      <c r="B1401" s="22"/>
      <c r="E1401" s="113"/>
      <c r="F1401" s="113"/>
    </row>
    <row r="1402" spans="2:6" x14ac:dyDescent="0.35">
      <c r="B1402" s="22"/>
      <c r="E1402" s="113"/>
      <c r="F1402" s="113"/>
    </row>
    <row r="1403" spans="2:6" x14ac:dyDescent="0.35">
      <c r="B1403" s="22"/>
      <c r="E1403" s="113"/>
      <c r="F1403" s="113"/>
    </row>
    <row r="1404" spans="2:6" x14ac:dyDescent="0.35">
      <c r="B1404" s="22"/>
      <c r="E1404" s="113"/>
      <c r="F1404" s="113"/>
    </row>
    <row r="1405" spans="2:6" x14ac:dyDescent="0.35">
      <c r="B1405" s="22"/>
      <c r="E1405" s="113"/>
      <c r="F1405" s="113"/>
    </row>
    <row r="1406" spans="2:6" x14ac:dyDescent="0.35">
      <c r="B1406" s="22"/>
      <c r="E1406" s="113"/>
      <c r="F1406" s="113"/>
    </row>
    <row r="1407" spans="2:6" x14ac:dyDescent="0.35">
      <c r="B1407" s="22"/>
      <c r="E1407" s="113"/>
      <c r="F1407" s="113"/>
    </row>
    <row r="1408" spans="2:6" x14ac:dyDescent="0.35">
      <c r="B1408" s="22"/>
      <c r="E1408" s="113"/>
      <c r="F1408" s="113"/>
    </row>
    <row r="1409" spans="2:6" x14ac:dyDescent="0.35">
      <c r="B1409" s="22"/>
      <c r="E1409" s="113"/>
      <c r="F1409" s="113"/>
    </row>
    <row r="1410" spans="2:6" x14ac:dyDescent="0.35">
      <c r="B1410" s="22"/>
      <c r="E1410" s="113"/>
      <c r="F1410" s="113"/>
    </row>
    <row r="1411" spans="2:6" x14ac:dyDescent="0.35">
      <c r="B1411" s="22"/>
      <c r="E1411" s="113"/>
      <c r="F1411" s="113"/>
    </row>
    <row r="1412" spans="2:6" x14ac:dyDescent="0.35">
      <c r="B1412" s="22"/>
      <c r="E1412" s="113"/>
      <c r="F1412" s="113"/>
    </row>
    <row r="1413" spans="2:6" x14ac:dyDescent="0.35">
      <c r="B1413" s="22"/>
      <c r="E1413" s="113"/>
      <c r="F1413" s="113"/>
    </row>
    <row r="1414" spans="2:6" x14ac:dyDescent="0.35">
      <c r="B1414" s="22"/>
      <c r="E1414" s="113"/>
      <c r="F1414" s="113"/>
    </row>
    <row r="1415" spans="2:6" x14ac:dyDescent="0.35">
      <c r="B1415" s="22"/>
      <c r="E1415" s="113"/>
      <c r="F1415" s="113"/>
    </row>
    <row r="1416" spans="2:6" x14ac:dyDescent="0.35">
      <c r="B1416" s="22"/>
      <c r="E1416" s="113"/>
      <c r="F1416" s="113"/>
    </row>
    <row r="1417" spans="2:6" x14ac:dyDescent="0.35">
      <c r="B1417" s="22"/>
      <c r="E1417" s="113"/>
      <c r="F1417" s="113"/>
    </row>
    <row r="1418" spans="2:6" x14ac:dyDescent="0.35">
      <c r="B1418" s="22"/>
      <c r="E1418" s="113"/>
      <c r="F1418" s="113"/>
    </row>
    <row r="1419" spans="2:6" x14ac:dyDescent="0.35">
      <c r="B1419" s="22"/>
      <c r="E1419" s="113"/>
      <c r="F1419" s="113"/>
    </row>
    <row r="1420" spans="2:6" x14ac:dyDescent="0.35">
      <c r="B1420" s="22"/>
      <c r="E1420" s="113"/>
      <c r="F1420" s="113"/>
    </row>
    <row r="1421" spans="2:6" x14ac:dyDescent="0.35">
      <c r="B1421" s="22"/>
      <c r="E1421" s="113"/>
      <c r="F1421" s="113"/>
    </row>
    <row r="1422" spans="2:6" x14ac:dyDescent="0.35">
      <c r="B1422" s="22"/>
      <c r="E1422" s="113"/>
      <c r="F1422" s="113"/>
    </row>
    <row r="1423" spans="2:6" x14ac:dyDescent="0.35">
      <c r="B1423" s="22"/>
      <c r="E1423" s="113"/>
      <c r="F1423" s="113"/>
    </row>
    <row r="1424" spans="2:6" x14ac:dyDescent="0.35">
      <c r="B1424" s="22"/>
      <c r="E1424" s="113"/>
      <c r="F1424" s="113"/>
    </row>
    <row r="1425" spans="2:6" x14ac:dyDescent="0.35">
      <c r="B1425" s="22"/>
      <c r="E1425" s="113"/>
      <c r="F1425" s="113"/>
    </row>
    <row r="1426" spans="2:6" x14ac:dyDescent="0.35">
      <c r="B1426" s="22"/>
      <c r="E1426" s="113"/>
      <c r="F1426" s="113"/>
    </row>
    <row r="1427" spans="2:6" x14ac:dyDescent="0.35">
      <c r="B1427" s="22"/>
      <c r="E1427" s="113"/>
      <c r="F1427" s="113"/>
    </row>
    <row r="1428" spans="2:6" x14ac:dyDescent="0.35">
      <c r="B1428" s="22"/>
      <c r="E1428" s="113"/>
      <c r="F1428" s="113"/>
    </row>
    <row r="1429" spans="2:6" x14ac:dyDescent="0.35">
      <c r="B1429" s="22"/>
      <c r="E1429" s="113"/>
      <c r="F1429" s="113"/>
    </row>
    <row r="1430" spans="2:6" x14ac:dyDescent="0.35">
      <c r="B1430" s="22"/>
      <c r="E1430" s="113"/>
      <c r="F1430" s="113"/>
    </row>
    <row r="1431" spans="2:6" x14ac:dyDescent="0.35">
      <c r="B1431" s="22"/>
      <c r="E1431" s="113"/>
      <c r="F1431" s="113"/>
    </row>
    <row r="1432" spans="2:6" x14ac:dyDescent="0.35">
      <c r="B1432" s="22"/>
      <c r="E1432" s="113"/>
      <c r="F1432" s="113"/>
    </row>
    <row r="1433" spans="2:6" x14ac:dyDescent="0.35">
      <c r="B1433" s="22"/>
      <c r="E1433" s="113"/>
      <c r="F1433" s="113"/>
    </row>
    <row r="1434" spans="2:6" x14ac:dyDescent="0.35">
      <c r="B1434" s="22"/>
      <c r="E1434" s="113"/>
      <c r="F1434" s="113"/>
    </row>
    <row r="1435" spans="2:6" x14ac:dyDescent="0.35">
      <c r="B1435" s="22"/>
      <c r="E1435" s="113"/>
      <c r="F1435" s="113"/>
    </row>
    <row r="1436" spans="2:6" x14ac:dyDescent="0.35">
      <c r="B1436" s="22"/>
      <c r="E1436" s="113"/>
      <c r="F1436" s="113"/>
    </row>
    <row r="1437" spans="2:6" x14ac:dyDescent="0.35">
      <c r="B1437" s="22"/>
      <c r="E1437" s="113"/>
      <c r="F1437" s="113"/>
    </row>
    <row r="1438" spans="2:6" x14ac:dyDescent="0.35">
      <c r="B1438" s="22"/>
      <c r="E1438" s="113"/>
      <c r="F1438" s="113"/>
    </row>
    <row r="1439" spans="2:6" x14ac:dyDescent="0.35">
      <c r="B1439" s="22"/>
      <c r="E1439" s="113"/>
      <c r="F1439" s="113"/>
    </row>
    <row r="1440" spans="2:6" x14ac:dyDescent="0.35">
      <c r="B1440" s="22"/>
      <c r="E1440" s="113"/>
      <c r="F1440" s="113"/>
    </row>
    <row r="1441" spans="2:6" x14ac:dyDescent="0.35">
      <c r="B1441" s="22"/>
      <c r="E1441" s="113"/>
      <c r="F1441" s="113"/>
    </row>
    <row r="1442" spans="2:6" x14ac:dyDescent="0.35">
      <c r="B1442" s="22"/>
      <c r="E1442" s="113"/>
      <c r="F1442" s="113"/>
    </row>
    <row r="1443" spans="2:6" x14ac:dyDescent="0.35">
      <c r="B1443" s="22"/>
      <c r="E1443" s="113"/>
      <c r="F1443" s="113"/>
    </row>
    <row r="1444" spans="2:6" x14ac:dyDescent="0.35">
      <c r="B1444" s="22"/>
      <c r="E1444" s="113"/>
      <c r="F1444" s="113"/>
    </row>
    <row r="1445" spans="2:6" x14ac:dyDescent="0.35">
      <c r="B1445" s="22"/>
      <c r="E1445" s="113"/>
      <c r="F1445" s="113"/>
    </row>
    <row r="1446" spans="2:6" x14ac:dyDescent="0.35">
      <c r="B1446" s="22"/>
      <c r="E1446" s="113"/>
      <c r="F1446" s="113"/>
    </row>
    <row r="1447" spans="2:6" x14ac:dyDescent="0.35">
      <c r="B1447" s="22"/>
      <c r="E1447" s="113"/>
      <c r="F1447" s="113"/>
    </row>
    <row r="1448" spans="2:6" x14ac:dyDescent="0.35">
      <c r="B1448" s="22"/>
      <c r="E1448" s="113"/>
      <c r="F1448" s="113"/>
    </row>
    <row r="1449" spans="2:6" x14ac:dyDescent="0.35">
      <c r="B1449" s="22"/>
      <c r="E1449" s="113"/>
      <c r="F1449" s="113"/>
    </row>
    <row r="1450" spans="2:6" x14ac:dyDescent="0.35">
      <c r="B1450" s="22"/>
      <c r="E1450" s="113"/>
      <c r="F1450" s="113"/>
    </row>
    <row r="1451" spans="2:6" x14ac:dyDescent="0.35">
      <c r="B1451" s="22"/>
      <c r="E1451" s="113"/>
      <c r="F1451" s="113"/>
    </row>
    <row r="1452" spans="2:6" x14ac:dyDescent="0.35">
      <c r="B1452" s="22"/>
      <c r="E1452" s="113"/>
      <c r="F1452" s="113"/>
    </row>
    <row r="1453" spans="2:6" x14ac:dyDescent="0.35">
      <c r="B1453" s="22"/>
      <c r="E1453" s="113"/>
      <c r="F1453" s="113"/>
    </row>
    <row r="1454" spans="2:6" x14ac:dyDescent="0.35">
      <c r="B1454" s="22"/>
      <c r="E1454" s="113"/>
      <c r="F1454" s="113"/>
    </row>
    <row r="1455" spans="2:6" x14ac:dyDescent="0.35">
      <c r="B1455" s="22"/>
      <c r="E1455" s="113"/>
      <c r="F1455" s="113"/>
    </row>
    <row r="1456" spans="2:6" x14ac:dyDescent="0.35">
      <c r="B1456" s="22"/>
      <c r="E1456" s="113"/>
      <c r="F1456" s="113"/>
    </row>
    <row r="1457" spans="2:6" x14ac:dyDescent="0.35">
      <c r="B1457" s="22"/>
      <c r="E1457" s="113"/>
      <c r="F1457" s="113"/>
    </row>
    <row r="1458" spans="2:6" x14ac:dyDescent="0.35">
      <c r="B1458" s="22"/>
      <c r="E1458" s="113"/>
      <c r="F1458" s="113"/>
    </row>
    <row r="1459" spans="2:6" x14ac:dyDescent="0.35">
      <c r="B1459" s="22"/>
      <c r="E1459" s="113"/>
      <c r="F1459" s="113"/>
    </row>
    <row r="1460" spans="2:6" x14ac:dyDescent="0.35">
      <c r="B1460" s="22"/>
      <c r="E1460" s="113"/>
      <c r="F1460" s="113"/>
    </row>
    <row r="1461" spans="2:6" x14ac:dyDescent="0.35">
      <c r="B1461" s="22"/>
      <c r="E1461" s="113"/>
      <c r="F1461" s="113"/>
    </row>
    <row r="1462" spans="2:6" x14ac:dyDescent="0.35">
      <c r="B1462" s="22"/>
      <c r="E1462" s="113"/>
      <c r="F1462" s="113"/>
    </row>
    <row r="1463" spans="2:6" x14ac:dyDescent="0.35">
      <c r="B1463" s="22"/>
      <c r="E1463" s="113"/>
      <c r="F1463" s="113"/>
    </row>
    <row r="1464" spans="2:6" x14ac:dyDescent="0.35">
      <c r="B1464" s="22"/>
      <c r="E1464" s="113"/>
      <c r="F1464" s="113"/>
    </row>
    <row r="1465" spans="2:6" x14ac:dyDescent="0.35">
      <c r="B1465" s="22"/>
      <c r="E1465" s="113"/>
      <c r="F1465" s="113"/>
    </row>
    <row r="1466" spans="2:6" x14ac:dyDescent="0.35">
      <c r="B1466" s="22"/>
      <c r="E1466" s="113"/>
      <c r="F1466" s="113"/>
    </row>
    <row r="1467" spans="2:6" x14ac:dyDescent="0.35">
      <c r="B1467" s="22"/>
      <c r="E1467" s="113"/>
      <c r="F1467" s="113"/>
    </row>
    <row r="1468" spans="2:6" x14ac:dyDescent="0.35">
      <c r="B1468" s="29"/>
      <c r="E1468" s="113"/>
      <c r="F1468" s="113"/>
    </row>
    <row r="1469" spans="2:6" x14ac:dyDescent="0.35">
      <c r="B1469" s="29"/>
      <c r="E1469" s="113"/>
      <c r="F1469" s="113"/>
    </row>
    <row r="1470" spans="2:6" x14ac:dyDescent="0.35">
      <c r="B1470" s="29"/>
      <c r="E1470" s="113"/>
      <c r="F1470" s="113"/>
    </row>
    <row r="1471" spans="2:6" x14ac:dyDescent="0.35">
      <c r="B1471" s="29"/>
      <c r="E1471" s="113"/>
      <c r="F1471" s="113"/>
    </row>
    <row r="1472" spans="2:6" x14ac:dyDescent="0.35">
      <c r="B1472" s="29"/>
      <c r="E1472" s="113"/>
      <c r="F1472" s="113"/>
    </row>
    <row r="1473" spans="2:6" x14ac:dyDescent="0.35">
      <c r="B1473" s="29"/>
      <c r="E1473" s="113"/>
      <c r="F1473" s="113"/>
    </row>
    <row r="1474" spans="2:6" x14ac:dyDescent="0.35">
      <c r="B1474" s="29"/>
      <c r="E1474" s="113"/>
      <c r="F1474" s="113"/>
    </row>
    <row r="1475" spans="2:6" x14ac:dyDescent="0.35">
      <c r="B1475" s="29"/>
      <c r="E1475" s="113"/>
      <c r="F1475" s="113"/>
    </row>
    <row r="1476" spans="2:6" x14ac:dyDescent="0.35">
      <c r="B1476" s="29"/>
      <c r="E1476" s="113"/>
      <c r="F1476" s="113"/>
    </row>
    <row r="1477" spans="2:6" x14ac:dyDescent="0.35">
      <c r="B1477" s="29"/>
      <c r="E1477" s="113"/>
      <c r="F1477" s="113"/>
    </row>
    <row r="1478" spans="2:6" x14ac:dyDescent="0.35">
      <c r="B1478" s="29"/>
      <c r="E1478" s="113"/>
      <c r="F1478" s="113"/>
    </row>
    <row r="1479" spans="2:6" x14ac:dyDescent="0.35">
      <c r="B1479" s="29"/>
      <c r="E1479" s="113"/>
      <c r="F1479" s="113"/>
    </row>
    <row r="1480" spans="2:6" x14ac:dyDescent="0.35">
      <c r="B1480" s="29"/>
      <c r="E1480" s="113"/>
      <c r="F1480" s="113"/>
    </row>
    <row r="1481" spans="2:6" x14ac:dyDescent="0.35">
      <c r="B1481" s="29"/>
      <c r="E1481" s="113"/>
      <c r="F1481" s="113"/>
    </row>
    <row r="1482" spans="2:6" x14ac:dyDescent="0.35">
      <c r="B1482" s="29"/>
      <c r="E1482" s="113"/>
      <c r="F1482" s="113"/>
    </row>
    <row r="1483" spans="2:6" x14ac:dyDescent="0.35">
      <c r="B1483" s="29"/>
      <c r="E1483" s="113"/>
      <c r="F1483" s="113"/>
    </row>
    <row r="1484" spans="2:6" x14ac:dyDescent="0.35">
      <c r="B1484" s="29"/>
      <c r="E1484" s="113"/>
      <c r="F1484" s="113"/>
    </row>
    <row r="1485" spans="2:6" x14ac:dyDescent="0.35">
      <c r="B1485" s="29"/>
      <c r="E1485" s="113"/>
      <c r="F1485" s="113"/>
    </row>
    <row r="1486" spans="2:6" x14ac:dyDescent="0.35">
      <c r="B1486" s="29"/>
      <c r="E1486" s="113"/>
      <c r="F1486" s="113"/>
    </row>
    <row r="1487" spans="2:6" x14ac:dyDescent="0.35">
      <c r="B1487" s="29"/>
      <c r="E1487" s="113"/>
      <c r="F1487" s="113"/>
    </row>
    <row r="1488" spans="2:6" x14ac:dyDescent="0.35">
      <c r="B1488" s="29"/>
      <c r="E1488" s="113"/>
      <c r="F1488" s="113"/>
    </row>
    <row r="1489" spans="2:6" x14ac:dyDescent="0.35">
      <c r="B1489" s="29"/>
      <c r="E1489" s="113"/>
      <c r="F1489" s="113"/>
    </row>
    <row r="1490" spans="2:6" x14ac:dyDescent="0.35">
      <c r="B1490" s="29"/>
      <c r="E1490" s="113"/>
      <c r="F1490" s="113"/>
    </row>
    <row r="1491" spans="2:6" x14ac:dyDescent="0.35">
      <c r="B1491" s="29"/>
      <c r="E1491" s="113"/>
      <c r="F1491" s="113"/>
    </row>
    <row r="1492" spans="2:6" x14ac:dyDescent="0.35">
      <c r="B1492" s="29"/>
      <c r="E1492" s="113"/>
      <c r="F1492" s="113"/>
    </row>
    <row r="1493" spans="2:6" x14ac:dyDescent="0.35">
      <c r="B1493" s="29"/>
      <c r="E1493" s="113"/>
      <c r="F1493" s="113"/>
    </row>
    <row r="1494" spans="2:6" x14ac:dyDescent="0.35">
      <c r="B1494" s="29"/>
      <c r="E1494" s="113"/>
      <c r="F1494" s="113"/>
    </row>
    <row r="1495" spans="2:6" x14ac:dyDescent="0.35">
      <c r="B1495" s="29"/>
      <c r="E1495" s="113"/>
      <c r="F1495" s="113"/>
    </row>
    <row r="1496" spans="2:6" x14ac:dyDescent="0.35">
      <c r="B1496" s="29"/>
      <c r="E1496" s="113"/>
      <c r="F1496" s="113"/>
    </row>
    <row r="1497" spans="2:6" x14ac:dyDescent="0.35">
      <c r="B1497" s="29"/>
      <c r="E1497" s="113"/>
      <c r="F1497" s="113"/>
    </row>
    <row r="1498" spans="2:6" x14ac:dyDescent="0.35">
      <c r="B1498" s="29"/>
      <c r="E1498" s="113"/>
      <c r="F1498" s="113"/>
    </row>
    <row r="1499" spans="2:6" x14ac:dyDescent="0.35">
      <c r="B1499" s="29"/>
      <c r="E1499" s="113"/>
      <c r="F1499" s="113"/>
    </row>
    <row r="1500" spans="2:6" x14ac:dyDescent="0.35">
      <c r="B1500" s="29"/>
      <c r="E1500" s="113"/>
      <c r="F1500" s="113"/>
    </row>
    <row r="1501" spans="2:6" x14ac:dyDescent="0.35">
      <c r="B1501" s="29"/>
      <c r="E1501" s="113"/>
      <c r="F1501" s="113"/>
    </row>
    <row r="1502" spans="2:6" x14ac:dyDescent="0.35">
      <c r="B1502" s="29"/>
      <c r="E1502" s="113"/>
      <c r="F1502" s="113"/>
    </row>
    <row r="1503" spans="2:6" x14ac:dyDescent="0.35">
      <c r="B1503" s="29"/>
      <c r="E1503" s="113"/>
      <c r="F1503" s="113"/>
    </row>
    <row r="1504" spans="2:6" x14ac:dyDescent="0.35">
      <c r="B1504" s="29"/>
      <c r="E1504" s="113"/>
      <c r="F1504" s="113"/>
    </row>
    <row r="1505" spans="2:6" x14ac:dyDescent="0.35">
      <c r="B1505" s="29"/>
      <c r="E1505" s="113"/>
      <c r="F1505" s="113"/>
    </row>
    <row r="1506" spans="2:6" x14ac:dyDescent="0.35">
      <c r="B1506" s="29"/>
      <c r="E1506" s="113"/>
      <c r="F1506" s="113"/>
    </row>
    <row r="1507" spans="2:6" x14ac:dyDescent="0.35">
      <c r="B1507" s="29"/>
      <c r="E1507" s="113"/>
      <c r="F1507" s="113"/>
    </row>
    <row r="1508" spans="2:6" x14ac:dyDescent="0.35">
      <c r="B1508" s="29"/>
      <c r="E1508" s="113"/>
      <c r="F1508" s="113"/>
    </row>
    <row r="1509" spans="2:6" x14ac:dyDescent="0.35">
      <c r="B1509" s="29"/>
      <c r="E1509" s="113"/>
      <c r="F1509" s="113"/>
    </row>
    <row r="1510" spans="2:6" x14ac:dyDescent="0.35">
      <c r="B1510" s="29"/>
      <c r="E1510" s="113"/>
      <c r="F1510" s="113"/>
    </row>
    <row r="1511" spans="2:6" x14ac:dyDescent="0.35">
      <c r="B1511" s="29"/>
      <c r="E1511" s="113"/>
      <c r="F1511" s="113"/>
    </row>
    <row r="1512" spans="2:6" x14ac:dyDescent="0.35">
      <c r="B1512" s="29"/>
      <c r="E1512" s="113"/>
      <c r="F1512" s="113"/>
    </row>
    <row r="1513" spans="2:6" x14ac:dyDescent="0.35">
      <c r="B1513" s="29"/>
      <c r="E1513" s="113"/>
      <c r="F1513" s="113"/>
    </row>
    <row r="1514" spans="2:6" x14ac:dyDescent="0.35">
      <c r="B1514" s="29"/>
      <c r="E1514" s="113"/>
      <c r="F1514" s="113"/>
    </row>
    <row r="1515" spans="2:6" x14ac:dyDescent="0.35">
      <c r="B1515" s="29"/>
      <c r="E1515" s="113"/>
      <c r="F1515" s="113"/>
    </row>
    <row r="1516" spans="2:6" x14ac:dyDescent="0.35">
      <c r="B1516" s="29"/>
      <c r="E1516" s="113"/>
      <c r="F1516" s="113"/>
    </row>
    <row r="1517" spans="2:6" x14ac:dyDescent="0.35">
      <c r="B1517" s="29"/>
      <c r="E1517" s="113"/>
      <c r="F1517" s="113"/>
    </row>
    <row r="1518" spans="2:6" x14ac:dyDescent="0.35">
      <c r="B1518" s="29"/>
      <c r="E1518" s="113"/>
      <c r="F1518" s="113"/>
    </row>
    <row r="1519" spans="2:6" x14ac:dyDescent="0.35">
      <c r="B1519" s="29"/>
      <c r="E1519" s="113"/>
      <c r="F1519" s="113"/>
    </row>
    <row r="1520" spans="2:6" x14ac:dyDescent="0.35">
      <c r="B1520" s="29"/>
      <c r="E1520" s="113"/>
      <c r="F1520" s="113"/>
    </row>
    <row r="1521" spans="2:6" x14ac:dyDescent="0.35">
      <c r="B1521" s="29"/>
      <c r="E1521" s="113"/>
      <c r="F1521" s="113"/>
    </row>
    <row r="1522" spans="2:6" x14ac:dyDescent="0.35">
      <c r="B1522" s="29"/>
      <c r="E1522" s="113"/>
      <c r="F1522" s="113"/>
    </row>
    <row r="1523" spans="2:6" x14ac:dyDescent="0.35">
      <c r="B1523" s="29"/>
      <c r="E1523" s="113"/>
      <c r="F1523" s="113"/>
    </row>
    <row r="1524" spans="2:6" x14ac:dyDescent="0.35">
      <c r="B1524" s="29"/>
      <c r="E1524" s="113"/>
      <c r="F1524" s="113"/>
    </row>
    <row r="1525" spans="2:6" x14ac:dyDescent="0.35">
      <c r="B1525" s="29"/>
      <c r="E1525" s="113"/>
      <c r="F1525" s="113"/>
    </row>
    <row r="1526" spans="2:6" x14ac:dyDescent="0.35">
      <c r="B1526" s="29"/>
      <c r="E1526" s="113"/>
      <c r="F1526" s="113"/>
    </row>
    <row r="1527" spans="2:6" x14ac:dyDescent="0.35">
      <c r="B1527" s="29"/>
      <c r="E1527" s="113"/>
      <c r="F1527" s="113"/>
    </row>
  </sheetData>
  <conditionalFormatting sqref="A9:N1225">
    <cfRule type="cellIs" dxfId="7" priority="3" operator="notEqual">
      <formula>""</formula>
    </cfRule>
  </conditionalFormatting>
  <conditionalFormatting sqref="H4">
    <cfRule type="cellIs" dxfId="6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liste_NFacture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27649" r:id="rId3" name="liste_NFactureDetai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rgb="FF00B0F0"/>
  </sheetPr>
  <dimension ref="A1:L1527"/>
  <sheetViews>
    <sheetView showGridLines="0" zoomScale="98" zoomScaleNormal="98" workbookViewId="0">
      <pane ySplit="7" topLeftCell="A8" activePane="bottomLeft" state="frozen"/>
      <selection activeCell="J8" sqref="J8"/>
      <selection pane="bottomLeft" activeCell="E6" sqref="E6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.81640625" customWidth="1"/>
  </cols>
  <sheetData>
    <row r="1" spans="1:12" x14ac:dyDescent="0.35">
      <c r="J1" t="s">
        <v>2168</v>
      </c>
      <c r="K1" t="s">
        <v>2165</v>
      </c>
    </row>
    <row r="3" spans="1:12" ht="18.5" x14ac:dyDescent="0.35">
      <c r="A3" s="40"/>
      <c r="J3" t="s">
        <v>2155</v>
      </c>
    </row>
    <row r="4" spans="1:12" ht="15" thickBot="1" x14ac:dyDescent="0.4">
      <c r="J4" t="s">
        <v>1124</v>
      </c>
      <c r="K4" t="s">
        <v>2</v>
      </c>
    </row>
    <row r="5" spans="1:12" s="1" customFormat="1" ht="15" thickBot="1" x14ac:dyDescent="0.4">
      <c r="J5" s="112"/>
      <c r="K5" s="130"/>
      <c r="L5"/>
    </row>
    <row r="6" spans="1:12" x14ac:dyDescent="0.35">
      <c r="J6" s="114"/>
      <c r="K6" s="114"/>
    </row>
    <row r="7" spans="1:12" x14ac:dyDescent="0.35">
      <c r="J7" s="114"/>
      <c r="K7" s="114"/>
    </row>
    <row r="8" spans="1:12" ht="18.5" customHeight="1" x14ac:dyDescent="0.35">
      <c r="A8" s="116" t="s">
        <v>1124</v>
      </c>
      <c r="B8" s="116" t="s">
        <v>98</v>
      </c>
      <c r="C8" s="116" t="s">
        <v>2</v>
      </c>
      <c r="D8" s="116" t="s">
        <v>118</v>
      </c>
      <c r="E8" s="116" t="s">
        <v>95</v>
      </c>
      <c r="F8" s="116" t="s">
        <v>88</v>
      </c>
      <c r="G8" s="116" t="s">
        <v>96</v>
      </c>
      <c r="H8" s="116" t="s">
        <v>104</v>
      </c>
    </row>
    <row r="9" spans="1:12" x14ac:dyDescent="0.35">
      <c r="B9" s="22"/>
      <c r="E9" s="113"/>
      <c r="F9" s="113"/>
      <c r="G9" s="113"/>
    </row>
    <row r="10" spans="1:12" x14ac:dyDescent="0.35">
      <c r="B10" s="22"/>
      <c r="E10" s="113"/>
      <c r="F10" s="113"/>
      <c r="G10" s="113"/>
    </row>
    <row r="11" spans="1:12" x14ac:dyDescent="0.35">
      <c r="B11" s="22"/>
      <c r="E11" s="113"/>
      <c r="F11" s="113"/>
      <c r="G11" s="113"/>
    </row>
    <row r="12" spans="1:12" x14ac:dyDescent="0.35">
      <c r="B12" s="22"/>
      <c r="E12" s="113"/>
      <c r="F12" s="113"/>
      <c r="G12" s="113"/>
    </row>
    <row r="13" spans="1:12" x14ac:dyDescent="0.35">
      <c r="B13" s="22"/>
      <c r="E13" s="113"/>
      <c r="F13" s="113"/>
      <c r="G13" s="113"/>
    </row>
    <row r="14" spans="1:12" x14ac:dyDescent="0.35">
      <c r="B14" s="22"/>
      <c r="E14" s="113"/>
      <c r="F14" s="113"/>
      <c r="G14" s="113"/>
    </row>
    <row r="15" spans="1:12" x14ac:dyDescent="0.35">
      <c r="B15" s="22"/>
      <c r="E15" s="113"/>
      <c r="F15" s="113"/>
      <c r="G15" s="113"/>
    </row>
    <row r="16" spans="1:12" x14ac:dyDescent="0.35">
      <c r="B16" s="22"/>
      <c r="E16" s="113"/>
      <c r="F16" s="113"/>
      <c r="G16" s="113"/>
    </row>
    <row r="17" spans="2:7" x14ac:dyDescent="0.35">
      <c r="B17" s="22"/>
      <c r="E17" s="113"/>
      <c r="F17" s="113"/>
      <c r="G17" s="113"/>
    </row>
    <row r="18" spans="2:7" x14ac:dyDescent="0.35">
      <c r="B18" s="22"/>
      <c r="E18" s="113"/>
      <c r="F18" s="113"/>
      <c r="G18" s="113"/>
    </row>
    <row r="19" spans="2:7" x14ac:dyDescent="0.35">
      <c r="B19" s="22"/>
      <c r="E19" s="113"/>
      <c r="F19" s="113"/>
      <c r="G19" s="113"/>
    </row>
    <row r="20" spans="2:7" x14ac:dyDescent="0.35">
      <c r="B20" s="22"/>
      <c r="E20" s="113"/>
      <c r="F20" s="113"/>
      <c r="G20" s="113"/>
    </row>
    <row r="21" spans="2:7" x14ac:dyDescent="0.35">
      <c r="B21" s="22"/>
      <c r="E21" s="113"/>
      <c r="F21" s="113"/>
      <c r="G21" s="113"/>
    </row>
    <row r="22" spans="2:7" x14ac:dyDescent="0.35">
      <c r="B22" s="22"/>
      <c r="E22" s="113"/>
      <c r="F22" s="113"/>
      <c r="G22" s="113"/>
    </row>
    <row r="23" spans="2:7" x14ac:dyDescent="0.35">
      <c r="B23" s="22"/>
      <c r="E23" s="113"/>
      <c r="F23" s="113"/>
      <c r="G23" s="113"/>
    </row>
    <row r="24" spans="2:7" x14ac:dyDescent="0.35">
      <c r="B24" s="22"/>
      <c r="E24" s="113"/>
      <c r="F24" s="113"/>
      <c r="G24" s="113"/>
    </row>
    <row r="25" spans="2:7" x14ac:dyDescent="0.35">
      <c r="B25" s="22"/>
      <c r="E25" s="113"/>
      <c r="F25" s="113"/>
      <c r="G25" s="113"/>
    </row>
    <row r="26" spans="2:7" x14ac:dyDescent="0.35">
      <c r="B26" s="22"/>
      <c r="E26" s="113"/>
      <c r="F26" s="113"/>
      <c r="G26" s="113"/>
    </row>
    <row r="27" spans="2:7" x14ac:dyDescent="0.35">
      <c r="B27" s="22"/>
      <c r="E27" s="113"/>
      <c r="F27" s="113"/>
      <c r="G27" s="113"/>
    </row>
    <row r="28" spans="2:7" x14ac:dyDescent="0.35">
      <c r="B28" s="22"/>
      <c r="E28" s="113"/>
      <c r="F28" s="113"/>
      <c r="G28" s="113"/>
    </row>
    <row r="29" spans="2:7" x14ac:dyDescent="0.35">
      <c r="B29" s="22"/>
      <c r="E29" s="113"/>
      <c r="F29" s="113"/>
      <c r="G29" s="113"/>
    </row>
    <row r="30" spans="2:7" x14ac:dyDescent="0.35">
      <c r="B30" s="22"/>
      <c r="E30" s="113"/>
      <c r="F30" s="113"/>
      <c r="G30" s="113"/>
    </row>
    <row r="31" spans="2:7" x14ac:dyDescent="0.35">
      <c r="B31" s="22"/>
      <c r="E31" s="113"/>
      <c r="F31" s="113"/>
      <c r="G31" s="113"/>
    </row>
    <row r="32" spans="2:7" x14ac:dyDescent="0.35">
      <c r="B32" s="22"/>
      <c r="E32" s="113"/>
      <c r="F32" s="113"/>
      <c r="G32" s="113"/>
    </row>
    <row r="33" spans="2:7" x14ac:dyDescent="0.35">
      <c r="B33" s="22"/>
      <c r="E33" s="113"/>
      <c r="F33" s="113"/>
      <c r="G33" s="113"/>
    </row>
    <row r="34" spans="2:7" x14ac:dyDescent="0.35">
      <c r="B34" s="22"/>
      <c r="E34" s="113"/>
      <c r="F34" s="113"/>
      <c r="G34" s="113"/>
    </row>
    <row r="35" spans="2:7" x14ac:dyDescent="0.35">
      <c r="B35" s="22"/>
      <c r="E35" s="113"/>
      <c r="F35" s="113"/>
      <c r="G35" s="113"/>
    </row>
    <row r="36" spans="2:7" x14ac:dyDescent="0.35">
      <c r="B36" s="22"/>
      <c r="E36" s="113"/>
      <c r="F36" s="113"/>
      <c r="G36" s="113"/>
    </row>
    <row r="37" spans="2:7" x14ac:dyDescent="0.35">
      <c r="B37" s="22"/>
      <c r="E37" s="113"/>
      <c r="F37" s="113"/>
      <c r="G37" s="113"/>
    </row>
    <row r="38" spans="2:7" x14ac:dyDescent="0.35">
      <c r="B38" s="22"/>
      <c r="E38" s="113"/>
      <c r="F38" s="113"/>
      <c r="G38" s="113"/>
    </row>
    <row r="39" spans="2:7" x14ac:dyDescent="0.35">
      <c r="B39" s="22"/>
      <c r="E39" s="113"/>
      <c r="F39" s="113"/>
      <c r="G39" s="113"/>
    </row>
    <row r="40" spans="2:7" x14ac:dyDescent="0.35">
      <c r="B40" s="22"/>
      <c r="E40" s="113"/>
      <c r="F40" s="113"/>
      <c r="G40" s="113"/>
    </row>
    <row r="41" spans="2:7" x14ac:dyDescent="0.35">
      <c r="B41" s="22"/>
      <c r="E41" s="113"/>
      <c r="F41" s="113"/>
      <c r="G41" s="113"/>
    </row>
    <row r="42" spans="2:7" x14ac:dyDescent="0.35">
      <c r="B42" s="22"/>
      <c r="E42" s="113"/>
      <c r="F42" s="113"/>
      <c r="G42" s="113"/>
    </row>
    <row r="43" spans="2:7" x14ac:dyDescent="0.35">
      <c r="B43" s="22"/>
      <c r="E43" s="113"/>
      <c r="F43" s="113"/>
      <c r="G43" s="113"/>
    </row>
    <row r="44" spans="2:7" x14ac:dyDescent="0.35">
      <c r="B44" s="22"/>
      <c r="E44" s="113"/>
      <c r="F44" s="113"/>
      <c r="G44" s="113"/>
    </row>
    <row r="45" spans="2:7" x14ac:dyDescent="0.35">
      <c r="B45" s="22"/>
      <c r="E45" s="113"/>
      <c r="F45" s="113"/>
      <c r="G45" s="113"/>
    </row>
    <row r="46" spans="2:7" x14ac:dyDescent="0.35">
      <c r="B46" s="22"/>
      <c r="E46" s="113"/>
      <c r="F46" s="113"/>
      <c r="G46" s="113"/>
    </row>
    <row r="47" spans="2:7" x14ac:dyDescent="0.35">
      <c r="B47" s="22"/>
      <c r="E47" s="113"/>
      <c r="F47" s="113"/>
      <c r="G47" s="113"/>
    </row>
    <row r="48" spans="2:7" x14ac:dyDescent="0.35">
      <c r="B48" s="22"/>
      <c r="E48" s="113"/>
      <c r="F48" s="113"/>
      <c r="G48" s="113"/>
    </row>
    <row r="49" spans="2:7" x14ac:dyDescent="0.35">
      <c r="B49" s="22"/>
      <c r="E49" s="113"/>
      <c r="F49" s="113"/>
      <c r="G49" s="113"/>
    </row>
    <row r="50" spans="2:7" x14ac:dyDescent="0.35">
      <c r="B50" s="22"/>
      <c r="E50" s="113"/>
      <c r="F50" s="113"/>
      <c r="G50" s="113"/>
    </row>
    <row r="51" spans="2:7" x14ac:dyDescent="0.35">
      <c r="B51" s="22"/>
      <c r="E51" s="113"/>
      <c r="F51" s="113"/>
      <c r="G51" s="113"/>
    </row>
    <row r="52" spans="2:7" x14ac:dyDescent="0.35">
      <c r="B52" s="22"/>
      <c r="E52" s="113"/>
      <c r="F52" s="113"/>
      <c r="G52" s="113"/>
    </row>
    <row r="53" spans="2:7" x14ac:dyDescent="0.35">
      <c r="B53" s="22"/>
      <c r="E53" s="113"/>
      <c r="F53" s="113"/>
      <c r="G53" s="113"/>
    </row>
    <row r="54" spans="2:7" x14ac:dyDescent="0.35">
      <c r="B54" s="22"/>
      <c r="E54" s="113"/>
      <c r="F54" s="113"/>
      <c r="G54" s="113"/>
    </row>
    <row r="55" spans="2:7" x14ac:dyDescent="0.35">
      <c r="B55" s="22"/>
      <c r="E55" s="113"/>
      <c r="F55" s="113"/>
      <c r="G55" s="113"/>
    </row>
    <row r="56" spans="2:7" x14ac:dyDescent="0.35">
      <c r="B56" s="22"/>
      <c r="E56" s="113"/>
      <c r="F56" s="113"/>
      <c r="G56" s="113"/>
    </row>
    <row r="57" spans="2:7" x14ac:dyDescent="0.35">
      <c r="B57" s="22"/>
      <c r="E57" s="113"/>
      <c r="F57" s="113"/>
      <c r="G57" s="113"/>
    </row>
    <row r="58" spans="2:7" x14ac:dyDescent="0.35">
      <c r="B58" s="22"/>
      <c r="E58" s="113"/>
      <c r="F58" s="113"/>
      <c r="G58" s="113"/>
    </row>
    <row r="59" spans="2:7" x14ac:dyDescent="0.35">
      <c r="B59" s="22"/>
      <c r="E59" s="113"/>
      <c r="F59" s="113"/>
      <c r="G59" s="113"/>
    </row>
    <row r="60" spans="2:7" x14ac:dyDescent="0.35">
      <c r="B60" s="22"/>
      <c r="E60" s="113"/>
      <c r="F60" s="113"/>
      <c r="G60" s="113"/>
    </row>
    <row r="61" spans="2:7" x14ac:dyDescent="0.35">
      <c r="B61" s="22"/>
      <c r="E61" s="113"/>
      <c r="F61" s="113"/>
      <c r="G61" s="113"/>
    </row>
    <row r="62" spans="2:7" x14ac:dyDescent="0.35">
      <c r="B62" s="22"/>
      <c r="E62" s="113"/>
      <c r="F62" s="113"/>
      <c r="G62" s="113"/>
    </row>
    <row r="63" spans="2:7" x14ac:dyDescent="0.35">
      <c r="B63" s="22"/>
      <c r="E63" s="113"/>
      <c r="F63" s="113"/>
      <c r="G63" s="113"/>
    </row>
    <row r="64" spans="2:7" x14ac:dyDescent="0.35">
      <c r="B64" s="22"/>
      <c r="E64" s="113"/>
      <c r="F64" s="113"/>
      <c r="G64" s="113"/>
    </row>
    <row r="65" spans="2:7" x14ac:dyDescent="0.35">
      <c r="B65" s="22"/>
      <c r="E65" s="113"/>
      <c r="F65" s="113"/>
      <c r="G65" s="113"/>
    </row>
    <row r="66" spans="2:7" x14ac:dyDescent="0.35">
      <c r="B66" s="22"/>
      <c r="E66" s="113"/>
      <c r="F66" s="113"/>
      <c r="G66" s="113"/>
    </row>
    <row r="67" spans="2:7" x14ac:dyDescent="0.35">
      <c r="B67" s="22"/>
      <c r="E67" s="113"/>
      <c r="F67" s="113"/>
      <c r="G67" s="113"/>
    </row>
    <row r="68" spans="2:7" x14ac:dyDescent="0.35">
      <c r="B68" s="22"/>
      <c r="E68" s="113"/>
      <c r="F68" s="113"/>
      <c r="G68" s="113"/>
    </row>
    <row r="69" spans="2:7" x14ac:dyDescent="0.35">
      <c r="B69" s="22"/>
      <c r="E69" s="113"/>
      <c r="F69" s="113"/>
      <c r="G69" s="113"/>
    </row>
    <row r="70" spans="2:7" x14ac:dyDescent="0.35">
      <c r="B70" s="22"/>
      <c r="E70" s="113"/>
      <c r="F70" s="113"/>
      <c r="G70" s="113"/>
    </row>
    <row r="71" spans="2:7" x14ac:dyDescent="0.35">
      <c r="B71" s="22"/>
      <c r="E71" s="113"/>
      <c r="F71" s="113"/>
      <c r="G71" s="113"/>
    </row>
    <row r="72" spans="2:7" x14ac:dyDescent="0.35">
      <c r="B72" s="22"/>
      <c r="E72" s="113"/>
      <c r="F72" s="113"/>
      <c r="G72" s="113"/>
    </row>
    <row r="73" spans="2:7" x14ac:dyDescent="0.35">
      <c r="B73" s="22"/>
      <c r="E73" s="113"/>
      <c r="F73" s="113"/>
      <c r="G73" s="113"/>
    </row>
    <row r="74" spans="2:7" x14ac:dyDescent="0.35">
      <c r="B74" s="22"/>
      <c r="E74" s="113"/>
      <c r="F74" s="113"/>
      <c r="G74" s="113"/>
    </row>
    <row r="75" spans="2:7" x14ac:dyDescent="0.35">
      <c r="B75" s="22"/>
      <c r="E75" s="113"/>
      <c r="F75" s="113"/>
      <c r="G75" s="113"/>
    </row>
    <row r="76" spans="2:7" x14ac:dyDescent="0.35">
      <c r="B76" s="22"/>
      <c r="E76" s="113"/>
      <c r="F76" s="113"/>
      <c r="G76" s="113"/>
    </row>
    <row r="77" spans="2:7" x14ac:dyDescent="0.35">
      <c r="B77" s="22"/>
      <c r="E77" s="113"/>
      <c r="F77" s="113"/>
      <c r="G77" s="113"/>
    </row>
    <row r="78" spans="2:7" x14ac:dyDescent="0.35">
      <c r="B78" s="22"/>
      <c r="E78" s="113"/>
      <c r="F78" s="113"/>
      <c r="G78" s="113"/>
    </row>
    <row r="79" spans="2:7" x14ac:dyDescent="0.35">
      <c r="B79" s="22"/>
      <c r="E79" s="113"/>
      <c r="F79" s="113"/>
      <c r="G79" s="113"/>
    </row>
    <row r="80" spans="2:7" x14ac:dyDescent="0.35">
      <c r="B80" s="22"/>
      <c r="E80" s="113"/>
      <c r="F80" s="113"/>
      <c r="G80" s="113"/>
    </row>
    <row r="81" spans="2:7" x14ac:dyDescent="0.35">
      <c r="B81" s="22"/>
      <c r="E81" s="113"/>
      <c r="F81" s="113"/>
      <c r="G81" s="113"/>
    </row>
    <row r="82" spans="2:7" x14ac:dyDescent="0.35">
      <c r="B82" s="22"/>
      <c r="E82" s="113"/>
      <c r="F82" s="113"/>
      <c r="G82" s="113"/>
    </row>
    <row r="83" spans="2:7" x14ac:dyDescent="0.35">
      <c r="B83" s="22"/>
      <c r="E83" s="113"/>
      <c r="F83" s="113"/>
      <c r="G83" s="113"/>
    </row>
    <row r="84" spans="2:7" x14ac:dyDescent="0.35">
      <c r="B84" s="22"/>
      <c r="E84" s="113"/>
      <c r="F84" s="113"/>
      <c r="G84" s="113"/>
    </row>
    <row r="85" spans="2:7" x14ac:dyDescent="0.35">
      <c r="B85" s="22"/>
      <c r="E85" s="113"/>
      <c r="F85" s="113"/>
      <c r="G85" s="113"/>
    </row>
    <row r="86" spans="2:7" x14ac:dyDescent="0.35">
      <c r="B86" s="22"/>
      <c r="E86" s="113"/>
      <c r="F86" s="113"/>
      <c r="G86" s="113"/>
    </row>
    <row r="87" spans="2:7" x14ac:dyDescent="0.35">
      <c r="B87" s="22"/>
      <c r="E87" s="113"/>
      <c r="F87" s="113"/>
      <c r="G87" s="113"/>
    </row>
    <row r="88" spans="2:7" x14ac:dyDescent="0.35">
      <c r="B88" s="22"/>
      <c r="E88" s="113"/>
      <c r="F88" s="113"/>
      <c r="G88" s="113"/>
    </row>
    <row r="89" spans="2:7" x14ac:dyDescent="0.35">
      <c r="B89" s="22"/>
      <c r="E89" s="113"/>
      <c r="F89" s="113"/>
      <c r="G89" s="113"/>
    </row>
    <row r="90" spans="2:7" x14ac:dyDescent="0.35">
      <c r="B90" s="22"/>
      <c r="E90" s="113"/>
      <c r="F90" s="113"/>
      <c r="G90" s="113"/>
    </row>
    <row r="91" spans="2:7" x14ac:dyDescent="0.35">
      <c r="B91" s="22"/>
      <c r="E91" s="113"/>
      <c r="F91" s="113"/>
      <c r="G91" s="113"/>
    </row>
    <row r="92" spans="2:7" x14ac:dyDescent="0.35">
      <c r="B92" s="22"/>
      <c r="E92" s="113"/>
      <c r="F92" s="113"/>
      <c r="G92" s="113"/>
    </row>
    <row r="93" spans="2:7" x14ac:dyDescent="0.35">
      <c r="B93" s="22"/>
      <c r="E93" s="113"/>
      <c r="F93" s="113"/>
      <c r="G93" s="113"/>
    </row>
    <row r="94" spans="2:7" x14ac:dyDescent="0.35">
      <c r="B94" s="22"/>
      <c r="E94" s="113"/>
      <c r="F94" s="113"/>
      <c r="G94" s="113"/>
    </row>
    <row r="95" spans="2:7" x14ac:dyDescent="0.35">
      <c r="B95" s="22"/>
      <c r="E95" s="113"/>
      <c r="F95" s="113"/>
      <c r="G95" s="113"/>
    </row>
    <row r="96" spans="2:7" x14ac:dyDescent="0.35">
      <c r="B96" s="22"/>
      <c r="E96" s="113"/>
      <c r="F96" s="113"/>
      <c r="G96" s="113"/>
    </row>
    <row r="97" spans="2:7" x14ac:dyDescent="0.35">
      <c r="B97" s="22"/>
      <c r="E97" s="113"/>
      <c r="F97" s="113"/>
      <c r="G97" s="113"/>
    </row>
    <row r="98" spans="2:7" x14ac:dyDescent="0.35">
      <c r="B98" s="22"/>
      <c r="E98" s="113"/>
      <c r="F98" s="113"/>
      <c r="G98" s="113"/>
    </row>
    <row r="99" spans="2:7" x14ac:dyDescent="0.35">
      <c r="B99" s="22"/>
      <c r="E99" s="113"/>
      <c r="F99" s="113"/>
      <c r="G99" s="113"/>
    </row>
    <row r="100" spans="2:7" x14ac:dyDescent="0.35">
      <c r="B100" s="22"/>
      <c r="E100" s="113"/>
      <c r="F100" s="113"/>
      <c r="G100" s="113"/>
    </row>
    <row r="101" spans="2:7" x14ac:dyDescent="0.35">
      <c r="B101" s="22"/>
      <c r="E101" s="113"/>
      <c r="F101" s="113"/>
      <c r="G101" s="113"/>
    </row>
    <row r="102" spans="2:7" x14ac:dyDescent="0.35">
      <c r="B102" s="22"/>
      <c r="E102" s="113"/>
      <c r="F102" s="113"/>
      <c r="G102" s="113"/>
    </row>
    <row r="103" spans="2:7" x14ac:dyDescent="0.35">
      <c r="B103" s="22"/>
      <c r="E103" s="113"/>
      <c r="F103" s="113"/>
      <c r="G103" s="113"/>
    </row>
    <row r="104" spans="2:7" x14ac:dyDescent="0.35">
      <c r="B104" s="22"/>
      <c r="E104" s="113"/>
      <c r="F104" s="113"/>
      <c r="G104" s="113"/>
    </row>
    <row r="105" spans="2:7" x14ac:dyDescent="0.35">
      <c r="B105" s="22"/>
      <c r="E105" s="113"/>
      <c r="F105" s="113"/>
      <c r="G105" s="113"/>
    </row>
    <row r="106" spans="2:7" x14ac:dyDescent="0.35">
      <c r="B106" s="22"/>
      <c r="E106" s="113"/>
      <c r="F106" s="113"/>
      <c r="G106" s="113"/>
    </row>
    <row r="107" spans="2:7" x14ac:dyDescent="0.35">
      <c r="B107" s="22"/>
      <c r="E107" s="113"/>
      <c r="F107" s="113"/>
      <c r="G107" s="113"/>
    </row>
    <row r="108" spans="2:7" x14ac:dyDescent="0.35">
      <c r="B108" s="22"/>
      <c r="E108" s="113"/>
      <c r="F108" s="113"/>
      <c r="G108" s="113"/>
    </row>
    <row r="109" spans="2:7" x14ac:dyDescent="0.35">
      <c r="B109" s="22"/>
      <c r="E109" s="113"/>
      <c r="F109" s="113"/>
      <c r="G109" s="113"/>
    </row>
    <row r="110" spans="2:7" x14ac:dyDescent="0.35">
      <c r="B110" s="22"/>
      <c r="E110" s="113"/>
      <c r="F110" s="113"/>
      <c r="G110" s="113"/>
    </row>
    <row r="111" spans="2:7" x14ac:dyDescent="0.35">
      <c r="B111" s="22"/>
      <c r="E111" s="113"/>
      <c r="F111" s="113"/>
      <c r="G111" s="113"/>
    </row>
    <row r="112" spans="2:7" x14ac:dyDescent="0.35">
      <c r="B112" s="22"/>
      <c r="E112" s="113"/>
      <c r="F112" s="113"/>
      <c r="G112" s="113"/>
    </row>
    <row r="113" spans="2:7" x14ac:dyDescent="0.35">
      <c r="B113" s="22"/>
      <c r="E113" s="113"/>
      <c r="F113" s="113"/>
      <c r="G113" s="113"/>
    </row>
    <row r="114" spans="2:7" x14ac:dyDescent="0.35">
      <c r="B114" s="22"/>
      <c r="E114" s="113"/>
      <c r="F114" s="113"/>
      <c r="G114" s="113"/>
    </row>
    <row r="115" spans="2:7" x14ac:dyDescent="0.35">
      <c r="B115" s="22"/>
      <c r="E115" s="113"/>
      <c r="F115" s="113"/>
      <c r="G115" s="113"/>
    </row>
    <row r="116" spans="2:7" x14ac:dyDescent="0.35">
      <c r="B116" s="22"/>
      <c r="E116" s="113"/>
      <c r="F116" s="113"/>
      <c r="G116" s="113"/>
    </row>
    <row r="117" spans="2:7" x14ac:dyDescent="0.35">
      <c r="B117" s="22"/>
      <c r="E117" s="113"/>
      <c r="F117" s="113"/>
      <c r="G117" s="113"/>
    </row>
    <row r="118" spans="2:7" x14ac:dyDescent="0.35">
      <c r="B118" s="22"/>
      <c r="E118" s="113"/>
      <c r="F118" s="113"/>
      <c r="G118" s="113"/>
    </row>
    <row r="119" spans="2:7" x14ac:dyDescent="0.35">
      <c r="B119" s="22"/>
      <c r="E119" s="113"/>
      <c r="F119" s="113"/>
      <c r="G119" s="113"/>
    </row>
    <row r="120" spans="2:7" x14ac:dyDescent="0.35">
      <c r="B120" s="22"/>
      <c r="E120" s="113"/>
      <c r="F120" s="113"/>
      <c r="G120" s="113"/>
    </row>
    <row r="121" spans="2:7" x14ac:dyDescent="0.35">
      <c r="B121" s="22"/>
      <c r="E121" s="113"/>
      <c r="F121" s="113"/>
      <c r="G121" s="113"/>
    </row>
    <row r="122" spans="2:7" x14ac:dyDescent="0.35">
      <c r="B122" s="22"/>
      <c r="E122" s="113"/>
      <c r="F122" s="113"/>
      <c r="G122" s="113"/>
    </row>
    <row r="123" spans="2:7" x14ac:dyDescent="0.35">
      <c r="B123" s="22"/>
      <c r="E123" s="113"/>
      <c r="F123" s="113"/>
      <c r="G123" s="113"/>
    </row>
    <row r="124" spans="2:7" x14ac:dyDescent="0.35">
      <c r="B124" s="22"/>
      <c r="E124" s="113"/>
      <c r="F124" s="113"/>
      <c r="G124" s="113"/>
    </row>
    <row r="125" spans="2:7" x14ac:dyDescent="0.35">
      <c r="B125" s="22"/>
      <c r="E125" s="113"/>
      <c r="F125" s="113"/>
      <c r="G125" s="113"/>
    </row>
    <row r="126" spans="2:7" x14ac:dyDescent="0.35">
      <c r="B126" s="22"/>
      <c r="E126" s="113"/>
      <c r="F126" s="113"/>
      <c r="G126" s="113"/>
    </row>
    <row r="127" spans="2:7" x14ac:dyDescent="0.35">
      <c r="B127" s="22"/>
      <c r="E127" s="113"/>
      <c r="F127" s="113"/>
      <c r="G127" s="113"/>
    </row>
    <row r="128" spans="2:7" x14ac:dyDescent="0.35">
      <c r="B128" s="22"/>
      <c r="E128" s="113"/>
      <c r="F128" s="113"/>
      <c r="G128" s="113"/>
    </row>
    <row r="129" spans="2:7" x14ac:dyDescent="0.35">
      <c r="B129" s="22"/>
      <c r="E129" s="113"/>
      <c r="F129" s="113"/>
      <c r="G129" s="113"/>
    </row>
    <row r="130" spans="2:7" x14ac:dyDescent="0.35">
      <c r="B130" s="22"/>
      <c r="E130" s="113"/>
      <c r="F130" s="113"/>
      <c r="G130" s="113"/>
    </row>
    <row r="131" spans="2:7" x14ac:dyDescent="0.35">
      <c r="B131" s="22"/>
      <c r="E131" s="113"/>
      <c r="F131" s="113"/>
      <c r="G131" s="113"/>
    </row>
    <row r="132" spans="2:7" x14ac:dyDescent="0.35">
      <c r="B132" s="22"/>
      <c r="E132" s="113"/>
      <c r="F132" s="113"/>
      <c r="G132" s="113"/>
    </row>
    <row r="133" spans="2:7" x14ac:dyDescent="0.35">
      <c r="B133" s="22"/>
      <c r="E133" s="113"/>
      <c r="F133" s="113"/>
      <c r="G133" s="113"/>
    </row>
    <row r="134" spans="2:7" x14ac:dyDescent="0.35">
      <c r="B134" s="22"/>
      <c r="E134" s="113"/>
      <c r="F134" s="113"/>
      <c r="G134" s="113"/>
    </row>
    <row r="135" spans="2:7" x14ac:dyDescent="0.35">
      <c r="B135" s="22"/>
      <c r="E135" s="113"/>
      <c r="F135" s="113"/>
      <c r="G135" s="113"/>
    </row>
    <row r="136" spans="2:7" x14ac:dyDescent="0.35">
      <c r="B136" s="22"/>
      <c r="E136" s="113"/>
      <c r="F136" s="113"/>
      <c r="G136" s="113"/>
    </row>
    <row r="137" spans="2:7" x14ac:dyDescent="0.35">
      <c r="B137" s="22"/>
      <c r="E137" s="113"/>
      <c r="F137" s="113"/>
      <c r="G137" s="113"/>
    </row>
    <row r="138" spans="2:7" x14ac:dyDescent="0.35">
      <c r="B138" s="22"/>
      <c r="E138" s="113"/>
      <c r="F138" s="113"/>
      <c r="G138" s="113"/>
    </row>
    <row r="139" spans="2:7" x14ac:dyDescent="0.35">
      <c r="B139" s="22"/>
      <c r="E139" s="113"/>
      <c r="F139" s="113"/>
      <c r="G139" s="113"/>
    </row>
    <row r="140" spans="2:7" x14ac:dyDescent="0.35">
      <c r="B140" s="22"/>
      <c r="E140" s="113"/>
      <c r="F140" s="113"/>
      <c r="G140" s="113"/>
    </row>
    <row r="141" spans="2:7" x14ac:dyDescent="0.35">
      <c r="B141" s="22"/>
      <c r="E141" s="113"/>
      <c r="F141" s="113"/>
      <c r="G141" s="113"/>
    </row>
    <row r="142" spans="2:7" x14ac:dyDescent="0.35">
      <c r="B142" s="22"/>
      <c r="E142" s="113"/>
      <c r="F142" s="113"/>
      <c r="G142" s="113"/>
    </row>
    <row r="143" spans="2:7" x14ac:dyDescent="0.35">
      <c r="B143" s="22"/>
      <c r="E143" s="113"/>
      <c r="F143" s="113"/>
      <c r="G143" s="113"/>
    </row>
    <row r="144" spans="2:7" x14ac:dyDescent="0.35">
      <c r="B144" s="22"/>
      <c r="E144" s="113"/>
      <c r="F144" s="113"/>
      <c r="G144" s="113"/>
    </row>
    <row r="145" spans="2:7" x14ac:dyDescent="0.35">
      <c r="B145" s="22"/>
      <c r="E145" s="113"/>
      <c r="F145" s="113"/>
      <c r="G145" s="113"/>
    </row>
    <row r="146" spans="2:7" x14ac:dyDescent="0.35">
      <c r="B146" s="22"/>
      <c r="E146" s="113"/>
      <c r="F146" s="113"/>
      <c r="G146" s="113"/>
    </row>
    <row r="147" spans="2:7" x14ac:dyDescent="0.35">
      <c r="B147" s="22"/>
      <c r="E147" s="113"/>
      <c r="F147" s="113"/>
      <c r="G147" s="113"/>
    </row>
    <row r="148" spans="2:7" x14ac:dyDescent="0.35">
      <c r="B148" s="22"/>
      <c r="E148" s="113"/>
      <c r="F148" s="113"/>
      <c r="G148" s="113"/>
    </row>
    <row r="149" spans="2:7" x14ac:dyDescent="0.35">
      <c r="B149" s="22"/>
      <c r="E149" s="113"/>
      <c r="F149" s="113"/>
      <c r="G149" s="113"/>
    </row>
    <row r="150" spans="2:7" x14ac:dyDescent="0.35">
      <c r="B150" s="22"/>
      <c r="E150" s="113"/>
      <c r="F150" s="113"/>
      <c r="G150" s="113"/>
    </row>
    <row r="151" spans="2:7" x14ac:dyDescent="0.35">
      <c r="B151" s="22"/>
      <c r="E151" s="113"/>
      <c r="F151" s="113"/>
      <c r="G151" s="113"/>
    </row>
    <row r="152" spans="2:7" x14ac:dyDescent="0.35">
      <c r="B152" s="22"/>
      <c r="E152" s="113"/>
      <c r="F152" s="113"/>
      <c r="G152" s="113"/>
    </row>
    <row r="153" spans="2:7" x14ac:dyDescent="0.35">
      <c r="B153" s="22"/>
      <c r="E153" s="113"/>
      <c r="F153" s="113"/>
      <c r="G153" s="113"/>
    </row>
    <row r="154" spans="2:7" x14ac:dyDescent="0.35">
      <c r="B154" s="22"/>
      <c r="E154" s="113"/>
      <c r="F154" s="113"/>
      <c r="G154" s="113"/>
    </row>
    <row r="155" spans="2:7" x14ac:dyDescent="0.35">
      <c r="B155" s="22"/>
      <c r="E155" s="113"/>
      <c r="F155" s="113"/>
      <c r="G155" s="113"/>
    </row>
    <row r="156" spans="2:7" x14ac:dyDescent="0.35">
      <c r="B156" s="22"/>
      <c r="E156" s="113"/>
      <c r="F156" s="113"/>
      <c r="G156" s="113"/>
    </row>
    <row r="157" spans="2:7" x14ac:dyDescent="0.35">
      <c r="B157" s="22"/>
      <c r="E157" s="113"/>
      <c r="F157" s="113"/>
      <c r="G157" s="113"/>
    </row>
    <row r="158" spans="2:7" x14ac:dyDescent="0.35">
      <c r="B158" s="22"/>
      <c r="E158" s="113"/>
      <c r="F158" s="113"/>
      <c r="G158" s="113"/>
    </row>
    <row r="159" spans="2:7" x14ac:dyDescent="0.35">
      <c r="B159" s="22"/>
      <c r="E159" s="113"/>
      <c r="F159" s="113"/>
      <c r="G159" s="113"/>
    </row>
    <row r="160" spans="2:7" x14ac:dyDescent="0.35">
      <c r="B160" s="22"/>
      <c r="E160" s="113"/>
      <c r="F160" s="113"/>
      <c r="G160" s="113"/>
    </row>
    <row r="161" spans="2:7" x14ac:dyDescent="0.35">
      <c r="B161" s="22"/>
      <c r="E161" s="113"/>
      <c r="F161" s="113"/>
      <c r="G161" s="113"/>
    </row>
    <row r="162" spans="2:7" x14ac:dyDescent="0.35">
      <c r="B162" s="22"/>
      <c r="E162" s="113"/>
      <c r="F162" s="113"/>
      <c r="G162" s="113"/>
    </row>
    <row r="163" spans="2:7" x14ac:dyDescent="0.35">
      <c r="B163" s="22"/>
      <c r="E163" s="113"/>
      <c r="F163" s="113"/>
      <c r="G163" s="113"/>
    </row>
    <row r="164" spans="2:7" x14ac:dyDescent="0.35">
      <c r="B164" s="22"/>
      <c r="E164" s="113"/>
      <c r="F164" s="113"/>
      <c r="G164" s="113"/>
    </row>
    <row r="165" spans="2:7" x14ac:dyDescent="0.35">
      <c r="B165" s="22"/>
      <c r="E165" s="113"/>
      <c r="F165" s="113"/>
      <c r="G165" s="113"/>
    </row>
    <row r="166" spans="2:7" x14ac:dyDescent="0.35">
      <c r="B166" s="22"/>
      <c r="E166" s="113"/>
      <c r="F166" s="113"/>
      <c r="G166" s="113"/>
    </row>
    <row r="167" spans="2:7" x14ac:dyDescent="0.35">
      <c r="B167" s="22"/>
      <c r="E167" s="113"/>
      <c r="F167" s="113"/>
      <c r="G167" s="113"/>
    </row>
    <row r="168" spans="2:7" x14ac:dyDescent="0.35">
      <c r="B168" s="22"/>
      <c r="E168" s="113"/>
      <c r="F168" s="113"/>
      <c r="G168" s="113"/>
    </row>
    <row r="169" spans="2:7" x14ac:dyDescent="0.35">
      <c r="B169" s="22"/>
      <c r="E169" s="113"/>
      <c r="F169" s="113"/>
      <c r="G169" s="113"/>
    </row>
    <row r="170" spans="2:7" x14ac:dyDescent="0.35">
      <c r="B170" s="22"/>
      <c r="E170" s="113"/>
      <c r="F170" s="113"/>
      <c r="G170" s="113"/>
    </row>
    <row r="171" spans="2:7" x14ac:dyDescent="0.35">
      <c r="B171" s="22"/>
      <c r="E171" s="113"/>
      <c r="F171" s="113"/>
      <c r="G171" s="113"/>
    </row>
    <row r="172" spans="2:7" x14ac:dyDescent="0.35">
      <c r="B172" s="22"/>
      <c r="E172" s="113"/>
      <c r="F172" s="113"/>
      <c r="G172" s="113"/>
    </row>
    <row r="173" spans="2:7" x14ac:dyDescent="0.35">
      <c r="B173" s="22"/>
      <c r="E173" s="113"/>
      <c r="F173" s="113"/>
      <c r="G173" s="113"/>
    </row>
    <row r="174" spans="2:7" x14ac:dyDescent="0.35">
      <c r="B174" s="22"/>
      <c r="E174" s="113"/>
      <c r="F174" s="113"/>
      <c r="G174" s="113"/>
    </row>
    <row r="175" spans="2:7" x14ac:dyDescent="0.35">
      <c r="B175" s="22"/>
      <c r="E175" s="113"/>
      <c r="F175" s="113"/>
      <c r="G175" s="113"/>
    </row>
    <row r="176" spans="2:7" x14ac:dyDescent="0.35">
      <c r="B176" s="22"/>
      <c r="E176" s="113"/>
      <c r="F176" s="113"/>
      <c r="G176" s="113"/>
    </row>
    <row r="177" spans="2:7" x14ac:dyDescent="0.35">
      <c r="B177" s="22"/>
      <c r="E177" s="113"/>
      <c r="F177" s="113"/>
      <c r="G177" s="113"/>
    </row>
    <row r="178" spans="2:7" x14ac:dyDescent="0.35">
      <c r="B178" s="22"/>
      <c r="E178" s="113"/>
      <c r="F178" s="113"/>
      <c r="G178" s="113"/>
    </row>
    <row r="179" spans="2:7" x14ac:dyDescent="0.35">
      <c r="B179" s="22"/>
      <c r="E179" s="113"/>
      <c r="F179" s="113"/>
      <c r="G179" s="113"/>
    </row>
    <row r="180" spans="2:7" x14ac:dyDescent="0.35">
      <c r="B180" s="22"/>
      <c r="E180" s="113"/>
      <c r="F180" s="113"/>
      <c r="G180" s="113"/>
    </row>
    <row r="181" spans="2:7" x14ac:dyDescent="0.35">
      <c r="B181" s="22"/>
      <c r="E181" s="113"/>
      <c r="F181" s="113"/>
      <c r="G181" s="113"/>
    </row>
    <row r="182" spans="2:7" x14ac:dyDescent="0.35">
      <c r="B182" s="22"/>
      <c r="E182" s="113"/>
      <c r="F182" s="113"/>
      <c r="G182" s="113"/>
    </row>
    <row r="183" spans="2:7" x14ac:dyDescent="0.35">
      <c r="B183" s="22"/>
      <c r="E183" s="113"/>
      <c r="F183" s="113"/>
      <c r="G183" s="113"/>
    </row>
    <row r="184" spans="2:7" x14ac:dyDescent="0.35">
      <c r="B184" s="22"/>
      <c r="E184" s="113"/>
      <c r="F184" s="113"/>
      <c r="G184" s="113"/>
    </row>
    <row r="185" spans="2:7" x14ac:dyDescent="0.35">
      <c r="B185" s="22"/>
      <c r="E185" s="113"/>
      <c r="F185" s="113"/>
      <c r="G185" s="113"/>
    </row>
    <row r="186" spans="2:7" x14ac:dyDescent="0.35">
      <c r="B186" s="22"/>
      <c r="E186" s="113"/>
      <c r="F186" s="113"/>
      <c r="G186" s="113"/>
    </row>
    <row r="187" spans="2:7" x14ac:dyDescent="0.35">
      <c r="B187" s="22"/>
      <c r="E187" s="113"/>
      <c r="F187" s="113"/>
      <c r="G187" s="113"/>
    </row>
    <row r="188" spans="2:7" x14ac:dyDescent="0.35">
      <c r="B188" s="22"/>
      <c r="E188" s="113"/>
      <c r="F188" s="113"/>
      <c r="G188" s="113"/>
    </row>
    <row r="189" spans="2:7" x14ac:dyDescent="0.35">
      <c r="B189" s="22"/>
      <c r="E189" s="113"/>
      <c r="F189" s="113"/>
      <c r="G189" s="113"/>
    </row>
    <row r="190" spans="2:7" x14ac:dyDescent="0.35">
      <c r="B190" s="22"/>
      <c r="E190" s="113"/>
      <c r="F190" s="113"/>
      <c r="G190" s="113"/>
    </row>
    <row r="191" spans="2:7" x14ac:dyDescent="0.35">
      <c r="B191" s="22"/>
      <c r="E191" s="113"/>
      <c r="F191" s="113"/>
      <c r="G191" s="113"/>
    </row>
    <row r="192" spans="2:7" x14ac:dyDescent="0.35">
      <c r="B192" s="22"/>
      <c r="E192" s="113"/>
      <c r="F192" s="113"/>
      <c r="G192" s="113"/>
    </row>
    <row r="193" spans="2:7" x14ac:dyDescent="0.35">
      <c r="B193" s="22"/>
      <c r="E193" s="113"/>
      <c r="F193" s="113"/>
      <c r="G193" s="113"/>
    </row>
    <row r="194" spans="2:7" x14ac:dyDescent="0.35">
      <c r="B194" s="22"/>
      <c r="E194" s="113"/>
      <c r="F194" s="113"/>
      <c r="G194" s="113"/>
    </row>
    <row r="195" spans="2:7" x14ac:dyDescent="0.35">
      <c r="B195" s="22"/>
      <c r="E195" s="113"/>
      <c r="F195" s="113"/>
      <c r="G195" s="113"/>
    </row>
    <row r="196" spans="2:7" x14ac:dyDescent="0.35">
      <c r="B196" s="22"/>
      <c r="E196" s="113"/>
      <c r="F196" s="113"/>
      <c r="G196" s="113"/>
    </row>
    <row r="197" spans="2:7" x14ac:dyDescent="0.35">
      <c r="B197" s="22"/>
      <c r="E197" s="113"/>
      <c r="F197" s="113"/>
      <c r="G197" s="113"/>
    </row>
    <row r="198" spans="2:7" x14ac:dyDescent="0.35">
      <c r="B198" s="22"/>
      <c r="E198" s="113"/>
      <c r="F198" s="113"/>
      <c r="G198" s="113"/>
    </row>
    <row r="199" spans="2:7" x14ac:dyDescent="0.35">
      <c r="B199" s="22"/>
      <c r="E199" s="113"/>
      <c r="F199" s="113"/>
      <c r="G199" s="113"/>
    </row>
    <row r="200" spans="2:7" x14ac:dyDescent="0.35">
      <c r="B200" s="22"/>
      <c r="E200" s="113"/>
      <c r="F200" s="113"/>
      <c r="G200" s="113"/>
    </row>
    <row r="201" spans="2:7" x14ac:dyDescent="0.35">
      <c r="B201" s="22"/>
      <c r="E201" s="113"/>
      <c r="F201" s="113"/>
      <c r="G201" s="113"/>
    </row>
    <row r="202" spans="2:7" x14ac:dyDescent="0.35">
      <c r="B202" s="22"/>
      <c r="E202" s="113"/>
      <c r="F202" s="113"/>
      <c r="G202" s="113"/>
    </row>
    <row r="203" spans="2:7" x14ac:dyDescent="0.35">
      <c r="B203" s="22"/>
      <c r="E203" s="113"/>
      <c r="F203" s="113"/>
      <c r="G203" s="113"/>
    </row>
    <row r="204" spans="2:7" x14ac:dyDescent="0.35">
      <c r="B204" s="22"/>
      <c r="E204" s="113"/>
      <c r="F204" s="113"/>
      <c r="G204" s="113"/>
    </row>
    <row r="205" spans="2:7" x14ac:dyDescent="0.35">
      <c r="B205" s="22"/>
      <c r="E205" s="113"/>
      <c r="F205" s="113"/>
      <c r="G205" s="113"/>
    </row>
    <row r="206" spans="2:7" x14ac:dyDescent="0.35">
      <c r="B206" s="22"/>
      <c r="E206" s="113"/>
      <c r="F206" s="113"/>
      <c r="G206" s="113"/>
    </row>
    <row r="207" spans="2:7" x14ac:dyDescent="0.35">
      <c r="B207" s="22"/>
      <c r="E207" s="113"/>
      <c r="F207" s="113"/>
      <c r="G207" s="113"/>
    </row>
    <row r="208" spans="2:7" x14ac:dyDescent="0.35">
      <c r="B208" s="22"/>
      <c r="E208" s="113"/>
      <c r="F208" s="113"/>
      <c r="G208" s="113"/>
    </row>
    <row r="209" spans="2:7" x14ac:dyDescent="0.35">
      <c r="B209" s="22"/>
      <c r="E209" s="113"/>
      <c r="F209" s="113"/>
      <c r="G209" s="113"/>
    </row>
    <row r="210" spans="2:7" x14ac:dyDescent="0.35">
      <c r="B210" s="22"/>
      <c r="E210" s="113"/>
      <c r="F210" s="113"/>
      <c r="G210" s="113"/>
    </row>
    <row r="211" spans="2:7" x14ac:dyDescent="0.35">
      <c r="B211" s="22"/>
      <c r="E211" s="113"/>
      <c r="F211" s="113"/>
      <c r="G211" s="113"/>
    </row>
    <row r="212" spans="2:7" x14ac:dyDescent="0.35">
      <c r="B212" s="22"/>
      <c r="E212" s="113"/>
      <c r="F212" s="113"/>
      <c r="G212" s="113"/>
    </row>
    <row r="213" spans="2:7" x14ac:dyDescent="0.35">
      <c r="B213" s="22"/>
      <c r="E213" s="113"/>
      <c r="F213" s="113"/>
      <c r="G213" s="113"/>
    </row>
    <row r="214" spans="2:7" x14ac:dyDescent="0.35">
      <c r="B214" s="22"/>
      <c r="E214" s="113"/>
      <c r="F214" s="113"/>
      <c r="G214" s="113"/>
    </row>
    <row r="215" spans="2:7" x14ac:dyDescent="0.35">
      <c r="B215" s="22"/>
      <c r="E215" s="113"/>
      <c r="F215" s="113"/>
      <c r="G215" s="113"/>
    </row>
    <row r="216" spans="2:7" x14ac:dyDescent="0.35">
      <c r="B216" s="22"/>
      <c r="E216" s="113"/>
      <c r="F216" s="113"/>
      <c r="G216" s="113"/>
    </row>
    <row r="217" spans="2:7" x14ac:dyDescent="0.35">
      <c r="B217" s="22"/>
      <c r="E217" s="113"/>
      <c r="F217" s="113"/>
      <c r="G217" s="113"/>
    </row>
    <row r="218" spans="2:7" x14ac:dyDescent="0.35">
      <c r="B218" s="22"/>
      <c r="E218" s="113"/>
      <c r="F218" s="113"/>
      <c r="G218" s="113"/>
    </row>
    <row r="219" spans="2:7" x14ac:dyDescent="0.35">
      <c r="B219" s="22"/>
      <c r="E219" s="113"/>
      <c r="F219" s="113"/>
      <c r="G219" s="113"/>
    </row>
    <row r="220" spans="2:7" x14ac:dyDescent="0.35">
      <c r="B220" s="22"/>
      <c r="E220" s="113"/>
      <c r="F220" s="113"/>
      <c r="G220" s="113"/>
    </row>
    <row r="221" spans="2:7" x14ac:dyDescent="0.35">
      <c r="B221" s="22"/>
      <c r="E221" s="113"/>
      <c r="F221" s="113"/>
      <c r="G221" s="113"/>
    </row>
    <row r="222" spans="2:7" x14ac:dyDescent="0.35">
      <c r="B222" s="22"/>
      <c r="E222" s="113"/>
      <c r="F222" s="113"/>
      <c r="G222" s="113"/>
    </row>
    <row r="223" spans="2:7" x14ac:dyDescent="0.35">
      <c r="B223" s="22"/>
      <c r="E223" s="113"/>
      <c r="F223" s="113"/>
      <c r="G223" s="113"/>
    </row>
    <row r="224" spans="2:7" x14ac:dyDescent="0.35">
      <c r="B224" s="22"/>
      <c r="E224" s="113"/>
      <c r="F224" s="113"/>
      <c r="G224" s="113"/>
    </row>
    <row r="225" spans="2:7" x14ac:dyDescent="0.35">
      <c r="B225" s="22"/>
      <c r="E225" s="113"/>
      <c r="F225" s="113"/>
      <c r="G225" s="113"/>
    </row>
    <row r="226" spans="2:7" x14ac:dyDescent="0.35">
      <c r="B226" s="22"/>
      <c r="E226" s="113"/>
      <c r="F226" s="113"/>
      <c r="G226" s="113"/>
    </row>
    <row r="227" spans="2:7" x14ac:dyDescent="0.35">
      <c r="B227" s="22"/>
      <c r="E227" s="113"/>
      <c r="F227" s="113"/>
      <c r="G227" s="113"/>
    </row>
    <row r="228" spans="2:7" x14ac:dyDescent="0.35">
      <c r="B228" s="22"/>
      <c r="E228" s="113"/>
      <c r="F228" s="113"/>
      <c r="G228" s="113"/>
    </row>
    <row r="229" spans="2:7" x14ac:dyDescent="0.35">
      <c r="B229" s="22"/>
      <c r="E229" s="113"/>
      <c r="F229" s="113"/>
      <c r="G229" s="113"/>
    </row>
    <row r="230" spans="2:7" x14ac:dyDescent="0.35">
      <c r="B230" s="22"/>
      <c r="E230" s="113"/>
      <c r="F230" s="113"/>
      <c r="G230" s="113"/>
    </row>
    <row r="231" spans="2:7" x14ac:dyDescent="0.35">
      <c r="B231" s="22"/>
      <c r="E231" s="113"/>
      <c r="F231" s="113"/>
      <c r="G231" s="113"/>
    </row>
    <row r="232" spans="2:7" x14ac:dyDescent="0.35">
      <c r="B232" s="22"/>
      <c r="E232" s="113"/>
      <c r="F232" s="113"/>
      <c r="G232" s="113"/>
    </row>
    <row r="233" spans="2:7" x14ac:dyDescent="0.35">
      <c r="B233" s="22"/>
      <c r="E233" s="113"/>
      <c r="F233" s="113"/>
      <c r="G233" s="113"/>
    </row>
    <row r="234" spans="2:7" x14ac:dyDescent="0.35">
      <c r="B234" s="22"/>
      <c r="E234" s="113"/>
      <c r="F234" s="113"/>
      <c r="G234" s="113"/>
    </row>
    <row r="235" spans="2:7" x14ac:dyDescent="0.35">
      <c r="B235" s="22"/>
      <c r="E235" s="113"/>
      <c r="F235" s="113"/>
      <c r="G235" s="113"/>
    </row>
    <row r="236" spans="2:7" x14ac:dyDescent="0.35">
      <c r="B236" s="22"/>
      <c r="E236" s="113"/>
      <c r="F236" s="113"/>
      <c r="G236" s="113"/>
    </row>
    <row r="237" spans="2:7" x14ac:dyDescent="0.35">
      <c r="B237" s="22"/>
      <c r="E237" s="113"/>
      <c r="F237" s="113"/>
      <c r="G237" s="113"/>
    </row>
    <row r="238" spans="2:7" x14ac:dyDescent="0.35">
      <c r="B238" s="22"/>
      <c r="E238" s="113"/>
      <c r="F238" s="113"/>
      <c r="G238" s="113"/>
    </row>
    <row r="239" spans="2:7" x14ac:dyDescent="0.35">
      <c r="B239" s="22"/>
      <c r="E239" s="113"/>
      <c r="F239" s="113"/>
      <c r="G239" s="113"/>
    </row>
    <row r="240" spans="2:7" x14ac:dyDescent="0.35">
      <c r="B240" s="22"/>
      <c r="E240" s="113"/>
      <c r="F240" s="113"/>
      <c r="G240" s="113"/>
    </row>
    <row r="241" spans="2:7" x14ac:dyDescent="0.35">
      <c r="B241" s="22"/>
      <c r="E241" s="113"/>
      <c r="F241" s="113"/>
      <c r="G241" s="113"/>
    </row>
    <row r="242" spans="2:7" x14ac:dyDescent="0.35">
      <c r="B242" s="22"/>
      <c r="E242" s="113"/>
      <c r="F242" s="113"/>
      <c r="G242" s="113"/>
    </row>
    <row r="243" spans="2:7" x14ac:dyDescent="0.35">
      <c r="B243" s="22"/>
      <c r="E243" s="113"/>
      <c r="F243" s="113"/>
      <c r="G243" s="113"/>
    </row>
    <row r="244" spans="2:7" x14ac:dyDescent="0.35">
      <c r="B244" s="22"/>
      <c r="E244" s="113"/>
      <c r="F244" s="113"/>
      <c r="G244" s="113"/>
    </row>
    <row r="245" spans="2:7" x14ac:dyDescent="0.35">
      <c r="B245" s="22"/>
      <c r="E245" s="113"/>
      <c r="F245" s="113"/>
      <c r="G245" s="113"/>
    </row>
    <row r="246" spans="2:7" x14ac:dyDescent="0.35">
      <c r="B246" s="22"/>
      <c r="E246" s="113"/>
      <c r="F246" s="113"/>
      <c r="G246" s="113"/>
    </row>
    <row r="247" spans="2:7" x14ac:dyDescent="0.35">
      <c r="B247" s="22"/>
      <c r="E247" s="113"/>
      <c r="F247" s="113"/>
      <c r="G247" s="113"/>
    </row>
    <row r="248" spans="2:7" x14ac:dyDescent="0.35">
      <c r="B248" s="22"/>
      <c r="E248" s="113"/>
      <c r="F248" s="113"/>
      <c r="G248" s="113"/>
    </row>
    <row r="249" spans="2:7" x14ac:dyDescent="0.35">
      <c r="B249" s="22"/>
      <c r="E249" s="113"/>
      <c r="F249" s="113"/>
      <c r="G249" s="113"/>
    </row>
    <row r="250" spans="2:7" x14ac:dyDescent="0.35">
      <c r="B250" s="22"/>
      <c r="E250" s="113"/>
      <c r="F250" s="113"/>
      <c r="G250" s="113"/>
    </row>
    <row r="251" spans="2:7" x14ac:dyDescent="0.35">
      <c r="B251" s="22"/>
      <c r="E251" s="113"/>
      <c r="F251" s="113"/>
      <c r="G251" s="113"/>
    </row>
    <row r="252" spans="2:7" x14ac:dyDescent="0.35">
      <c r="B252" s="22"/>
      <c r="E252" s="113"/>
      <c r="F252" s="113"/>
      <c r="G252" s="113"/>
    </row>
    <row r="253" spans="2:7" x14ac:dyDescent="0.35">
      <c r="B253" s="22"/>
      <c r="E253" s="113"/>
      <c r="F253" s="113"/>
      <c r="G253" s="113"/>
    </row>
    <row r="254" spans="2:7" x14ac:dyDescent="0.35">
      <c r="B254" s="22"/>
      <c r="E254" s="113"/>
      <c r="F254" s="113"/>
      <c r="G254" s="113"/>
    </row>
    <row r="255" spans="2:7" x14ac:dyDescent="0.35">
      <c r="B255" s="22"/>
      <c r="E255" s="113"/>
      <c r="F255" s="113"/>
      <c r="G255" s="113"/>
    </row>
    <row r="256" spans="2:7" x14ac:dyDescent="0.35">
      <c r="B256" s="22"/>
      <c r="E256" s="113"/>
      <c r="F256" s="113"/>
      <c r="G256" s="113"/>
    </row>
    <row r="257" spans="2:7" x14ac:dyDescent="0.35">
      <c r="B257" s="22"/>
      <c r="E257" s="113"/>
      <c r="F257" s="113"/>
      <c r="G257" s="113"/>
    </row>
    <row r="258" spans="2:7" x14ac:dyDescent="0.35">
      <c r="B258" s="22"/>
      <c r="E258" s="113"/>
      <c r="F258" s="113"/>
      <c r="G258" s="113"/>
    </row>
    <row r="259" spans="2:7" x14ac:dyDescent="0.35">
      <c r="B259" s="22"/>
      <c r="E259" s="113"/>
      <c r="F259" s="113"/>
      <c r="G259" s="113"/>
    </row>
    <row r="260" spans="2:7" x14ac:dyDescent="0.35">
      <c r="B260" s="22"/>
      <c r="E260" s="113"/>
      <c r="F260" s="113"/>
      <c r="G260" s="113"/>
    </row>
    <row r="261" spans="2:7" x14ac:dyDescent="0.35">
      <c r="B261" s="22"/>
      <c r="E261" s="113"/>
      <c r="F261" s="113"/>
      <c r="G261" s="113"/>
    </row>
    <row r="262" spans="2:7" x14ac:dyDescent="0.35">
      <c r="B262" s="22"/>
      <c r="E262" s="113"/>
      <c r="F262" s="113"/>
      <c r="G262" s="113"/>
    </row>
    <row r="263" spans="2:7" x14ac:dyDescent="0.35">
      <c r="B263" s="22"/>
      <c r="E263" s="113"/>
      <c r="F263" s="113"/>
      <c r="G263" s="113"/>
    </row>
    <row r="264" spans="2:7" x14ac:dyDescent="0.35">
      <c r="B264" s="22"/>
      <c r="E264" s="113"/>
      <c r="F264" s="113"/>
      <c r="G264" s="113"/>
    </row>
    <row r="265" spans="2:7" x14ac:dyDescent="0.35">
      <c r="B265" s="22"/>
      <c r="E265" s="113"/>
      <c r="F265" s="113"/>
      <c r="G265" s="113"/>
    </row>
    <row r="266" spans="2:7" x14ac:dyDescent="0.35">
      <c r="B266" s="22"/>
      <c r="E266" s="113"/>
      <c r="F266" s="113"/>
      <c r="G266" s="113"/>
    </row>
    <row r="267" spans="2:7" x14ac:dyDescent="0.35">
      <c r="B267" s="22"/>
      <c r="E267" s="113"/>
      <c r="F267" s="113"/>
      <c r="G267" s="113"/>
    </row>
    <row r="268" spans="2:7" x14ac:dyDescent="0.35">
      <c r="B268" s="22"/>
      <c r="E268" s="113"/>
      <c r="F268" s="113"/>
      <c r="G268" s="113"/>
    </row>
    <row r="269" spans="2:7" x14ac:dyDescent="0.35">
      <c r="B269" s="22"/>
      <c r="E269" s="113"/>
      <c r="F269" s="113"/>
      <c r="G269" s="113"/>
    </row>
    <row r="270" spans="2:7" x14ac:dyDescent="0.35">
      <c r="B270" s="22"/>
      <c r="E270" s="113"/>
      <c r="F270" s="113"/>
      <c r="G270" s="113"/>
    </row>
    <row r="271" spans="2:7" x14ac:dyDescent="0.35">
      <c r="B271" s="22"/>
      <c r="E271" s="113"/>
      <c r="F271" s="113"/>
      <c r="G271" s="113"/>
    </row>
    <row r="272" spans="2:7" x14ac:dyDescent="0.35">
      <c r="B272" s="22"/>
      <c r="E272" s="113"/>
      <c r="F272" s="113"/>
      <c r="G272" s="113"/>
    </row>
    <row r="273" spans="2:7" x14ac:dyDescent="0.35">
      <c r="B273" s="22"/>
      <c r="E273" s="113"/>
      <c r="F273" s="113"/>
      <c r="G273" s="113"/>
    </row>
    <row r="274" spans="2:7" x14ac:dyDescent="0.35">
      <c r="B274" s="22"/>
      <c r="E274" s="113"/>
      <c r="F274" s="113"/>
      <c r="G274" s="113"/>
    </row>
    <row r="275" spans="2:7" x14ac:dyDescent="0.35">
      <c r="B275" s="22"/>
      <c r="E275" s="113"/>
      <c r="F275" s="113"/>
      <c r="G275" s="113"/>
    </row>
    <row r="276" spans="2:7" x14ac:dyDescent="0.35">
      <c r="B276" s="22"/>
      <c r="E276" s="113"/>
      <c r="F276" s="113"/>
      <c r="G276" s="113"/>
    </row>
    <row r="277" spans="2:7" x14ac:dyDescent="0.35">
      <c r="B277" s="22"/>
      <c r="E277" s="113"/>
      <c r="F277" s="113"/>
      <c r="G277" s="113"/>
    </row>
    <row r="278" spans="2:7" x14ac:dyDescent="0.35">
      <c r="B278" s="22"/>
      <c r="E278" s="113"/>
      <c r="F278" s="113"/>
      <c r="G278" s="113"/>
    </row>
    <row r="279" spans="2:7" x14ac:dyDescent="0.35">
      <c r="B279" s="22"/>
      <c r="E279" s="113"/>
      <c r="F279" s="113"/>
      <c r="G279" s="113"/>
    </row>
    <row r="280" spans="2:7" x14ac:dyDescent="0.35">
      <c r="B280" s="22"/>
      <c r="E280" s="113"/>
      <c r="F280" s="113"/>
      <c r="G280" s="113"/>
    </row>
    <row r="281" spans="2:7" x14ac:dyDescent="0.35">
      <c r="B281" s="22"/>
      <c r="E281" s="113"/>
      <c r="F281" s="113"/>
      <c r="G281" s="113"/>
    </row>
    <row r="282" spans="2:7" x14ac:dyDescent="0.35">
      <c r="B282" s="22"/>
      <c r="E282" s="113"/>
      <c r="F282" s="113"/>
      <c r="G282" s="113"/>
    </row>
    <row r="283" spans="2:7" x14ac:dyDescent="0.35">
      <c r="B283" s="22"/>
      <c r="E283" s="113"/>
      <c r="F283" s="113"/>
      <c r="G283" s="113"/>
    </row>
    <row r="284" spans="2:7" x14ac:dyDescent="0.35">
      <c r="B284" s="22"/>
      <c r="E284" s="113"/>
      <c r="F284" s="113"/>
      <c r="G284" s="113"/>
    </row>
    <row r="285" spans="2:7" x14ac:dyDescent="0.35">
      <c r="B285" s="22"/>
      <c r="E285" s="113"/>
      <c r="F285" s="113"/>
      <c r="G285" s="113"/>
    </row>
    <row r="286" spans="2:7" x14ac:dyDescent="0.35">
      <c r="B286" s="22"/>
      <c r="E286" s="113"/>
      <c r="F286" s="113"/>
      <c r="G286" s="113"/>
    </row>
    <row r="287" spans="2:7" x14ac:dyDescent="0.35">
      <c r="B287" s="22"/>
      <c r="E287" s="113"/>
      <c r="F287" s="113"/>
      <c r="G287" s="113"/>
    </row>
    <row r="288" spans="2:7" x14ac:dyDescent="0.35">
      <c r="B288" s="22"/>
      <c r="E288" s="113"/>
      <c r="F288" s="113"/>
      <c r="G288" s="113"/>
    </row>
    <row r="289" spans="2:7" x14ac:dyDescent="0.35">
      <c r="B289" s="22"/>
      <c r="E289" s="113"/>
      <c r="F289" s="113"/>
      <c r="G289" s="113"/>
    </row>
    <row r="290" spans="2:7" x14ac:dyDescent="0.35">
      <c r="B290" s="22"/>
      <c r="E290" s="113"/>
      <c r="F290" s="113"/>
      <c r="G290" s="113"/>
    </row>
    <row r="291" spans="2:7" x14ac:dyDescent="0.35">
      <c r="B291" s="22"/>
      <c r="E291" s="113"/>
      <c r="F291" s="113"/>
      <c r="G291" s="113"/>
    </row>
    <row r="292" spans="2:7" x14ac:dyDescent="0.35">
      <c r="B292" s="22"/>
      <c r="E292" s="113"/>
      <c r="F292" s="113"/>
      <c r="G292" s="113"/>
    </row>
    <row r="293" spans="2:7" x14ac:dyDescent="0.35">
      <c r="B293" s="22"/>
      <c r="E293" s="113"/>
      <c r="F293" s="113"/>
      <c r="G293" s="113"/>
    </row>
    <row r="294" spans="2:7" x14ac:dyDescent="0.35">
      <c r="B294" s="22"/>
      <c r="E294" s="113"/>
      <c r="F294" s="113"/>
      <c r="G294" s="113"/>
    </row>
    <row r="295" spans="2:7" x14ac:dyDescent="0.35">
      <c r="B295" s="22"/>
      <c r="E295" s="113"/>
      <c r="F295" s="113"/>
      <c r="G295" s="113"/>
    </row>
    <row r="296" spans="2:7" x14ac:dyDescent="0.35">
      <c r="B296" s="22"/>
      <c r="E296" s="113"/>
      <c r="F296" s="113"/>
      <c r="G296" s="113"/>
    </row>
    <row r="297" spans="2:7" x14ac:dyDescent="0.35">
      <c r="B297" s="22"/>
      <c r="E297" s="113"/>
      <c r="F297" s="113"/>
      <c r="G297" s="113"/>
    </row>
    <row r="298" spans="2:7" x14ac:dyDescent="0.35">
      <c r="B298" s="22"/>
      <c r="E298" s="113"/>
      <c r="F298" s="113"/>
      <c r="G298" s="113"/>
    </row>
    <row r="299" spans="2:7" x14ac:dyDescent="0.35">
      <c r="B299" s="22"/>
      <c r="E299" s="113"/>
      <c r="F299" s="113"/>
      <c r="G299" s="113"/>
    </row>
    <row r="300" spans="2:7" x14ac:dyDescent="0.35">
      <c r="B300" s="22"/>
      <c r="E300" s="113"/>
      <c r="F300" s="113"/>
      <c r="G300" s="113"/>
    </row>
    <row r="301" spans="2:7" x14ac:dyDescent="0.35">
      <c r="B301" s="22"/>
      <c r="E301" s="113"/>
      <c r="F301" s="113"/>
      <c r="G301" s="113"/>
    </row>
    <row r="302" spans="2:7" x14ac:dyDescent="0.35">
      <c r="B302" s="22"/>
      <c r="E302" s="113"/>
      <c r="F302" s="113"/>
      <c r="G302" s="113"/>
    </row>
    <row r="303" spans="2:7" x14ac:dyDescent="0.35">
      <c r="B303" s="22"/>
      <c r="E303" s="113"/>
      <c r="F303" s="113"/>
      <c r="G303" s="113"/>
    </row>
    <row r="304" spans="2:7" x14ac:dyDescent="0.35">
      <c r="B304" s="22"/>
      <c r="E304" s="113"/>
      <c r="F304" s="113"/>
      <c r="G304" s="113"/>
    </row>
    <row r="305" spans="2:7" x14ac:dyDescent="0.35">
      <c r="B305" s="22"/>
      <c r="E305" s="113"/>
      <c r="F305" s="113"/>
      <c r="G305" s="113"/>
    </row>
    <row r="306" spans="2:7" x14ac:dyDescent="0.35">
      <c r="B306" s="22"/>
      <c r="E306" s="113"/>
      <c r="F306" s="113"/>
      <c r="G306" s="113"/>
    </row>
    <row r="307" spans="2:7" x14ac:dyDescent="0.35">
      <c r="B307" s="22"/>
      <c r="E307" s="113"/>
      <c r="F307" s="113"/>
      <c r="G307" s="113"/>
    </row>
    <row r="308" spans="2:7" x14ac:dyDescent="0.35">
      <c r="B308" s="22"/>
      <c r="E308" s="113"/>
      <c r="F308" s="113"/>
      <c r="G308" s="113"/>
    </row>
    <row r="309" spans="2:7" x14ac:dyDescent="0.35">
      <c r="B309" s="22"/>
      <c r="E309" s="113"/>
      <c r="F309" s="113"/>
      <c r="G309" s="113"/>
    </row>
    <row r="310" spans="2:7" x14ac:dyDescent="0.35">
      <c r="B310" s="22"/>
      <c r="E310" s="113"/>
      <c r="F310" s="113"/>
      <c r="G310" s="113"/>
    </row>
    <row r="311" spans="2:7" x14ac:dyDescent="0.35">
      <c r="B311" s="22"/>
      <c r="E311" s="113"/>
      <c r="F311" s="113"/>
      <c r="G311" s="113"/>
    </row>
    <row r="312" spans="2:7" x14ac:dyDescent="0.35">
      <c r="B312" s="22"/>
      <c r="E312" s="113"/>
      <c r="F312" s="113"/>
      <c r="G312" s="113"/>
    </row>
    <row r="313" spans="2:7" x14ac:dyDescent="0.35">
      <c r="B313" s="22"/>
      <c r="E313" s="113"/>
      <c r="F313" s="113"/>
      <c r="G313" s="113"/>
    </row>
    <row r="314" spans="2:7" x14ac:dyDescent="0.35">
      <c r="B314" s="22"/>
      <c r="E314" s="113"/>
      <c r="F314" s="113"/>
      <c r="G314" s="113"/>
    </row>
    <row r="315" spans="2:7" x14ac:dyDescent="0.35">
      <c r="B315" s="22"/>
      <c r="E315" s="113"/>
      <c r="F315" s="113"/>
      <c r="G315" s="113"/>
    </row>
    <row r="316" spans="2:7" x14ac:dyDescent="0.35">
      <c r="B316" s="22"/>
      <c r="E316" s="113"/>
      <c r="F316" s="113"/>
      <c r="G316" s="113"/>
    </row>
    <row r="317" spans="2:7" x14ac:dyDescent="0.35">
      <c r="B317" s="22"/>
      <c r="E317" s="113"/>
      <c r="F317" s="113"/>
      <c r="G317" s="113"/>
    </row>
    <row r="318" spans="2:7" x14ac:dyDescent="0.35">
      <c r="B318" s="22"/>
      <c r="E318" s="113"/>
      <c r="F318" s="113"/>
      <c r="G318" s="113"/>
    </row>
    <row r="319" spans="2:7" x14ac:dyDescent="0.35">
      <c r="B319" s="22"/>
      <c r="E319" s="113"/>
      <c r="F319" s="113"/>
      <c r="G319" s="113"/>
    </row>
    <row r="320" spans="2:7" x14ac:dyDescent="0.35">
      <c r="B320" s="22"/>
      <c r="E320" s="113"/>
      <c r="F320" s="113"/>
      <c r="G320" s="113"/>
    </row>
    <row r="321" spans="2:7" x14ac:dyDescent="0.35">
      <c r="B321" s="22"/>
      <c r="E321" s="113"/>
      <c r="F321" s="113"/>
      <c r="G321" s="113"/>
    </row>
    <row r="322" spans="2:7" x14ac:dyDescent="0.35">
      <c r="B322" s="22"/>
      <c r="E322" s="113"/>
      <c r="F322" s="113"/>
      <c r="G322" s="113"/>
    </row>
    <row r="323" spans="2:7" x14ac:dyDescent="0.35">
      <c r="B323" s="22"/>
      <c r="E323" s="113"/>
      <c r="F323" s="113"/>
      <c r="G323" s="113"/>
    </row>
    <row r="324" spans="2:7" x14ac:dyDescent="0.35">
      <c r="B324" s="22"/>
      <c r="E324" s="113"/>
      <c r="F324" s="113"/>
      <c r="G324" s="113"/>
    </row>
    <row r="325" spans="2:7" x14ac:dyDescent="0.35">
      <c r="B325" s="22"/>
      <c r="E325" s="113"/>
      <c r="F325" s="113"/>
      <c r="G325" s="113"/>
    </row>
    <row r="326" spans="2:7" x14ac:dyDescent="0.35">
      <c r="B326" s="22"/>
      <c r="E326" s="113"/>
      <c r="F326" s="113"/>
      <c r="G326" s="113"/>
    </row>
    <row r="327" spans="2:7" x14ac:dyDescent="0.35">
      <c r="B327" s="22"/>
      <c r="E327" s="113"/>
      <c r="F327" s="113"/>
      <c r="G327" s="113"/>
    </row>
    <row r="328" spans="2:7" x14ac:dyDescent="0.35">
      <c r="B328" s="22"/>
      <c r="E328" s="113"/>
      <c r="F328" s="113"/>
      <c r="G328" s="113"/>
    </row>
    <row r="329" spans="2:7" x14ac:dyDescent="0.35">
      <c r="B329" s="22"/>
      <c r="E329" s="113"/>
      <c r="F329" s="113"/>
      <c r="G329" s="113"/>
    </row>
    <row r="330" spans="2:7" x14ac:dyDescent="0.35">
      <c r="B330" s="22"/>
      <c r="E330" s="113"/>
      <c r="F330" s="113"/>
      <c r="G330" s="113"/>
    </row>
    <row r="331" spans="2:7" x14ac:dyDescent="0.35">
      <c r="B331" s="22"/>
      <c r="E331" s="113"/>
      <c r="F331" s="113"/>
      <c r="G331" s="113"/>
    </row>
    <row r="332" spans="2:7" x14ac:dyDescent="0.35">
      <c r="B332" s="22"/>
      <c r="E332" s="113"/>
      <c r="F332" s="113"/>
      <c r="G332" s="113"/>
    </row>
    <row r="333" spans="2:7" x14ac:dyDescent="0.35">
      <c r="B333" s="22"/>
      <c r="E333" s="113"/>
      <c r="F333" s="113"/>
      <c r="G333" s="113"/>
    </row>
    <row r="334" spans="2:7" x14ac:dyDescent="0.35">
      <c r="B334" s="22"/>
      <c r="E334" s="113"/>
      <c r="F334" s="113"/>
      <c r="G334" s="113"/>
    </row>
    <row r="335" spans="2:7" x14ac:dyDescent="0.35">
      <c r="B335" s="22"/>
      <c r="E335" s="113"/>
      <c r="F335" s="113"/>
      <c r="G335" s="113"/>
    </row>
    <row r="336" spans="2:7" x14ac:dyDescent="0.35">
      <c r="B336" s="22"/>
      <c r="E336" s="113"/>
      <c r="F336" s="113"/>
      <c r="G336" s="113"/>
    </row>
    <row r="337" spans="2:7" x14ac:dyDescent="0.35">
      <c r="B337" s="22"/>
      <c r="E337" s="113"/>
      <c r="F337" s="113"/>
      <c r="G337" s="113"/>
    </row>
    <row r="338" spans="2:7" x14ac:dyDescent="0.35">
      <c r="B338" s="22"/>
      <c r="E338" s="113"/>
      <c r="F338" s="113"/>
      <c r="G338" s="113"/>
    </row>
    <row r="339" spans="2:7" x14ac:dyDescent="0.35">
      <c r="B339" s="22"/>
      <c r="E339" s="113"/>
      <c r="F339" s="113"/>
      <c r="G339" s="113"/>
    </row>
    <row r="340" spans="2:7" x14ac:dyDescent="0.35">
      <c r="B340" s="22"/>
      <c r="E340" s="113"/>
      <c r="F340" s="113"/>
      <c r="G340" s="113"/>
    </row>
    <row r="341" spans="2:7" x14ac:dyDescent="0.35">
      <c r="B341" s="22"/>
      <c r="E341" s="113"/>
      <c r="F341" s="113"/>
      <c r="G341" s="113"/>
    </row>
    <row r="342" spans="2:7" x14ac:dyDescent="0.35">
      <c r="B342" s="22"/>
      <c r="E342" s="113"/>
      <c r="F342" s="113"/>
      <c r="G342" s="113"/>
    </row>
    <row r="343" spans="2:7" x14ac:dyDescent="0.35">
      <c r="B343" s="22"/>
      <c r="E343" s="113"/>
      <c r="F343" s="113"/>
      <c r="G343" s="113"/>
    </row>
    <row r="344" spans="2:7" x14ac:dyDescent="0.35">
      <c r="B344" s="22"/>
      <c r="E344" s="113"/>
      <c r="F344" s="113"/>
      <c r="G344" s="113"/>
    </row>
    <row r="345" spans="2:7" x14ac:dyDescent="0.35">
      <c r="B345" s="22"/>
      <c r="E345" s="113"/>
      <c r="F345" s="113"/>
      <c r="G345" s="113"/>
    </row>
    <row r="346" spans="2:7" x14ac:dyDescent="0.35">
      <c r="B346" s="22"/>
      <c r="E346" s="113"/>
      <c r="F346" s="113"/>
      <c r="G346" s="113"/>
    </row>
    <row r="347" spans="2:7" x14ac:dyDescent="0.35">
      <c r="B347" s="22"/>
      <c r="E347" s="113"/>
      <c r="F347" s="113"/>
      <c r="G347" s="113"/>
    </row>
    <row r="348" spans="2:7" x14ac:dyDescent="0.35">
      <c r="B348" s="22"/>
      <c r="E348" s="113"/>
      <c r="F348" s="113"/>
      <c r="G348" s="113"/>
    </row>
    <row r="349" spans="2:7" x14ac:dyDescent="0.35">
      <c r="B349" s="22"/>
      <c r="E349" s="113"/>
      <c r="F349" s="113"/>
      <c r="G349" s="113"/>
    </row>
    <row r="350" spans="2:7" x14ac:dyDescent="0.35">
      <c r="B350" s="22"/>
      <c r="E350" s="113"/>
      <c r="F350" s="113"/>
      <c r="G350" s="113"/>
    </row>
    <row r="351" spans="2:7" x14ac:dyDescent="0.35">
      <c r="B351" s="22"/>
      <c r="E351" s="113"/>
      <c r="F351" s="113"/>
      <c r="G351" s="113"/>
    </row>
    <row r="352" spans="2:7" x14ac:dyDescent="0.35">
      <c r="B352" s="22"/>
      <c r="E352" s="113"/>
      <c r="F352" s="113"/>
      <c r="G352" s="113"/>
    </row>
    <row r="353" spans="2:7" x14ac:dyDescent="0.35">
      <c r="B353" s="22"/>
      <c r="E353" s="113"/>
      <c r="F353" s="113"/>
      <c r="G353" s="113"/>
    </row>
    <row r="354" spans="2:7" x14ac:dyDescent="0.35">
      <c r="B354" s="22"/>
      <c r="E354" s="113"/>
      <c r="F354" s="113"/>
      <c r="G354" s="113"/>
    </row>
    <row r="355" spans="2:7" x14ac:dyDescent="0.35">
      <c r="B355" s="22"/>
      <c r="E355" s="113"/>
      <c r="F355" s="113"/>
      <c r="G355" s="113"/>
    </row>
    <row r="356" spans="2:7" x14ac:dyDescent="0.35">
      <c r="B356" s="22"/>
      <c r="E356" s="113"/>
      <c r="F356" s="113"/>
      <c r="G356" s="113"/>
    </row>
    <row r="357" spans="2:7" x14ac:dyDescent="0.35">
      <c r="B357" s="22"/>
      <c r="E357" s="113"/>
      <c r="F357" s="113"/>
      <c r="G357" s="113"/>
    </row>
    <row r="358" spans="2:7" x14ac:dyDescent="0.35">
      <c r="B358" s="22"/>
      <c r="E358" s="113"/>
      <c r="F358" s="113"/>
      <c r="G358" s="113"/>
    </row>
    <row r="359" spans="2:7" x14ac:dyDescent="0.35">
      <c r="B359" s="22"/>
      <c r="E359" s="113"/>
      <c r="F359" s="113"/>
      <c r="G359" s="113"/>
    </row>
    <row r="360" spans="2:7" x14ac:dyDescent="0.35">
      <c r="B360" s="22"/>
      <c r="E360" s="113"/>
      <c r="F360" s="113"/>
      <c r="G360" s="113"/>
    </row>
    <row r="361" spans="2:7" x14ac:dyDescent="0.35">
      <c r="B361" s="22"/>
      <c r="E361" s="113"/>
      <c r="F361" s="113"/>
      <c r="G361" s="113"/>
    </row>
    <row r="362" spans="2:7" x14ac:dyDescent="0.35">
      <c r="B362" s="22"/>
      <c r="E362" s="113"/>
      <c r="F362" s="113"/>
      <c r="G362" s="113"/>
    </row>
    <row r="363" spans="2:7" x14ac:dyDescent="0.35">
      <c r="B363" s="22"/>
      <c r="E363" s="113"/>
      <c r="F363" s="113"/>
      <c r="G363" s="113"/>
    </row>
    <row r="364" spans="2:7" x14ac:dyDescent="0.35">
      <c r="B364" s="22"/>
      <c r="E364" s="113"/>
      <c r="F364" s="113"/>
      <c r="G364" s="113"/>
    </row>
    <row r="365" spans="2:7" x14ac:dyDescent="0.35">
      <c r="B365" s="22"/>
      <c r="E365" s="113"/>
      <c r="F365" s="113"/>
      <c r="G365" s="113"/>
    </row>
    <row r="366" spans="2:7" x14ac:dyDescent="0.35">
      <c r="B366" s="22"/>
      <c r="E366" s="113"/>
      <c r="F366" s="113"/>
      <c r="G366" s="113"/>
    </row>
    <row r="367" spans="2:7" x14ac:dyDescent="0.35">
      <c r="B367" s="22"/>
      <c r="E367" s="113"/>
      <c r="F367" s="113"/>
      <c r="G367" s="113"/>
    </row>
    <row r="368" spans="2:7" x14ac:dyDescent="0.35">
      <c r="B368" s="22"/>
      <c r="E368" s="113"/>
      <c r="F368" s="113"/>
      <c r="G368" s="113"/>
    </row>
    <row r="369" spans="2:7" x14ac:dyDescent="0.35">
      <c r="B369" s="22"/>
      <c r="E369" s="113"/>
      <c r="F369" s="113"/>
      <c r="G369" s="113"/>
    </row>
    <row r="370" spans="2:7" x14ac:dyDescent="0.35">
      <c r="B370" s="22"/>
      <c r="E370" s="113"/>
      <c r="F370" s="113"/>
      <c r="G370" s="113"/>
    </row>
    <row r="371" spans="2:7" x14ac:dyDescent="0.35">
      <c r="B371" s="22"/>
      <c r="E371" s="113"/>
      <c r="F371" s="113"/>
      <c r="G371" s="113"/>
    </row>
    <row r="372" spans="2:7" x14ac:dyDescent="0.35">
      <c r="B372" s="22"/>
      <c r="E372" s="113"/>
      <c r="F372" s="113"/>
      <c r="G372" s="113"/>
    </row>
    <row r="373" spans="2:7" x14ac:dyDescent="0.35">
      <c r="B373" s="22"/>
      <c r="E373" s="113"/>
      <c r="F373" s="113"/>
      <c r="G373" s="113"/>
    </row>
    <row r="374" spans="2:7" x14ac:dyDescent="0.35">
      <c r="B374" s="22"/>
      <c r="E374" s="113"/>
      <c r="F374" s="113"/>
      <c r="G374" s="113"/>
    </row>
    <row r="375" spans="2:7" x14ac:dyDescent="0.35">
      <c r="B375" s="22"/>
      <c r="E375" s="113"/>
      <c r="F375" s="113"/>
      <c r="G375" s="113"/>
    </row>
    <row r="376" spans="2:7" x14ac:dyDescent="0.35">
      <c r="B376" s="22"/>
      <c r="E376" s="113"/>
      <c r="F376" s="113"/>
      <c r="G376" s="113"/>
    </row>
    <row r="377" spans="2:7" x14ac:dyDescent="0.35">
      <c r="B377" s="22"/>
      <c r="E377" s="113"/>
      <c r="F377" s="113"/>
      <c r="G377" s="113"/>
    </row>
    <row r="378" spans="2:7" x14ac:dyDescent="0.35">
      <c r="B378" s="22"/>
      <c r="E378" s="113"/>
      <c r="F378" s="113"/>
      <c r="G378" s="113"/>
    </row>
    <row r="379" spans="2:7" x14ac:dyDescent="0.35">
      <c r="B379" s="22"/>
      <c r="E379" s="113"/>
      <c r="F379" s="113"/>
      <c r="G379" s="113"/>
    </row>
    <row r="380" spans="2:7" x14ac:dyDescent="0.35">
      <c r="B380" s="22"/>
      <c r="E380" s="113"/>
      <c r="F380" s="113"/>
      <c r="G380" s="113"/>
    </row>
    <row r="381" spans="2:7" x14ac:dyDescent="0.35">
      <c r="B381" s="22"/>
      <c r="E381" s="113"/>
      <c r="F381" s="113"/>
      <c r="G381" s="113"/>
    </row>
    <row r="382" spans="2:7" x14ac:dyDescent="0.35">
      <c r="B382" s="22"/>
      <c r="E382" s="113"/>
      <c r="F382" s="113"/>
      <c r="G382" s="113"/>
    </row>
    <row r="383" spans="2:7" x14ac:dyDescent="0.35">
      <c r="B383" s="22"/>
      <c r="E383" s="113"/>
      <c r="F383" s="113"/>
      <c r="G383" s="113"/>
    </row>
    <row r="384" spans="2:7" x14ac:dyDescent="0.35">
      <c r="B384" s="22"/>
      <c r="E384" s="113"/>
      <c r="F384" s="113"/>
      <c r="G384" s="113"/>
    </row>
    <row r="385" spans="2:7" x14ac:dyDescent="0.35">
      <c r="B385" s="22"/>
      <c r="E385" s="113"/>
      <c r="F385" s="113"/>
      <c r="G385" s="113"/>
    </row>
    <row r="386" spans="2:7" x14ac:dyDescent="0.35">
      <c r="B386" s="22"/>
      <c r="E386" s="113"/>
      <c r="F386" s="113"/>
      <c r="G386" s="113"/>
    </row>
    <row r="387" spans="2:7" x14ac:dyDescent="0.35">
      <c r="B387" s="22"/>
      <c r="E387" s="113"/>
      <c r="F387" s="113"/>
      <c r="G387" s="113"/>
    </row>
    <row r="388" spans="2:7" x14ac:dyDescent="0.35">
      <c r="B388" s="22"/>
      <c r="E388" s="113"/>
      <c r="F388" s="113"/>
      <c r="G388" s="113"/>
    </row>
    <row r="389" spans="2:7" x14ac:dyDescent="0.35">
      <c r="B389" s="22"/>
      <c r="E389" s="113"/>
      <c r="F389" s="113"/>
      <c r="G389" s="113"/>
    </row>
    <row r="390" spans="2:7" x14ac:dyDescent="0.35">
      <c r="B390" s="22"/>
      <c r="E390" s="113"/>
      <c r="F390" s="113"/>
      <c r="G390" s="113"/>
    </row>
    <row r="391" spans="2:7" x14ac:dyDescent="0.35">
      <c r="B391" s="22"/>
      <c r="E391" s="113"/>
      <c r="F391" s="113"/>
      <c r="G391" s="113"/>
    </row>
    <row r="392" spans="2:7" x14ac:dyDescent="0.35">
      <c r="B392" s="22"/>
      <c r="E392" s="113"/>
      <c r="F392" s="113"/>
      <c r="G392" s="113"/>
    </row>
    <row r="393" spans="2:7" x14ac:dyDescent="0.35">
      <c r="B393" s="22"/>
      <c r="E393" s="113"/>
      <c r="F393" s="113"/>
      <c r="G393" s="113"/>
    </row>
    <row r="394" spans="2:7" x14ac:dyDescent="0.35">
      <c r="B394" s="22"/>
      <c r="E394" s="113"/>
      <c r="F394" s="113"/>
      <c r="G394" s="113"/>
    </row>
    <row r="395" spans="2:7" x14ac:dyDescent="0.35">
      <c r="B395" s="22"/>
      <c r="E395" s="113"/>
      <c r="F395" s="113"/>
      <c r="G395" s="113"/>
    </row>
    <row r="396" spans="2:7" x14ac:dyDescent="0.35">
      <c r="B396" s="22"/>
      <c r="E396" s="113"/>
      <c r="F396" s="113"/>
      <c r="G396" s="113"/>
    </row>
    <row r="397" spans="2:7" x14ac:dyDescent="0.35">
      <c r="B397" s="22"/>
      <c r="E397" s="113"/>
      <c r="F397" s="113"/>
      <c r="G397" s="113"/>
    </row>
    <row r="398" spans="2:7" x14ac:dyDescent="0.35">
      <c r="B398" s="22"/>
      <c r="E398" s="113"/>
      <c r="F398" s="113"/>
      <c r="G398" s="113"/>
    </row>
    <row r="399" spans="2:7" x14ac:dyDescent="0.35">
      <c r="B399" s="22"/>
      <c r="E399" s="113"/>
      <c r="F399" s="113"/>
      <c r="G399" s="113"/>
    </row>
    <row r="400" spans="2:7" x14ac:dyDescent="0.35">
      <c r="B400" s="22"/>
      <c r="E400" s="113"/>
      <c r="F400" s="113"/>
      <c r="G400" s="113"/>
    </row>
    <row r="401" spans="2:7" x14ac:dyDescent="0.35">
      <c r="B401" s="22"/>
      <c r="E401" s="113"/>
      <c r="F401" s="113"/>
      <c r="G401" s="113"/>
    </row>
    <row r="402" spans="2:7" x14ac:dyDescent="0.35">
      <c r="B402" s="22"/>
      <c r="E402" s="113"/>
      <c r="F402" s="113"/>
      <c r="G402" s="113"/>
    </row>
    <row r="403" spans="2:7" x14ac:dyDescent="0.35">
      <c r="B403" s="22"/>
      <c r="E403" s="113"/>
      <c r="F403" s="113"/>
      <c r="G403" s="113"/>
    </row>
    <row r="404" spans="2:7" x14ac:dyDescent="0.35">
      <c r="B404" s="22"/>
      <c r="E404" s="113"/>
      <c r="F404" s="113"/>
      <c r="G404" s="113"/>
    </row>
    <row r="405" spans="2:7" x14ac:dyDescent="0.35">
      <c r="B405" s="22"/>
      <c r="E405" s="113"/>
      <c r="F405" s="113"/>
      <c r="G405" s="113"/>
    </row>
    <row r="406" spans="2:7" x14ac:dyDescent="0.35">
      <c r="B406" s="22"/>
      <c r="E406" s="113"/>
      <c r="F406" s="113"/>
      <c r="G406" s="113"/>
    </row>
    <row r="407" spans="2:7" x14ac:dyDescent="0.35">
      <c r="B407" s="22"/>
      <c r="E407" s="113"/>
      <c r="F407" s="113"/>
      <c r="G407" s="113"/>
    </row>
    <row r="408" spans="2:7" x14ac:dyDescent="0.35">
      <c r="B408" s="22"/>
      <c r="E408" s="113"/>
      <c r="F408" s="113"/>
      <c r="G408" s="113"/>
    </row>
    <row r="409" spans="2:7" x14ac:dyDescent="0.35">
      <c r="B409" s="22"/>
      <c r="E409" s="113"/>
      <c r="F409" s="113"/>
      <c r="G409" s="113"/>
    </row>
    <row r="410" spans="2:7" x14ac:dyDescent="0.35">
      <c r="B410" s="22"/>
      <c r="E410" s="113"/>
      <c r="F410" s="113"/>
      <c r="G410" s="113"/>
    </row>
    <row r="411" spans="2:7" x14ac:dyDescent="0.35">
      <c r="B411" s="22"/>
      <c r="E411" s="113"/>
      <c r="F411" s="113"/>
      <c r="G411" s="113"/>
    </row>
    <row r="412" spans="2:7" x14ac:dyDescent="0.35">
      <c r="B412" s="22"/>
      <c r="E412" s="113"/>
      <c r="F412" s="113"/>
      <c r="G412" s="113"/>
    </row>
    <row r="413" spans="2:7" x14ac:dyDescent="0.35">
      <c r="B413" s="22"/>
      <c r="E413" s="113"/>
      <c r="F413" s="113"/>
      <c r="G413" s="113"/>
    </row>
    <row r="414" spans="2:7" x14ac:dyDescent="0.35">
      <c r="B414" s="22"/>
      <c r="E414" s="113"/>
      <c r="F414" s="113"/>
      <c r="G414" s="113"/>
    </row>
    <row r="415" spans="2:7" x14ac:dyDescent="0.35">
      <c r="B415" s="22"/>
      <c r="E415" s="113"/>
      <c r="F415" s="113"/>
      <c r="G415" s="113"/>
    </row>
    <row r="416" spans="2:7" x14ac:dyDescent="0.35">
      <c r="B416" s="22"/>
      <c r="E416" s="113"/>
      <c r="F416" s="113"/>
      <c r="G416" s="113"/>
    </row>
    <row r="417" spans="2:7" x14ac:dyDescent="0.35">
      <c r="B417" s="22"/>
      <c r="E417" s="113"/>
      <c r="F417" s="113"/>
      <c r="G417" s="113"/>
    </row>
    <row r="418" spans="2:7" x14ac:dyDescent="0.35">
      <c r="B418" s="22"/>
      <c r="E418" s="113"/>
      <c r="F418" s="113"/>
      <c r="G418" s="113"/>
    </row>
    <row r="419" spans="2:7" x14ac:dyDescent="0.35">
      <c r="B419" s="22"/>
      <c r="E419" s="113"/>
      <c r="F419" s="113"/>
      <c r="G419" s="113"/>
    </row>
    <row r="420" spans="2:7" x14ac:dyDescent="0.35">
      <c r="B420" s="22"/>
      <c r="E420" s="113"/>
      <c r="F420" s="113"/>
      <c r="G420" s="113"/>
    </row>
    <row r="421" spans="2:7" x14ac:dyDescent="0.35">
      <c r="B421" s="22"/>
      <c r="E421" s="113"/>
      <c r="F421" s="113"/>
      <c r="G421" s="113"/>
    </row>
    <row r="422" spans="2:7" x14ac:dyDescent="0.35">
      <c r="B422" s="22"/>
      <c r="E422" s="113"/>
      <c r="F422" s="113"/>
      <c r="G422" s="113"/>
    </row>
    <row r="423" spans="2:7" x14ac:dyDescent="0.35">
      <c r="B423" s="22"/>
      <c r="E423" s="113"/>
      <c r="F423" s="113"/>
      <c r="G423" s="113"/>
    </row>
    <row r="424" spans="2:7" x14ac:dyDescent="0.35">
      <c r="B424" s="22"/>
      <c r="E424" s="113"/>
      <c r="F424" s="113"/>
      <c r="G424" s="113"/>
    </row>
    <row r="425" spans="2:7" x14ac:dyDescent="0.35">
      <c r="B425" s="22"/>
      <c r="E425" s="113"/>
      <c r="F425" s="113"/>
      <c r="G425" s="113"/>
    </row>
    <row r="426" spans="2:7" x14ac:dyDescent="0.35">
      <c r="B426" s="22"/>
      <c r="E426" s="113"/>
      <c r="F426" s="113"/>
      <c r="G426" s="113"/>
    </row>
    <row r="427" spans="2:7" x14ac:dyDescent="0.35">
      <c r="B427" s="22"/>
      <c r="E427" s="113"/>
      <c r="F427" s="113"/>
      <c r="G427" s="113"/>
    </row>
    <row r="428" spans="2:7" x14ac:dyDescent="0.35">
      <c r="B428" s="22"/>
      <c r="E428" s="113"/>
      <c r="F428" s="113"/>
      <c r="G428" s="113"/>
    </row>
    <row r="429" spans="2:7" x14ac:dyDescent="0.35">
      <c r="B429" s="22"/>
      <c r="E429" s="113"/>
      <c r="F429" s="113"/>
      <c r="G429" s="113"/>
    </row>
    <row r="430" spans="2:7" x14ac:dyDescent="0.35">
      <c r="B430" s="22"/>
      <c r="E430" s="113"/>
      <c r="F430" s="113"/>
      <c r="G430" s="113"/>
    </row>
    <row r="431" spans="2:7" x14ac:dyDescent="0.35">
      <c r="B431" s="22"/>
      <c r="E431" s="113"/>
      <c r="F431" s="113"/>
      <c r="G431" s="113"/>
    </row>
    <row r="432" spans="2:7" x14ac:dyDescent="0.35">
      <c r="B432" s="22"/>
      <c r="E432" s="113"/>
      <c r="F432" s="113"/>
      <c r="G432" s="113"/>
    </row>
    <row r="433" spans="2:7" x14ac:dyDescent="0.35">
      <c r="B433" s="22"/>
      <c r="E433" s="113"/>
      <c r="F433" s="113"/>
      <c r="G433" s="113"/>
    </row>
    <row r="434" spans="2:7" x14ac:dyDescent="0.35">
      <c r="B434" s="22"/>
      <c r="E434" s="113"/>
      <c r="F434" s="113"/>
      <c r="G434" s="113"/>
    </row>
    <row r="435" spans="2:7" x14ac:dyDescent="0.35">
      <c r="B435" s="22"/>
      <c r="E435" s="113"/>
      <c r="F435" s="113"/>
      <c r="G435" s="113"/>
    </row>
    <row r="436" spans="2:7" x14ac:dyDescent="0.35">
      <c r="B436" s="22"/>
      <c r="E436" s="113"/>
      <c r="F436" s="113"/>
      <c r="G436" s="113"/>
    </row>
    <row r="437" spans="2:7" x14ac:dyDescent="0.35">
      <c r="B437" s="22"/>
      <c r="E437" s="113"/>
      <c r="F437" s="113"/>
      <c r="G437" s="113"/>
    </row>
    <row r="438" spans="2:7" x14ac:dyDescent="0.35">
      <c r="B438" s="22"/>
      <c r="E438" s="113"/>
      <c r="F438" s="113"/>
      <c r="G438" s="113"/>
    </row>
    <row r="439" spans="2:7" x14ac:dyDescent="0.35">
      <c r="B439" s="22"/>
      <c r="E439" s="113"/>
      <c r="F439" s="113"/>
      <c r="G439" s="113"/>
    </row>
    <row r="440" spans="2:7" x14ac:dyDescent="0.35">
      <c r="B440" s="22"/>
      <c r="E440" s="113"/>
      <c r="F440" s="113"/>
      <c r="G440" s="113"/>
    </row>
    <row r="441" spans="2:7" x14ac:dyDescent="0.35">
      <c r="B441" s="22"/>
      <c r="E441" s="113"/>
      <c r="F441" s="113"/>
      <c r="G441" s="113"/>
    </row>
    <row r="442" spans="2:7" x14ac:dyDescent="0.35">
      <c r="B442" s="22"/>
      <c r="E442" s="113"/>
      <c r="F442" s="113"/>
      <c r="G442" s="113"/>
    </row>
    <row r="443" spans="2:7" x14ac:dyDescent="0.35">
      <c r="B443" s="22"/>
      <c r="E443" s="113"/>
      <c r="F443" s="113"/>
      <c r="G443" s="113"/>
    </row>
    <row r="444" spans="2:7" x14ac:dyDescent="0.35">
      <c r="B444" s="22"/>
      <c r="E444" s="113"/>
      <c r="F444" s="113"/>
      <c r="G444" s="113"/>
    </row>
    <row r="445" spans="2:7" x14ac:dyDescent="0.35">
      <c r="B445" s="22"/>
      <c r="E445" s="113"/>
      <c r="F445" s="113"/>
      <c r="G445" s="113"/>
    </row>
    <row r="446" spans="2:7" x14ac:dyDescent="0.35">
      <c r="B446" s="22"/>
      <c r="E446" s="113"/>
      <c r="F446" s="113"/>
      <c r="G446" s="113"/>
    </row>
    <row r="447" spans="2:7" x14ac:dyDescent="0.35">
      <c r="B447" s="22"/>
      <c r="E447" s="113"/>
      <c r="F447" s="113"/>
      <c r="G447" s="113"/>
    </row>
    <row r="448" spans="2:7" x14ac:dyDescent="0.35">
      <c r="B448" s="22"/>
      <c r="E448" s="113"/>
      <c r="F448" s="113"/>
      <c r="G448" s="113"/>
    </row>
    <row r="449" spans="2:7" x14ac:dyDescent="0.35">
      <c r="B449" s="22"/>
      <c r="E449" s="113"/>
      <c r="F449" s="113"/>
      <c r="G449" s="113"/>
    </row>
    <row r="450" spans="2:7" x14ac:dyDescent="0.35">
      <c r="B450" s="22"/>
      <c r="E450" s="113"/>
      <c r="F450" s="113"/>
      <c r="G450" s="113"/>
    </row>
    <row r="451" spans="2:7" x14ac:dyDescent="0.35">
      <c r="B451" s="22"/>
      <c r="E451" s="113"/>
      <c r="F451" s="113"/>
      <c r="G451" s="113"/>
    </row>
    <row r="452" spans="2:7" x14ac:dyDescent="0.35">
      <c r="B452" s="22"/>
      <c r="E452" s="113"/>
      <c r="F452" s="113"/>
      <c r="G452" s="113"/>
    </row>
    <row r="453" spans="2:7" x14ac:dyDescent="0.35">
      <c r="B453" s="22"/>
      <c r="E453" s="113"/>
      <c r="F453" s="113"/>
      <c r="G453" s="113"/>
    </row>
    <row r="454" spans="2:7" x14ac:dyDescent="0.35">
      <c r="B454" s="22"/>
      <c r="E454" s="113"/>
      <c r="F454" s="113"/>
      <c r="G454" s="113"/>
    </row>
    <row r="455" spans="2:7" x14ac:dyDescent="0.35">
      <c r="B455" s="22"/>
      <c r="E455" s="113"/>
      <c r="F455" s="113"/>
      <c r="G455" s="113"/>
    </row>
    <row r="456" spans="2:7" x14ac:dyDescent="0.35">
      <c r="B456" s="22"/>
      <c r="E456" s="113"/>
      <c r="F456" s="113"/>
      <c r="G456" s="113"/>
    </row>
    <row r="457" spans="2:7" x14ac:dyDescent="0.35">
      <c r="B457" s="22"/>
      <c r="E457" s="113"/>
      <c r="F457" s="113"/>
      <c r="G457" s="113"/>
    </row>
    <row r="458" spans="2:7" x14ac:dyDescent="0.35">
      <c r="B458" s="22"/>
      <c r="E458" s="113"/>
      <c r="F458" s="113"/>
      <c r="G458" s="113"/>
    </row>
    <row r="459" spans="2:7" x14ac:dyDescent="0.35">
      <c r="B459" s="22"/>
      <c r="E459" s="113"/>
      <c r="F459" s="113"/>
      <c r="G459" s="113"/>
    </row>
    <row r="460" spans="2:7" x14ac:dyDescent="0.35">
      <c r="B460" s="22"/>
      <c r="E460" s="113"/>
      <c r="F460" s="113"/>
      <c r="G460" s="113"/>
    </row>
    <row r="461" spans="2:7" x14ac:dyDescent="0.35">
      <c r="B461" s="22"/>
      <c r="E461" s="113"/>
      <c r="F461" s="113"/>
      <c r="G461" s="113"/>
    </row>
    <row r="462" spans="2:7" x14ac:dyDescent="0.35">
      <c r="B462" s="22"/>
      <c r="E462" s="113"/>
      <c r="F462" s="113"/>
      <c r="G462" s="113"/>
    </row>
    <row r="463" spans="2:7" x14ac:dyDescent="0.35">
      <c r="B463" s="22"/>
      <c r="E463" s="113"/>
      <c r="F463" s="113"/>
      <c r="G463" s="113"/>
    </row>
    <row r="464" spans="2:7" x14ac:dyDescent="0.35">
      <c r="B464" s="22"/>
      <c r="E464" s="113"/>
      <c r="F464" s="113"/>
      <c r="G464" s="113"/>
    </row>
    <row r="465" spans="2:7" x14ac:dyDescent="0.35">
      <c r="B465" s="22"/>
      <c r="E465" s="113"/>
      <c r="F465" s="113"/>
      <c r="G465" s="113"/>
    </row>
    <row r="466" spans="2:7" x14ac:dyDescent="0.35">
      <c r="B466" s="22"/>
      <c r="E466" s="113"/>
      <c r="F466" s="113"/>
      <c r="G466" s="113"/>
    </row>
    <row r="467" spans="2:7" x14ac:dyDescent="0.35">
      <c r="B467" s="22"/>
      <c r="E467" s="113"/>
      <c r="F467" s="113"/>
      <c r="G467" s="113"/>
    </row>
    <row r="468" spans="2:7" x14ac:dyDescent="0.35">
      <c r="B468" s="22"/>
      <c r="E468" s="113"/>
      <c r="F468" s="113"/>
      <c r="G468" s="113"/>
    </row>
    <row r="469" spans="2:7" x14ac:dyDescent="0.35">
      <c r="B469" s="22"/>
      <c r="E469" s="113"/>
      <c r="F469" s="113"/>
      <c r="G469" s="113"/>
    </row>
    <row r="470" spans="2:7" x14ac:dyDescent="0.35">
      <c r="B470" s="22"/>
      <c r="E470" s="113"/>
      <c r="F470" s="113"/>
      <c r="G470" s="113"/>
    </row>
    <row r="471" spans="2:7" x14ac:dyDescent="0.35">
      <c r="B471" s="22"/>
      <c r="E471" s="113"/>
      <c r="F471" s="113"/>
      <c r="G471" s="113"/>
    </row>
    <row r="472" spans="2:7" x14ac:dyDescent="0.35">
      <c r="B472" s="22"/>
      <c r="E472" s="113"/>
      <c r="F472" s="113"/>
      <c r="G472" s="113"/>
    </row>
    <row r="473" spans="2:7" x14ac:dyDescent="0.35">
      <c r="B473" s="22"/>
      <c r="E473" s="113"/>
      <c r="F473" s="113"/>
      <c r="G473" s="113"/>
    </row>
    <row r="474" spans="2:7" x14ac:dyDescent="0.35">
      <c r="B474" s="22"/>
      <c r="E474" s="113"/>
      <c r="F474" s="113"/>
      <c r="G474" s="113"/>
    </row>
    <row r="475" spans="2:7" x14ac:dyDescent="0.35">
      <c r="B475" s="22"/>
      <c r="E475" s="113"/>
      <c r="F475" s="113"/>
      <c r="G475" s="113"/>
    </row>
    <row r="476" spans="2:7" x14ac:dyDescent="0.35">
      <c r="B476" s="22"/>
      <c r="E476" s="113"/>
      <c r="F476" s="113"/>
      <c r="G476" s="113"/>
    </row>
    <row r="477" spans="2:7" x14ac:dyDescent="0.35">
      <c r="B477" s="22"/>
      <c r="E477" s="113"/>
      <c r="F477" s="113"/>
      <c r="G477" s="113"/>
    </row>
    <row r="478" spans="2:7" x14ac:dyDescent="0.35">
      <c r="B478" s="22"/>
      <c r="E478" s="113"/>
      <c r="F478" s="113"/>
      <c r="G478" s="113"/>
    </row>
    <row r="479" spans="2:7" x14ac:dyDescent="0.35">
      <c r="B479" s="22"/>
      <c r="E479" s="113"/>
      <c r="F479" s="113"/>
      <c r="G479" s="113"/>
    </row>
    <row r="480" spans="2:7" x14ac:dyDescent="0.35">
      <c r="B480" s="22"/>
      <c r="E480" s="113"/>
      <c r="F480" s="113"/>
      <c r="G480" s="113"/>
    </row>
    <row r="481" spans="2:7" x14ac:dyDescent="0.35">
      <c r="B481" s="22"/>
      <c r="E481" s="113"/>
      <c r="F481" s="113"/>
      <c r="G481" s="113"/>
    </row>
    <row r="482" spans="2:7" x14ac:dyDescent="0.35">
      <c r="B482" s="22"/>
      <c r="E482" s="113"/>
      <c r="F482" s="113"/>
      <c r="G482" s="113"/>
    </row>
    <row r="483" spans="2:7" x14ac:dyDescent="0.35">
      <c r="B483" s="22"/>
      <c r="E483" s="113"/>
      <c r="F483" s="113"/>
      <c r="G483" s="113"/>
    </row>
    <row r="484" spans="2:7" x14ac:dyDescent="0.35">
      <c r="B484" s="22"/>
      <c r="E484" s="113"/>
      <c r="F484" s="113"/>
      <c r="G484" s="113"/>
    </row>
    <row r="485" spans="2:7" x14ac:dyDescent="0.35">
      <c r="B485" s="22"/>
      <c r="E485" s="113"/>
      <c r="F485" s="113"/>
      <c r="G485" s="113"/>
    </row>
    <row r="486" spans="2:7" x14ac:dyDescent="0.35">
      <c r="B486" s="22"/>
      <c r="E486" s="113"/>
      <c r="F486" s="113"/>
      <c r="G486" s="113"/>
    </row>
    <row r="487" spans="2:7" x14ac:dyDescent="0.35">
      <c r="B487" s="22"/>
      <c r="E487" s="113"/>
      <c r="F487" s="113"/>
      <c r="G487" s="113"/>
    </row>
    <row r="488" spans="2:7" x14ac:dyDescent="0.35">
      <c r="B488" s="22"/>
      <c r="E488" s="113"/>
      <c r="F488" s="113"/>
      <c r="G488" s="113"/>
    </row>
    <row r="489" spans="2:7" x14ac:dyDescent="0.35">
      <c r="B489" s="22"/>
      <c r="E489" s="113"/>
      <c r="F489" s="113"/>
      <c r="G489" s="113"/>
    </row>
    <row r="490" spans="2:7" x14ac:dyDescent="0.35">
      <c r="B490" s="22"/>
      <c r="E490" s="113"/>
      <c r="F490" s="113"/>
      <c r="G490" s="113"/>
    </row>
    <row r="491" spans="2:7" x14ac:dyDescent="0.35">
      <c r="B491" s="22"/>
      <c r="E491" s="113"/>
      <c r="F491" s="113"/>
      <c r="G491" s="113"/>
    </row>
    <row r="492" spans="2:7" x14ac:dyDescent="0.35">
      <c r="B492" s="22"/>
      <c r="E492" s="113"/>
      <c r="F492" s="113"/>
      <c r="G492" s="113"/>
    </row>
    <row r="493" spans="2:7" x14ac:dyDescent="0.35">
      <c r="B493" s="22"/>
      <c r="E493" s="113"/>
      <c r="F493" s="113"/>
      <c r="G493" s="113"/>
    </row>
    <row r="494" spans="2:7" x14ac:dyDescent="0.35">
      <c r="B494" s="22"/>
      <c r="E494" s="113"/>
      <c r="F494" s="113"/>
      <c r="G494" s="113"/>
    </row>
    <row r="495" spans="2:7" x14ac:dyDescent="0.35">
      <c r="B495" s="22"/>
      <c r="E495" s="113"/>
      <c r="F495" s="113"/>
      <c r="G495" s="113"/>
    </row>
    <row r="496" spans="2:7" x14ac:dyDescent="0.35">
      <c r="B496" s="22"/>
      <c r="E496" s="113"/>
      <c r="F496" s="113"/>
      <c r="G496" s="113"/>
    </row>
    <row r="497" spans="2:7" x14ac:dyDescent="0.35">
      <c r="B497" s="22"/>
      <c r="E497" s="113"/>
      <c r="F497" s="113"/>
      <c r="G497" s="113"/>
    </row>
    <row r="498" spans="2:7" x14ac:dyDescent="0.35">
      <c r="B498" s="22"/>
      <c r="E498" s="113"/>
      <c r="F498" s="113"/>
      <c r="G498" s="113"/>
    </row>
    <row r="499" spans="2:7" x14ac:dyDescent="0.35">
      <c r="B499" s="22"/>
      <c r="E499" s="113"/>
      <c r="F499" s="113"/>
      <c r="G499" s="113"/>
    </row>
    <row r="500" spans="2:7" x14ac:dyDescent="0.35">
      <c r="B500" s="22"/>
      <c r="E500" s="113"/>
      <c r="F500" s="113"/>
      <c r="G500" s="113"/>
    </row>
    <row r="501" spans="2:7" x14ac:dyDescent="0.35">
      <c r="B501" s="22"/>
      <c r="E501" s="113"/>
      <c r="F501" s="113"/>
      <c r="G501" s="113"/>
    </row>
    <row r="502" spans="2:7" x14ac:dyDescent="0.35">
      <c r="B502" s="22"/>
      <c r="E502" s="113"/>
      <c r="F502" s="113"/>
      <c r="G502" s="113"/>
    </row>
    <row r="503" spans="2:7" x14ac:dyDescent="0.35">
      <c r="B503" s="22"/>
      <c r="E503" s="113"/>
      <c r="F503" s="113"/>
      <c r="G503" s="113"/>
    </row>
    <row r="504" spans="2:7" x14ac:dyDescent="0.35">
      <c r="B504" s="22"/>
      <c r="E504" s="113"/>
      <c r="F504" s="113"/>
      <c r="G504" s="113"/>
    </row>
    <row r="505" spans="2:7" x14ac:dyDescent="0.35">
      <c r="B505" s="22"/>
      <c r="E505" s="113"/>
      <c r="F505" s="113"/>
      <c r="G505" s="113"/>
    </row>
    <row r="506" spans="2:7" x14ac:dyDescent="0.35">
      <c r="B506" s="22"/>
      <c r="E506" s="113"/>
      <c r="F506" s="113"/>
      <c r="G506" s="113"/>
    </row>
    <row r="507" spans="2:7" x14ac:dyDescent="0.35">
      <c r="B507" s="22"/>
      <c r="E507" s="113"/>
      <c r="F507" s="113"/>
      <c r="G507" s="113"/>
    </row>
    <row r="508" spans="2:7" x14ac:dyDescent="0.35">
      <c r="B508" s="22"/>
      <c r="E508" s="113"/>
      <c r="F508" s="113"/>
      <c r="G508" s="113"/>
    </row>
    <row r="509" spans="2:7" x14ac:dyDescent="0.35">
      <c r="B509" s="22"/>
      <c r="E509" s="113"/>
      <c r="F509" s="113"/>
      <c r="G509" s="113"/>
    </row>
    <row r="510" spans="2:7" x14ac:dyDescent="0.35">
      <c r="B510" s="22"/>
      <c r="E510" s="113"/>
      <c r="F510" s="113"/>
      <c r="G510" s="113"/>
    </row>
    <row r="511" spans="2:7" x14ac:dyDescent="0.35">
      <c r="B511" s="22"/>
      <c r="E511" s="113"/>
      <c r="F511" s="113"/>
      <c r="G511" s="113"/>
    </row>
    <row r="512" spans="2:7" x14ac:dyDescent="0.35">
      <c r="B512" s="22"/>
      <c r="E512" s="113"/>
      <c r="F512" s="113"/>
      <c r="G512" s="113"/>
    </row>
    <row r="513" spans="2:7" x14ac:dyDescent="0.35">
      <c r="B513" s="22"/>
      <c r="E513" s="113"/>
      <c r="F513" s="113"/>
      <c r="G513" s="113"/>
    </row>
    <row r="514" spans="2:7" x14ac:dyDescent="0.35">
      <c r="B514" s="22"/>
      <c r="E514" s="113"/>
      <c r="F514" s="113"/>
      <c r="G514" s="113"/>
    </row>
    <row r="515" spans="2:7" x14ac:dyDescent="0.35">
      <c r="B515" s="22"/>
      <c r="E515" s="113"/>
      <c r="F515" s="113"/>
      <c r="G515" s="113"/>
    </row>
    <row r="516" spans="2:7" x14ac:dyDescent="0.35">
      <c r="B516" s="22"/>
      <c r="E516" s="113"/>
      <c r="F516" s="113"/>
      <c r="G516" s="113"/>
    </row>
    <row r="517" spans="2:7" x14ac:dyDescent="0.35">
      <c r="B517" s="22"/>
      <c r="E517" s="113"/>
      <c r="F517" s="113"/>
      <c r="G517" s="113"/>
    </row>
    <row r="518" spans="2:7" x14ac:dyDescent="0.35">
      <c r="B518" s="22"/>
      <c r="E518" s="113"/>
      <c r="F518" s="113"/>
      <c r="G518" s="113"/>
    </row>
    <row r="519" spans="2:7" x14ac:dyDescent="0.35">
      <c r="B519" s="22"/>
      <c r="E519" s="113"/>
      <c r="F519" s="113"/>
      <c r="G519" s="113"/>
    </row>
    <row r="520" spans="2:7" x14ac:dyDescent="0.35">
      <c r="B520" s="22"/>
      <c r="E520" s="113"/>
      <c r="F520" s="113"/>
      <c r="G520" s="113"/>
    </row>
    <row r="521" spans="2:7" x14ac:dyDescent="0.35">
      <c r="B521" s="22"/>
      <c r="E521" s="113"/>
      <c r="F521" s="113"/>
      <c r="G521" s="113"/>
    </row>
    <row r="522" spans="2:7" x14ac:dyDescent="0.35">
      <c r="B522" s="22"/>
      <c r="E522" s="113"/>
      <c r="F522" s="113"/>
      <c r="G522" s="113"/>
    </row>
    <row r="523" spans="2:7" x14ac:dyDescent="0.35">
      <c r="B523" s="22"/>
      <c r="E523" s="113"/>
      <c r="F523" s="113"/>
      <c r="G523" s="113"/>
    </row>
    <row r="524" spans="2:7" x14ac:dyDescent="0.35">
      <c r="B524" s="22"/>
      <c r="E524" s="113"/>
      <c r="F524" s="113"/>
      <c r="G524" s="113"/>
    </row>
    <row r="525" spans="2:7" x14ac:dyDescent="0.35">
      <c r="B525" s="22"/>
      <c r="E525" s="113"/>
      <c r="F525" s="113"/>
      <c r="G525" s="113"/>
    </row>
    <row r="526" spans="2:7" x14ac:dyDescent="0.35">
      <c r="B526" s="22"/>
      <c r="E526" s="113"/>
      <c r="F526" s="113"/>
      <c r="G526" s="113"/>
    </row>
    <row r="527" spans="2:7" x14ac:dyDescent="0.35">
      <c r="B527" s="22"/>
      <c r="E527" s="113"/>
      <c r="F527" s="113"/>
      <c r="G527" s="113"/>
    </row>
    <row r="528" spans="2:7" x14ac:dyDescent="0.35">
      <c r="B528" s="22"/>
      <c r="E528" s="113"/>
      <c r="F528" s="113"/>
      <c r="G528" s="113"/>
    </row>
    <row r="529" spans="2:7" x14ac:dyDescent="0.35">
      <c r="B529" s="22"/>
      <c r="E529" s="113"/>
      <c r="F529" s="113"/>
      <c r="G529" s="113"/>
    </row>
    <row r="530" spans="2:7" x14ac:dyDescent="0.35">
      <c r="B530" s="22"/>
      <c r="E530" s="113"/>
      <c r="F530" s="113"/>
      <c r="G530" s="113"/>
    </row>
    <row r="531" spans="2:7" x14ac:dyDescent="0.35">
      <c r="B531" s="22"/>
      <c r="E531" s="113"/>
      <c r="F531" s="113"/>
      <c r="G531" s="113"/>
    </row>
    <row r="532" spans="2:7" x14ac:dyDescent="0.35">
      <c r="B532" s="22"/>
      <c r="E532" s="113"/>
      <c r="F532" s="113"/>
      <c r="G532" s="113"/>
    </row>
    <row r="533" spans="2:7" x14ac:dyDescent="0.35">
      <c r="B533" s="22"/>
      <c r="E533" s="113"/>
      <c r="F533" s="113"/>
      <c r="G533" s="113"/>
    </row>
    <row r="534" spans="2:7" x14ac:dyDescent="0.35">
      <c r="B534" s="22"/>
      <c r="E534" s="113"/>
      <c r="F534" s="113"/>
      <c r="G534" s="113"/>
    </row>
    <row r="535" spans="2:7" x14ac:dyDescent="0.35">
      <c r="B535" s="22"/>
      <c r="E535" s="113"/>
      <c r="F535" s="113"/>
      <c r="G535" s="113"/>
    </row>
    <row r="536" spans="2:7" x14ac:dyDescent="0.35">
      <c r="B536" s="22"/>
      <c r="E536" s="113"/>
      <c r="F536" s="113"/>
      <c r="G536" s="113"/>
    </row>
    <row r="537" spans="2:7" x14ac:dyDescent="0.35">
      <c r="B537" s="22"/>
      <c r="E537" s="113"/>
      <c r="F537" s="113"/>
      <c r="G537" s="113"/>
    </row>
    <row r="538" spans="2:7" x14ac:dyDescent="0.35">
      <c r="B538" s="22"/>
      <c r="E538" s="113"/>
      <c r="F538" s="113"/>
      <c r="G538" s="113"/>
    </row>
    <row r="539" spans="2:7" x14ac:dyDescent="0.35">
      <c r="B539" s="22"/>
      <c r="E539" s="113"/>
      <c r="F539" s="113"/>
      <c r="G539" s="113"/>
    </row>
    <row r="540" spans="2:7" x14ac:dyDescent="0.35">
      <c r="B540" s="22"/>
      <c r="E540" s="113"/>
      <c r="F540" s="113"/>
      <c r="G540" s="113"/>
    </row>
    <row r="541" spans="2:7" x14ac:dyDescent="0.35">
      <c r="B541" s="22"/>
      <c r="E541" s="113"/>
      <c r="F541" s="113"/>
      <c r="G541" s="113"/>
    </row>
    <row r="542" spans="2:7" x14ac:dyDescent="0.35">
      <c r="B542" s="22"/>
      <c r="E542" s="113"/>
      <c r="F542" s="113"/>
      <c r="G542" s="113"/>
    </row>
    <row r="543" spans="2:7" x14ac:dyDescent="0.35">
      <c r="B543" s="22"/>
      <c r="E543" s="113"/>
      <c r="F543" s="113"/>
      <c r="G543" s="113"/>
    </row>
    <row r="544" spans="2:7" x14ac:dyDescent="0.35">
      <c r="B544" s="22"/>
      <c r="E544" s="113"/>
      <c r="F544" s="113"/>
      <c r="G544" s="113"/>
    </row>
    <row r="545" spans="2:7" x14ac:dyDescent="0.35">
      <c r="B545" s="22"/>
      <c r="E545" s="113"/>
      <c r="F545" s="113"/>
      <c r="G545" s="113"/>
    </row>
    <row r="546" spans="2:7" x14ac:dyDescent="0.35">
      <c r="B546" s="22"/>
      <c r="E546" s="113"/>
      <c r="F546" s="113"/>
      <c r="G546" s="113"/>
    </row>
    <row r="547" spans="2:7" x14ac:dyDescent="0.35">
      <c r="B547" s="22"/>
      <c r="E547" s="113"/>
      <c r="F547" s="113"/>
      <c r="G547" s="113"/>
    </row>
    <row r="548" spans="2:7" x14ac:dyDescent="0.35">
      <c r="B548" s="22"/>
      <c r="E548" s="113"/>
      <c r="F548" s="113"/>
      <c r="G548" s="113"/>
    </row>
    <row r="549" spans="2:7" x14ac:dyDescent="0.35">
      <c r="B549" s="22"/>
      <c r="E549" s="113"/>
      <c r="F549" s="113"/>
      <c r="G549" s="113"/>
    </row>
    <row r="550" spans="2:7" x14ac:dyDescent="0.35">
      <c r="B550" s="22"/>
      <c r="E550" s="113"/>
      <c r="F550" s="113"/>
      <c r="G550" s="113"/>
    </row>
    <row r="551" spans="2:7" x14ac:dyDescent="0.35">
      <c r="B551" s="22"/>
      <c r="E551" s="113"/>
      <c r="F551" s="113"/>
      <c r="G551" s="113"/>
    </row>
    <row r="552" spans="2:7" x14ac:dyDescent="0.35">
      <c r="B552" s="22"/>
      <c r="E552" s="113"/>
      <c r="F552" s="113"/>
      <c r="G552" s="113"/>
    </row>
    <row r="553" spans="2:7" x14ac:dyDescent="0.35">
      <c r="B553" s="22"/>
      <c r="E553" s="113"/>
      <c r="F553" s="113"/>
      <c r="G553" s="113"/>
    </row>
    <row r="554" spans="2:7" x14ac:dyDescent="0.35">
      <c r="B554" s="22"/>
      <c r="E554" s="113"/>
      <c r="F554" s="113"/>
      <c r="G554" s="113"/>
    </row>
    <row r="555" spans="2:7" x14ac:dyDescent="0.35">
      <c r="B555" s="22"/>
      <c r="E555" s="113"/>
      <c r="F555" s="113"/>
      <c r="G555" s="113"/>
    </row>
    <row r="556" spans="2:7" x14ac:dyDescent="0.35">
      <c r="B556" s="22"/>
      <c r="E556" s="113"/>
      <c r="F556" s="113"/>
      <c r="G556" s="113"/>
    </row>
    <row r="557" spans="2:7" x14ac:dyDescent="0.35">
      <c r="B557" s="22"/>
      <c r="E557" s="113"/>
      <c r="F557" s="113"/>
      <c r="G557" s="113"/>
    </row>
    <row r="558" spans="2:7" x14ac:dyDescent="0.35">
      <c r="B558" s="22"/>
      <c r="E558" s="113"/>
      <c r="F558" s="113"/>
      <c r="G558" s="113"/>
    </row>
    <row r="559" spans="2:7" x14ac:dyDescent="0.35">
      <c r="B559" s="22"/>
      <c r="E559" s="113"/>
      <c r="F559" s="113"/>
      <c r="G559" s="113"/>
    </row>
    <row r="560" spans="2:7" x14ac:dyDescent="0.35">
      <c r="B560" s="22"/>
      <c r="E560" s="113"/>
      <c r="F560" s="113"/>
      <c r="G560" s="113"/>
    </row>
    <row r="561" spans="2:7" x14ac:dyDescent="0.35">
      <c r="B561" s="22"/>
      <c r="E561" s="113"/>
      <c r="F561" s="113"/>
      <c r="G561" s="113"/>
    </row>
    <row r="562" spans="2:7" x14ac:dyDescent="0.35">
      <c r="B562" s="22"/>
      <c r="E562" s="113"/>
      <c r="F562" s="113"/>
      <c r="G562" s="113"/>
    </row>
    <row r="563" spans="2:7" x14ac:dyDescent="0.35">
      <c r="B563" s="22"/>
      <c r="E563" s="113"/>
      <c r="F563" s="113"/>
      <c r="G563" s="113"/>
    </row>
    <row r="564" spans="2:7" x14ac:dyDescent="0.35">
      <c r="B564" s="22"/>
      <c r="E564" s="113"/>
      <c r="F564" s="113"/>
      <c r="G564" s="113"/>
    </row>
    <row r="565" spans="2:7" x14ac:dyDescent="0.35">
      <c r="B565" s="22"/>
      <c r="E565" s="113"/>
      <c r="F565" s="113"/>
      <c r="G565" s="113"/>
    </row>
    <row r="566" spans="2:7" x14ac:dyDescent="0.35">
      <c r="B566" s="22"/>
      <c r="E566" s="113"/>
      <c r="F566" s="113"/>
      <c r="G566" s="113"/>
    </row>
    <row r="567" spans="2:7" x14ac:dyDescent="0.35">
      <c r="B567" s="22"/>
      <c r="E567" s="113"/>
      <c r="F567" s="113"/>
      <c r="G567" s="113"/>
    </row>
    <row r="568" spans="2:7" x14ac:dyDescent="0.35">
      <c r="B568" s="22"/>
      <c r="E568" s="113"/>
      <c r="F568" s="113"/>
      <c r="G568" s="113"/>
    </row>
    <row r="569" spans="2:7" x14ac:dyDescent="0.35">
      <c r="B569" s="22"/>
      <c r="E569" s="113"/>
      <c r="F569" s="113"/>
      <c r="G569" s="113"/>
    </row>
    <row r="570" spans="2:7" x14ac:dyDescent="0.35">
      <c r="B570" s="22"/>
      <c r="E570" s="113"/>
      <c r="F570" s="113"/>
      <c r="G570" s="113"/>
    </row>
    <row r="571" spans="2:7" x14ac:dyDescent="0.35">
      <c r="B571" s="22"/>
      <c r="E571" s="113"/>
      <c r="F571" s="113"/>
      <c r="G571" s="113"/>
    </row>
    <row r="572" spans="2:7" x14ac:dyDescent="0.35">
      <c r="B572" s="22"/>
      <c r="E572" s="113"/>
      <c r="F572" s="113"/>
      <c r="G572" s="113"/>
    </row>
    <row r="573" spans="2:7" x14ac:dyDescent="0.35">
      <c r="B573" s="22"/>
      <c r="E573" s="113"/>
      <c r="F573" s="113"/>
      <c r="G573" s="113"/>
    </row>
    <row r="574" spans="2:7" x14ac:dyDescent="0.35">
      <c r="B574" s="22"/>
      <c r="E574" s="113"/>
      <c r="F574" s="113"/>
      <c r="G574" s="113"/>
    </row>
    <row r="575" spans="2:7" x14ac:dyDescent="0.35">
      <c r="B575" s="22"/>
      <c r="E575" s="113"/>
      <c r="F575" s="113"/>
      <c r="G575" s="113"/>
    </row>
    <row r="576" spans="2:7" x14ac:dyDescent="0.35">
      <c r="B576" s="22"/>
      <c r="E576" s="113"/>
      <c r="F576" s="113"/>
      <c r="G576" s="113"/>
    </row>
    <row r="577" spans="2:7" x14ac:dyDescent="0.35">
      <c r="B577" s="22"/>
      <c r="E577" s="113"/>
      <c r="F577" s="113"/>
      <c r="G577" s="113"/>
    </row>
    <row r="578" spans="2:7" x14ac:dyDescent="0.35">
      <c r="B578" s="22"/>
      <c r="E578" s="113"/>
      <c r="F578" s="113"/>
      <c r="G578" s="113"/>
    </row>
    <row r="579" spans="2:7" x14ac:dyDescent="0.35">
      <c r="B579" s="22"/>
      <c r="E579" s="113"/>
      <c r="F579" s="113"/>
      <c r="G579" s="113"/>
    </row>
    <row r="580" spans="2:7" x14ac:dyDescent="0.35">
      <c r="B580" s="22"/>
      <c r="E580" s="113"/>
      <c r="F580" s="113"/>
      <c r="G580" s="113"/>
    </row>
    <row r="581" spans="2:7" x14ac:dyDescent="0.35">
      <c r="B581" s="22"/>
      <c r="E581" s="113"/>
      <c r="F581" s="113"/>
      <c r="G581" s="113"/>
    </row>
    <row r="582" spans="2:7" x14ac:dyDescent="0.35">
      <c r="B582" s="22"/>
      <c r="E582" s="113"/>
      <c r="F582" s="113"/>
      <c r="G582" s="113"/>
    </row>
    <row r="583" spans="2:7" x14ac:dyDescent="0.35">
      <c r="B583" s="22"/>
      <c r="E583" s="113"/>
      <c r="F583" s="113"/>
      <c r="G583" s="113"/>
    </row>
    <row r="584" spans="2:7" x14ac:dyDescent="0.35">
      <c r="B584" s="22"/>
      <c r="E584" s="113"/>
      <c r="F584" s="113"/>
      <c r="G584" s="113"/>
    </row>
    <row r="585" spans="2:7" x14ac:dyDescent="0.35">
      <c r="B585" s="22"/>
      <c r="E585" s="113"/>
      <c r="F585" s="113"/>
      <c r="G585" s="113"/>
    </row>
    <row r="586" spans="2:7" x14ac:dyDescent="0.35">
      <c r="B586" s="22"/>
      <c r="E586" s="113"/>
      <c r="F586" s="113"/>
      <c r="G586" s="113"/>
    </row>
    <row r="587" spans="2:7" x14ac:dyDescent="0.35">
      <c r="B587" s="22"/>
      <c r="E587" s="113"/>
      <c r="F587" s="113"/>
      <c r="G587" s="113"/>
    </row>
    <row r="588" spans="2:7" x14ac:dyDescent="0.35">
      <c r="B588" s="22"/>
      <c r="E588" s="113"/>
      <c r="F588" s="113"/>
      <c r="G588" s="113"/>
    </row>
    <row r="589" spans="2:7" x14ac:dyDescent="0.35">
      <c r="B589" s="22"/>
      <c r="E589" s="113"/>
      <c r="F589" s="113"/>
      <c r="G589" s="113"/>
    </row>
    <row r="590" spans="2:7" x14ac:dyDescent="0.35">
      <c r="B590" s="22"/>
      <c r="E590" s="113"/>
      <c r="F590" s="113"/>
      <c r="G590" s="113"/>
    </row>
    <row r="591" spans="2:7" x14ac:dyDescent="0.35">
      <c r="B591" s="22"/>
      <c r="E591" s="113"/>
      <c r="F591" s="113"/>
      <c r="G591" s="113"/>
    </row>
    <row r="592" spans="2:7" x14ac:dyDescent="0.35">
      <c r="B592" s="22"/>
      <c r="E592" s="113"/>
      <c r="F592" s="113"/>
      <c r="G592" s="113"/>
    </row>
    <row r="593" spans="2:7" x14ac:dyDescent="0.35">
      <c r="B593" s="22"/>
      <c r="E593" s="113"/>
      <c r="F593" s="113"/>
      <c r="G593" s="113"/>
    </row>
    <row r="594" spans="2:7" x14ac:dyDescent="0.35">
      <c r="B594" s="22"/>
      <c r="E594" s="113"/>
      <c r="F594" s="113"/>
      <c r="G594" s="113"/>
    </row>
    <row r="595" spans="2:7" x14ac:dyDescent="0.35">
      <c r="B595" s="22"/>
      <c r="E595" s="113"/>
      <c r="F595" s="113"/>
      <c r="G595" s="113"/>
    </row>
    <row r="596" spans="2:7" x14ac:dyDescent="0.35">
      <c r="B596" s="22"/>
      <c r="E596" s="113"/>
      <c r="F596" s="113"/>
      <c r="G596" s="113"/>
    </row>
    <row r="597" spans="2:7" x14ac:dyDescent="0.35">
      <c r="B597" s="22"/>
      <c r="E597" s="113"/>
      <c r="F597" s="113"/>
      <c r="G597" s="113"/>
    </row>
    <row r="598" spans="2:7" x14ac:dyDescent="0.35">
      <c r="B598" s="22"/>
      <c r="E598" s="113"/>
      <c r="F598" s="113"/>
      <c r="G598" s="113"/>
    </row>
    <row r="599" spans="2:7" x14ac:dyDescent="0.35">
      <c r="B599" s="22"/>
      <c r="E599" s="113"/>
      <c r="F599" s="113"/>
      <c r="G599" s="113"/>
    </row>
    <row r="600" spans="2:7" x14ac:dyDescent="0.35">
      <c r="B600" s="22"/>
      <c r="E600" s="113"/>
      <c r="F600" s="113"/>
      <c r="G600" s="113"/>
    </row>
    <row r="601" spans="2:7" x14ac:dyDescent="0.35">
      <c r="B601" s="22"/>
      <c r="E601" s="113"/>
      <c r="F601" s="113"/>
      <c r="G601" s="113"/>
    </row>
    <row r="602" spans="2:7" x14ac:dyDescent="0.35">
      <c r="B602" s="22"/>
      <c r="E602" s="113"/>
      <c r="F602" s="113"/>
      <c r="G602" s="113"/>
    </row>
    <row r="603" spans="2:7" x14ac:dyDescent="0.35">
      <c r="B603" s="22"/>
      <c r="E603" s="113"/>
      <c r="F603" s="113"/>
      <c r="G603" s="113"/>
    </row>
    <row r="604" spans="2:7" x14ac:dyDescent="0.35">
      <c r="B604" s="22"/>
      <c r="E604" s="113"/>
      <c r="F604" s="113"/>
      <c r="G604" s="113"/>
    </row>
    <row r="605" spans="2:7" x14ac:dyDescent="0.35">
      <c r="B605" s="22"/>
      <c r="E605" s="113"/>
      <c r="F605" s="113"/>
      <c r="G605" s="113"/>
    </row>
    <row r="606" spans="2:7" x14ac:dyDescent="0.35">
      <c r="B606" s="22"/>
      <c r="E606" s="113"/>
      <c r="F606" s="113"/>
      <c r="G606" s="113"/>
    </row>
    <row r="607" spans="2:7" x14ac:dyDescent="0.35">
      <c r="B607" s="22"/>
      <c r="E607" s="113"/>
      <c r="F607" s="113"/>
      <c r="G607" s="113"/>
    </row>
    <row r="608" spans="2:7" x14ac:dyDescent="0.35">
      <c r="B608" s="22"/>
      <c r="E608" s="113"/>
      <c r="F608" s="113"/>
      <c r="G608" s="113"/>
    </row>
    <row r="609" spans="2:7" x14ac:dyDescent="0.35">
      <c r="B609" s="22"/>
      <c r="E609" s="113"/>
      <c r="F609" s="113"/>
      <c r="G609" s="113"/>
    </row>
    <row r="610" spans="2:7" x14ac:dyDescent="0.35">
      <c r="B610" s="22"/>
      <c r="E610" s="113"/>
      <c r="F610" s="113"/>
      <c r="G610" s="113"/>
    </row>
    <row r="611" spans="2:7" x14ac:dyDescent="0.35">
      <c r="B611" s="22"/>
      <c r="E611" s="113"/>
      <c r="F611" s="113"/>
      <c r="G611" s="113"/>
    </row>
    <row r="612" spans="2:7" x14ac:dyDescent="0.35">
      <c r="B612" s="22"/>
      <c r="E612" s="113"/>
      <c r="F612" s="113"/>
      <c r="G612" s="113"/>
    </row>
    <row r="613" spans="2:7" x14ac:dyDescent="0.35">
      <c r="B613" s="22"/>
      <c r="E613" s="113"/>
      <c r="F613" s="113"/>
      <c r="G613" s="113"/>
    </row>
    <row r="614" spans="2:7" x14ac:dyDescent="0.35">
      <c r="B614" s="22"/>
      <c r="E614" s="113"/>
      <c r="F614" s="113"/>
      <c r="G614" s="113"/>
    </row>
    <row r="615" spans="2:7" x14ac:dyDescent="0.35">
      <c r="B615" s="22"/>
      <c r="E615" s="113"/>
      <c r="F615" s="113"/>
      <c r="G615" s="113"/>
    </row>
    <row r="616" spans="2:7" x14ac:dyDescent="0.35">
      <c r="B616" s="22"/>
      <c r="E616" s="113"/>
      <c r="F616" s="113"/>
      <c r="G616" s="113"/>
    </row>
    <row r="617" spans="2:7" x14ac:dyDescent="0.35">
      <c r="B617" s="22"/>
      <c r="E617" s="113"/>
      <c r="F617" s="113"/>
      <c r="G617" s="113"/>
    </row>
    <row r="618" spans="2:7" x14ac:dyDescent="0.35">
      <c r="B618" s="22"/>
      <c r="E618" s="113"/>
      <c r="F618" s="113"/>
      <c r="G618" s="113"/>
    </row>
    <row r="619" spans="2:7" x14ac:dyDescent="0.35">
      <c r="B619" s="22"/>
      <c r="E619" s="113"/>
      <c r="F619" s="113"/>
      <c r="G619" s="113"/>
    </row>
    <row r="620" spans="2:7" x14ac:dyDescent="0.35">
      <c r="B620" s="22"/>
      <c r="E620" s="113"/>
      <c r="F620" s="113"/>
      <c r="G620" s="113"/>
    </row>
    <row r="621" spans="2:7" x14ac:dyDescent="0.35">
      <c r="B621" s="22"/>
      <c r="E621" s="113"/>
      <c r="F621" s="113"/>
      <c r="G621" s="113"/>
    </row>
    <row r="622" spans="2:7" x14ac:dyDescent="0.35">
      <c r="B622" s="22"/>
      <c r="E622" s="113"/>
      <c r="F622" s="113"/>
      <c r="G622" s="113"/>
    </row>
    <row r="623" spans="2:7" x14ac:dyDescent="0.35">
      <c r="B623" s="22"/>
      <c r="E623" s="113"/>
      <c r="F623" s="113"/>
      <c r="G623" s="113"/>
    </row>
    <row r="624" spans="2:7" x14ac:dyDescent="0.35">
      <c r="B624" s="22"/>
      <c r="E624" s="113"/>
      <c r="F624" s="113"/>
      <c r="G624" s="113"/>
    </row>
    <row r="625" spans="2:7" x14ac:dyDescent="0.35">
      <c r="B625" s="22"/>
      <c r="E625" s="113"/>
      <c r="F625" s="113"/>
      <c r="G625" s="113"/>
    </row>
    <row r="626" spans="2:7" x14ac:dyDescent="0.35">
      <c r="B626" s="22"/>
      <c r="E626" s="113"/>
      <c r="F626" s="113"/>
      <c r="G626" s="113"/>
    </row>
    <row r="627" spans="2:7" x14ac:dyDescent="0.35">
      <c r="B627" s="22"/>
      <c r="E627" s="113"/>
      <c r="F627" s="113"/>
      <c r="G627" s="113"/>
    </row>
    <row r="628" spans="2:7" x14ac:dyDescent="0.35">
      <c r="B628" s="22"/>
      <c r="E628" s="113"/>
      <c r="F628" s="113"/>
      <c r="G628" s="113"/>
    </row>
    <row r="629" spans="2:7" x14ac:dyDescent="0.35">
      <c r="B629" s="22"/>
      <c r="E629" s="113"/>
      <c r="F629" s="113"/>
      <c r="G629" s="113"/>
    </row>
    <row r="630" spans="2:7" x14ac:dyDescent="0.35">
      <c r="B630" s="22"/>
      <c r="E630" s="113"/>
      <c r="F630" s="113"/>
      <c r="G630" s="113"/>
    </row>
    <row r="631" spans="2:7" x14ac:dyDescent="0.35">
      <c r="B631" s="22"/>
      <c r="E631" s="113"/>
      <c r="F631" s="113"/>
      <c r="G631" s="113"/>
    </row>
    <row r="632" spans="2:7" x14ac:dyDescent="0.35">
      <c r="B632" s="22"/>
      <c r="E632" s="113"/>
      <c r="F632" s="113"/>
      <c r="G632" s="113"/>
    </row>
    <row r="633" spans="2:7" x14ac:dyDescent="0.35">
      <c r="B633" s="22"/>
      <c r="E633" s="113"/>
      <c r="F633" s="113"/>
      <c r="G633" s="113"/>
    </row>
    <row r="634" spans="2:7" x14ac:dyDescent="0.35">
      <c r="B634" s="22"/>
      <c r="E634" s="113"/>
      <c r="F634" s="113"/>
      <c r="G634" s="113"/>
    </row>
    <row r="635" spans="2:7" x14ac:dyDescent="0.35">
      <c r="B635" s="22"/>
      <c r="E635" s="113"/>
      <c r="F635" s="113"/>
      <c r="G635" s="113"/>
    </row>
    <row r="636" spans="2:7" x14ac:dyDescent="0.35">
      <c r="B636" s="22"/>
      <c r="E636" s="113"/>
      <c r="F636" s="113"/>
      <c r="G636" s="113"/>
    </row>
    <row r="637" spans="2:7" x14ac:dyDescent="0.35">
      <c r="B637" s="22"/>
      <c r="E637" s="113"/>
      <c r="F637" s="113"/>
      <c r="G637" s="113"/>
    </row>
    <row r="638" spans="2:7" x14ac:dyDescent="0.35">
      <c r="B638" s="22"/>
      <c r="E638" s="113"/>
      <c r="F638" s="113"/>
      <c r="G638" s="113"/>
    </row>
    <row r="639" spans="2:7" x14ac:dyDescent="0.35">
      <c r="B639" s="22"/>
      <c r="E639" s="113"/>
      <c r="F639" s="113"/>
      <c r="G639" s="113"/>
    </row>
    <row r="640" spans="2:7" x14ac:dyDescent="0.35">
      <c r="B640" s="22"/>
      <c r="E640" s="113"/>
      <c r="F640" s="113"/>
      <c r="G640" s="113"/>
    </row>
    <row r="641" spans="2:7" x14ac:dyDescent="0.35">
      <c r="B641" s="22"/>
      <c r="E641" s="113"/>
      <c r="F641" s="113"/>
      <c r="G641" s="113"/>
    </row>
    <row r="642" spans="2:7" x14ac:dyDescent="0.35">
      <c r="B642" s="22"/>
      <c r="E642" s="113"/>
      <c r="F642" s="113"/>
      <c r="G642" s="113"/>
    </row>
    <row r="643" spans="2:7" x14ac:dyDescent="0.35">
      <c r="B643" s="22"/>
      <c r="E643" s="113"/>
      <c r="F643" s="113"/>
      <c r="G643" s="113"/>
    </row>
    <row r="644" spans="2:7" x14ac:dyDescent="0.35">
      <c r="B644" s="22"/>
      <c r="E644" s="113"/>
      <c r="F644" s="113"/>
      <c r="G644" s="113"/>
    </row>
    <row r="645" spans="2:7" x14ac:dyDescent="0.35">
      <c r="B645" s="22"/>
      <c r="E645" s="113"/>
      <c r="F645" s="113"/>
      <c r="G645" s="113"/>
    </row>
    <row r="646" spans="2:7" x14ac:dyDescent="0.35">
      <c r="B646" s="22"/>
      <c r="E646" s="113"/>
      <c r="F646" s="113"/>
      <c r="G646" s="113"/>
    </row>
    <row r="647" spans="2:7" x14ac:dyDescent="0.35">
      <c r="B647" s="22"/>
      <c r="E647" s="113"/>
      <c r="F647" s="113"/>
      <c r="G647" s="113"/>
    </row>
    <row r="648" spans="2:7" x14ac:dyDescent="0.35">
      <c r="B648" s="22"/>
      <c r="E648" s="113"/>
      <c r="F648" s="113"/>
      <c r="G648" s="113"/>
    </row>
    <row r="649" spans="2:7" x14ac:dyDescent="0.35">
      <c r="B649" s="22"/>
      <c r="E649" s="113"/>
      <c r="F649" s="113"/>
      <c r="G649" s="113"/>
    </row>
    <row r="650" spans="2:7" x14ac:dyDescent="0.35">
      <c r="B650" s="22"/>
      <c r="E650" s="113"/>
      <c r="F650" s="113"/>
      <c r="G650" s="113"/>
    </row>
    <row r="651" spans="2:7" x14ac:dyDescent="0.35">
      <c r="B651" s="22"/>
      <c r="E651" s="113"/>
      <c r="F651" s="113"/>
      <c r="G651" s="113"/>
    </row>
    <row r="652" spans="2:7" x14ac:dyDescent="0.35">
      <c r="B652" s="22"/>
      <c r="E652" s="113"/>
      <c r="F652" s="113"/>
      <c r="G652" s="113"/>
    </row>
    <row r="653" spans="2:7" x14ac:dyDescent="0.35">
      <c r="B653" s="22"/>
      <c r="E653" s="113"/>
      <c r="F653" s="113"/>
      <c r="G653" s="113"/>
    </row>
    <row r="654" spans="2:7" x14ac:dyDescent="0.35">
      <c r="B654" s="22"/>
      <c r="E654" s="113"/>
      <c r="F654" s="113"/>
      <c r="G654" s="113"/>
    </row>
    <row r="655" spans="2:7" x14ac:dyDescent="0.35">
      <c r="B655" s="22"/>
      <c r="E655" s="113"/>
      <c r="F655" s="113"/>
      <c r="G655" s="113"/>
    </row>
    <row r="656" spans="2:7" x14ac:dyDescent="0.35">
      <c r="B656" s="22"/>
      <c r="E656" s="113"/>
      <c r="F656" s="113"/>
      <c r="G656" s="113"/>
    </row>
    <row r="657" spans="2:7" x14ac:dyDescent="0.35">
      <c r="B657" s="22"/>
      <c r="E657" s="113"/>
      <c r="F657" s="113"/>
      <c r="G657" s="113"/>
    </row>
    <row r="658" spans="2:7" x14ac:dyDescent="0.35">
      <c r="B658" s="22"/>
      <c r="E658" s="113"/>
      <c r="F658" s="113"/>
      <c r="G658" s="113"/>
    </row>
    <row r="659" spans="2:7" x14ac:dyDescent="0.35">
      <c r="B659" s="22"/>
      <c r="E659" s="113"/>
      <c r="F659" s="113"/>
      <c r="G659" s="113"/>
    </row>
    <row r="660" spans="2:7" x14ac:dyDescent="0.35">
      <c r="B660" s="22"/>
      <c r="E660" s="113"/>
      <c r="F660" s="113"/>
      <c r="G660" s="113"/>
    </row>
    <row r="661" spans="2:7" x14ac:dyDescent="0.35">
      <c r="B661" s="22"/>
      <c r="E661" s="113"/>
      <c r="F661" s="113"/>
      <c r="G661" s="113"/>
    </row>
    <row r="662" spans="2:7" x14ac:dyDescent="0.35">
      <c r="B662" s="22"/>
      <c r="E662" s="113"/>
      <c r="F662" s="113"/>
      <c r="G662" s="113"/>
    </row>
    <row r="663" spans="2:7" x14ac:dyDescent="0.35">
      <c r="B663" s="22"/>
      <c r="E663" s="113"/>
      <c r="F663" s="113"/>
      <c r="G663" s="113"/>
    </row>
    <row r="664" spans="2:7" x14ac:dyDescent="0.35">
      <c r="B664" s="22"/>
      <c r="E664" s="113"/>
      <c r="F664" s="113"/>
      <c r="G664" s="113"/>
    </row>
    <row r="665" spans="2:7" x14ac:dyDescent="0.35">
      <c r="B665" s="22"/>
      <c r="E665" s="113"/>
      <c r="F665" s="113"/>
      <c r="G665" s="113"/>
    </row>
    <row r="666" spans="2:7" x14ac:dyDescent="0.35">
      <c r="B666" s="22"/>
      <c r="E666" s="113"/>
      <c r="F666" s="113"/>
      <c r="G666" s="113"/>
    </row>
    <row r="667" spans="2:7" x14ac:dyDescent="0.35">
      <c r="B667" s="22"/>
      <c r="E667" s="113"/>
      <c r="F667" s="113"/>
      <c r="G667" s="113"/>
    </row>
    <row r="668" spans="2:7" x14ac:dyDescent="0.35">
      <c r="B668" s="22"/>
      <c r="E668" s="113"/>
      <c r="F668" s="113"/>
      <c r="G668" s="113"/>
    </row>
    <row r="669" spans="2:7" x14ac:dyDescent="0.35">
      <c r="B669" s="22"/>
      <c r="E669" s="113"/>
      <c r="F669" s="113"/>
      <c r="G669" s="113"/>
    </row>
    <row r="670" spans="2:7" x14ac:dyDescent="0.35">
      <c r="B670" s="22"/>
      <c r="E670" s="113"/>
      <c r="F670" s="113"/>
      <c r="G670" s="113"/>
    </row>
    <row r="671" spans="2:7" x14ac:dyDescent="0.35">
      <c r="B671" s="22"/>
      <c r="E671" s="113"/>
      <c r="F671" s="113"/>
      <c r="G671" s="113"/>
    </row>
    <row r="672" spans="2:7" x14ac:dyDescent="0.35">
      <c r="B672" s="22"/>
      <c r="E672" s="113"/>
      <c r="F672" s="113"/>
      <c r="G672" s="113"/>
    </row>
    <row r="673" spans="2:7" x14ac:dyDescent="0.35">
      <c r="B673" s="22"/>
      <c r="E673" s="113"/>
      <c r="F673" s="113"/>
      <c r="G673" s="113"/>
    </row>
    <row r="674" spans="2:7" x14ac:dyDescent="0.35">
      <c r="B674" s="22"/>
      <c r="E674" s="113"/>
      <c r="F674" s="113"/>
      <c r="G674" s="113"/>
    </row>
    <row r="675" spans="2:7" x14ac:dyDescent="0.35">
      <c r="B675" s="22"/>
      <c r="E675" s="113"/>
      <c r="F675" s="113"/>
      <c r="G675" s="113"/>
    </row>
    <row r="676" spans="2:7" x14ac:dyDescent="0.35">
      <c r="B676" s="22"/>
      <c r="E676" s="113"/>
      <c r="F676" s="113"/>
      <c r="G676" s="113"/>
    </row>
    <row r="677" spans="2:7" x14ac:dyDescent="0.35">
      <c r="B677" s="22"/>
      <c r="E677" s="113"/>
      <c r="F677" s="113"/>
      <c r="G677" s="113"/>
    </row>
    <row r="678" spans="2:7" x14ac:dyDescent="0.35">
      <c r="B678" s="22"/>
      <c r="E678" s="113"/>
      <c r="F678" s="113"/>
      <c r="G678" s="113"/>
    </row>
    <row r="679" spans="2:7" x14ac:dyDescent="0.35">
      <c r="B679" s="22"/>
      <c r="E679" s="113"/>
      <c r="F679" s="113"/>
      <c r="G679" s="113"/>
    </row>
    <row r="680" spans="2:7" x14ac:dyDescent="0.35">
      <c r="B680" s="22"/>
      <c r="E680" s="113"/>
      <c r="F680" s="113"/>
      <c r="G680" s="113"/>
    </row>
    <row r="681" spans="2:7" x14ac:dyDescent="0.35">
      <c r="B681" s="22"/>
      <c r="E681" s="113"/>
      <c r="F681" s="113"/>
      <c r="G681" s="113"/>
    </row>
    <row r="682" spans="2:7" x14ac:dyDescent="0.35">
      <c r="B682" s="22"/>
      <c r="E682" s="113"/>
      <c r="F682" s="113"/>
      <c r="G682" s="113"/>
    </row>
    <row r="683" spans="2:7" x14ac:dyDescent="0.35">
      <c r="B683" s="22"/>
      <c r="E683" s="113"/>
      <c r="F683" s="113"/>
      <c r="G683" s="113"/>
    </row>
    <row r="684" spans="2:7" x14ac:dyDescent="0.35">
      <c r="B684" s="22"/>
      <c r="E684" s="113"/>
      <c r="F684" s="113"/>
      <c r="G684" s="113"/>
    </row>
    <row r="685" spans="2:7" x14ac:dyDescent="0.35">
      <c r="B685" s="22"/>
      <c r="E685" s="113"/>
      <c r="F685" s="113"/>
      <c r="G685" s="113"/>
    </row>
    <row r="686" spans="2:7" x14ac:dyDescent="0.35">
      <c r="B686" s="22"/>
      <c r="E686" s="113"/>
      <c r="F686" s="113"/>
      <c r="G686" s="113"/>
    </row>
    <row r="687" spans="2:7" x14ac:dyDescent="0.35">
      <c r="B687" s="22"/>
      <c r="E687" s="113"/>
      <c r="F687" s="113"/>
      <c r="G687" s="113"/>
    </row>
    <row r="688" spans="2:7" x14ac:dyDescent="0.35">
      <c r="B688" s="22"/>
      <c r="E688" s="113"/>
      <c r="F688" s="113"/>
      <c r="G688" s="113"/>
    </row>
    <row r="689" spans="2:7" x14ac:dyDescent="0.35">
      <c r="B689" s="22"/>
      <c r="E689" s="113"/>
      <c r="F689" s="113"/>
      <c r="G689" s="113"/>
    </row>
    <row r="690" spans="2:7" x14ac:dyDescent="0.35">
      <c r="B690" s="22"/>
      <c r="E690" s="113"/>
      <c r="F690" s="113"/>
      <c r="G690" s="113"/>
    </row>
    <row r="691" spans="2:7" x14ac:dyDescent="0.35">
      <c r="B691" s="22"/>
      <c r="E691" s="113"/>
      <c r="F691" s="113"/>
      <c r="G691" s="113"/>
    </row>
    <row r="692" spans="2:7" x14ac:dyDescent="0.35">
      <c r="B692" s="22"/>
      <c r="E692" s="113"/>
      <c r="F692" s="113"/>
      <c r="G692" s="113"/>
    </row>
    <row r="693" spans="2:7" x14ac:dyDescent="0.35">
      <c r="B693" s="22"/>
      <c r="E693" s="113"/>
      <c r="F693" s="113"/>
      <c r="G693" s="113"/>
    </row>
    <row r="694" spans="2:7" x14ac:dyDescent="0.35">
      <c r="B694" s="22"/>
      <c r="E694" s="113"/>
      <c r="F694" s="113"/>
      <c r="G694" s="113"/>
    </row>
    <row r="695" spans="2:7" x14ac:dyDescent="0.35">
      <c r="B695" s="22"/>
      <c r="E695" s="113"/>
      <c r="F695" s="113"/>
      <c r="G695" s="113"/>
    </row>
    <row r="696" spans="2:7" x14ac:dyDescent="0.35">
      <c r="B696" s="22"/>
      <c r="E696" s="113"/>
      <c r="F696" s="113"/>
      <c r="G696" s="113"/>
    </row>
    <row r="697" spans="2:7" x14ac:dyDescent="0.35">
      <c r="B697" s="22"/>
      <c r="E697" s="113"/>
      <c r="F697" s="113"/>
      <c r="G697" s="113"/>
    </row>
    <row r="698" spans="2:7" x14ac:dyDescent="0.35">
      <c r="B698" s="22"/>
      <c r="E698" s="113"/>
      <c r="F698" s="113"/>
      <c r="G698" s="113"/>
    </row>
    <row r="699" spans="2:7" x14ac:dyDescent="0.35">
      <c r="B699" s="22"/>
      <c r="E699" s="113"/>
      <c r="F699" s="113"/>
      <c r="G699" s="113"/>
    </row>
    <row r="700" spans="2:7" x14ac:dyDescent="0.35">
      <c r="B700" s="22"/>
      <c r="E700" s="113"/>
      <c r="F700" s="113"/>
      <c r="G700" s="113"/>
    </row>
    <row r="701" spans="2:7" x14ac:dyDescent="0.35">
      <c r="B701" s="22"/>
      <c r="E701" s="113"/>
      <c r="F701" s="113"/>
      <c r="G701" s="113"/>
    </row>
    <row r="702" spans="2:7" x14ac:dyDescent="0.35">
      <c r="B702" s="22"/>
      <c r="E702" s="113"/>
      <c r="F702" s="113"/>
      <c r="G702" s="113"/>
    </row>
    <row r="703" spans="2:7" x14ac:dyDescent="0.35">
      <c r="B703" s="22"/>
      <c r="E703" s="113"/>
      <c r="F703" s="113"/>
      <c r="G703" s="113"/>
    </row>
    <row r="704" spans="2:7" x14ac:dyDescent="0.35">
      <c r="B704" s="22"/>
      <c r="E704" s="113"/>
      <c r="F704" s="113"/>
      <c r="G704" s="113"/>
    </row>
    <row r="705" spans="2:7" x14ac:dyDescent="0.35">
      <c r="B705" s="22"/>
      <c r="E705" s="113"/>
      <c r="F705" s="113"/>
      <c r="G705" s="113"/>
    </row>
    <row r="706" spans="2:7" x14ac:dyDescent="0.35">
      <c r="B706" s="22"/>
      <c r="E706" s="113"/>
      <c r="F706" s="113"/>
      <c r="G706" s="113"/>
    </row>
    <row r="707" spans="2:7" x14ac:dyDescent="0.35">
      <c r="B707" s="22"/>
      <c r="E707" s="113"/>
      <c r="F707" s="113"/>
      <c r="G707" s="113"/>
    </row>
    <row r="708" spans="2:7" x14ac:dyDescent="0.35">
      <c r="B708" s="22"/>
      <c r="E708" s="113"/>
      <c r="F708" s="113"/>
      <c r="G708" s="113"/>
    </row>
    <row r="709" spans="2:7" x14ac:dyDescent="0.35">
      <c r="B709" s="22"/>
      <c r="E709" s="113"/>
      <c r="F709" s="113"/>
      <c r="G709" s="113"/>
    </row>
    <row r="710" spans="2:7" x14ac:dyDescent="0.35">
      <c r="B710" s="22"/>
      <c r="E710" s="113"/>
      <c r="F710" s="113"/>
      <c r="G710" s="113"/>
    </row>
    <row r="711" spans="2:7" x14ac:dyDescent="0.35">
      <c r="B711" s="22"/>
      <c r="E711" s="113"/>
      <c r="F711" s="113"/>
      <c r="G711" s="113"/>
    </row>
    <row r="712" spans="2:7" x14ac:dyDescent="0.35">
      <c r="B712" s="22"/>
      <c r="E712" s="113"/>
      <c r="F712" s="113"/>
      <c r="G712" s="113"/>
    </row>
    <row r="713" spans="2:7" x14ac:dyDescent="0.35">
      <c r="B713" s="22"/>
      <c r="E713" s="113"/>
      <c r="F713" s="113"/>
      <c r="G713" s="113"/>
    </row>
    <row r="714" spans="2:7" x14ac:dyDescent="0.35">
      <c r="B714" s="22"/>
      <c r="E714" s="113"/>
      <c r="F714" s="113"/>
      <c r="G714" s="113"/>
    </row>
    <row r="715" spans="2:7" x14ac:dyDescent="0.35">
      <c r="B715" s="22"/>
      <c r="E715" s="113"/>
      <c r="F715" s="113"/>
      <c r="G715" s="113"/>
    </row>
    <row r="716" spans="2:7" x14ac:dyDescent="0.35">
      <c r="B716" s="22"/>
      <c r="E716" s="113"/>
      <c r="F716" s="113"/>
      <c r="G716" s="113"/>
    </row>
    <row r="717" spans="2:7" x14ac:dyDescent="0.35">
      <c r="B717" s="22"/>
      <c r="E717" s="113"/>
      <c r="F717" s="113"/>
      <c r="G717" s="113"/>
    </row>
    <row r="718" spans="2:7" x14ac:dyDescent="0.35">
      <c r="B718" s="22"/>
      <c r="E718" s="113"/>
      <c r="F718" s="113"/>
      <c r="G718" s="113"/>
    </row>
    <row r="719" spans="2:7" x14ac:dyDescent="0.35">
      <c r="B719" s="22"/>
      <c r="E719" s="113"/>
      <c r="F719" s="113"/>
      <c r="G719" s="113"/>
    </row>
    <row r="720" spans="2:7" x14ac:dyDescent="0.35">
      <c r="B720" s="22"/>
      <c r="E720" s="113"/>
      <c r="F720" s="113"/>
      <c r="G720" s="113"/>
    </row>
    <row r="721" spans="2:7" x14ac:dyDescent="0.35">
      <c r="B721" s="22"/>
      <c r="E721" s="113"/>
      <c r="F721" s="113"/>
      <c r="G721" s="113"/>
    </row>
    <row r="722" spans="2:7" x14ac:dyDescent="0.35">
      <c r="B722" s="22"/>
      <c r="E722" s="113"/>
      <c r="F722" s="113"/>
      <c r="G722" s="113"/>
    </row>
    <row r="723" spans="2:7" x14ac:dyDescent="0.35">
      <c r="B723" s="22"/>
      <c r="E723" s="113"/>
      <c r="F723" s="113"/>
      <c r="G723" s="113"/>
    </row>
    <row r="724" spans="2:7" x14ac:dyDescent="0.35">
      <c r="B724" s="22"/>
      <c r="E724" s="113"/>
      <c r="F724" s="113"/>
      <c r="G724" s="113"/>
    </row>
    <row r="725" spans="2:7" x14ac:dyDescent="0.35">
      <c r="B725" s="22"/>
      <c r="E725" s="113"/>
      <c r="F725" s="113"/>
      <c r="G725" s="113"/>
    </row>
    <row r="726" spans="2:7" x14ac:dyDescent="0.35">
      <c r="B726" s="22"/>
      <c r="E726" s="113"/>
      <c r="F726" s="113"/>
      <c r="G726" s="113"/>
    </row>
    <row r="727" spans="2:7" x14ac:dyDescent="0.35">
      <c r="B727" s="22"/>
      <c r="E727" s="113"/>
      <c r="F727" s="113"/>
      <c r="G727" s="113"/>
    </row>
    <row r="728" spans="2:7" x14ac:dyDescent="0.35">
      <c r="B728" s="22"/>
      <c r="E728" s="113"/>
      <c r="F728" s="113"/>
      <c r="G728" s="113"/>
    </row>
    <row r="729" spans="2:7" x14ac:dyDescent="0.35">
      <c r="B729" s="22"/>
      <c r="E729" s="113"/>
      <c r="F729" s="113"/>
      <c r="G729" s="113"/>
    </row>
    <row r="730" spans="2:7" x14ac:dyDescent="0.35">
      <c r="B730" s="22"/>
      <c r="E730" s="113"/>
      <c r="F730" s="113"/>
      <c r="G730" s="113"/>
    </row>
    <row r="731" spans="2:7" x14ac:dyDescent="0.35">
      <c r="B731" s="22"/>
      <c r="E731" s="113"/>
      <c r="F731" s="113"/>
      <c r="G731" s="113"/>
    </row>
    <row r="732" spans="2:7" x14ac:dyDescent="0.35">
      <c r="B732" s="22"/>
      <c r="E732" s="113"/>
      <c r="F732" s="113"/>
      <c r="G732" s="113"/>
    </row>
    <row r="733" spans="2:7" x14ac:dyDescent="0.35">
      <c r="B733" s="22"/>
      <c r="E733" s="113"/>
      <c r="F733" s="113"/>
      <c r="G733" s="113"/>
    </row>
    <row r="734" spans="2:7" x14ac:dyDescent="0.35">
      <c r="B734" s="22"/>
      <c r="E734" s="113"/>
      <c r="F734" s="113"/>
      <c r="G734" s="113"/>
    </row>
    <row r="735" spans="2:7" x14ac:dyDescent="0.35">
      <c r="B735" s="22"/>
      <c r="E735" s="113"/>
      <c r="F735" s="113"/>
      <c r="G735" s="113"/>
    </row>
    <row r="736" spans="2:7" x14ac:dyDescent="0.35">
      <c r="B736" s="22"/>
      <c r="E736" s="113"/>
      <c r="F736" s="113"/>
      <c r="G736" s="113"/>
    </row>
    <row r="737" spans="2:7" x14ac:dyDescent="0.35">
      <c r="B737" s="22"/>
      <c r="E737" s="113"/>
      <c r="F737" s="113"/>
      <c r="G737" s="113"/>
    </row>
    <row r="738" spans="2:7" x14ac:dyDescent="0.35">
      <c r="B738" s="22"/>
      <c r="E738" s="113"/>
      <c r="F738" s="113"/>
      <c r="G738" s="113"/>
    </row>
    <row r="739" spans="2:7" x14ac:dyDescent="0.35">
      <c r="B739" s="22"/>
      <c r="E739" s="113"/>
      <c r="F739" s="113"/>
      <c r="G739" s="113"/>
    </row>
    <row r="740" spans="2:7" x14ac:dyDescent="0.35">
      <c r="B740" s="22"/>
      <c r="E740" s="113"/>
      <c r="F740" s="113"/>
      <c r="G740" s="113"/>
    </row>
    <row r="741" spans="2:7" x14ac:dyDescent="0.35">
      <c r="B741" s="22"/>
      <c r="E741" s="113"/>
      <c r="F741" s="113"/>
      <c r="G741" s="113"/>
    </row>
    <row r="742" spans="2:7" x14ac:dyDescent="0.35">
      <c r="B742" s="22"/>
      <c r="E742" s="113"/>
      <c r="F742" s="113"/>
      <c r="G742" s="113"/>
    </row>
    <row r="743" spans="2:7" x14ac:dyDescent="0.35">
      <c r="B743" s="22"/>
      <c r="E743" s="113"/>
      <c r="F743" s="113"/>
      <c r="G743" s="113"/>
    </row>
    <row r="744" spans="2:7" x14ac:dyDescent="0.35">
      <c r="B744" s="22"/>
      <c r="E744" s="113"/>
      <c r="F744" s="113"/>
      <c r="G744" s="113"/>
    </row>
    <row r="745" spans="2:7" x14ac:dyDescent="0.35">
      <c r="B745" s="22"/>
      <c r="E745" s="113"/>
      <c r="F745" s="113"/>
      <c r="G745" s="113"/>
    </row>
    <row r="746" spans="2:7" x14ac:dyDescent="0.35">
      <c r="B746" s="22"/>
      <c r="E746" s="113"/>
      <c r="F746" s="113"/>
      <c r="G746" s="113"/>
    </row>
    <row r="747" spans="2:7" x14ac:dyDescent="0.35">
      <c r="B747" s="22"/>
      <c r="E747" s="113"/>
      <c r="F747" s="113"/>
      <c r="G747" s="113"/>
    </row>
    <row r="748" spans="2:7" x14ac:dyDescent="0.35">
      <c r="B748" s="22"/>
      <c r="E748" s="113"/>
      <c r="F748" s="113"/>
      <c r="G748" s="113"/>
    </row>
    <row r="749" spans="2:7" x14ac:dyDescent="0.35">
      <c r="B749" s="22"/>
      <c r="E749" s="113"/>
      <c r="F749" s="113"/>
      <c r="G749" s="113"/>
    </row>
    <row r="750" spans="2:7" x14ac:dyDescent="0.35">
      <c r="B750" s="22"/>
      <c r="E750" s="113"/>
      <c r="F750" s="113"/>
      <c r="G750" s="113"/>
    </row>
    <row r="751" spans="2:7" x14ac:dyDescent="0.35">
      <c r="B751" s="22"/>
      <c r="E751" s="113"/>
      <c r="F751" s="113"/>
      <c r="G751" s="113"/>
    </row>
    <row r="752" spans="2:7" x14ac:dyDescent="0.35">
      <c r="B752" s="22"/>
      <c r="E752" s="113"/>
      <c r="F752" s="113"/>
      <c r="G752" s="113"/>
    </row>
    <row r="753" spans="2:7" x14ac:dyDescent="0.35">
      <c r="B753" s="22"/>
      <c r="E753" s="113"/>
      <c r="F753" s="113"/>
      <c r="G753" s="113"/>
    </row>
    <row r="754" spans="2:7" x14ac:dyDescent="0.35">
      <c r="B754" s="22"/>
      <c r="E754" s="113"/>
      <c r="F754" s="113"/>
      <c r="G754" s="113"/>
    </row>
    <row r="755" spans="2:7" x14ac:dyDescent="0.35">
      <c r="B755" s="22"/>
      <c r="E755" s="113"/>
      <c r="F755" s="113"/>
      <c r="G755" s="113"/>
    </row>
    <row r="756" spans="2:7" x14ac:dyDescent="0.35">
      <c r="B756" s="22"/>
      <c r="E756" s="113"/>
      <c r="F756" s="113"/>
      <c r="G756" s="113"/>
    </row>
    <row r="757" spans="2:7" x14ac:dyDescent="0.35">
      <c r="B757" s="22"/>
      <c r="E757" s="113"/>
      <c r="F757" s="113"/>
      <c r="G757" s="113"/>
    </row>
    <row r="758" spans="2:7" x14ac:dyDescent="0.35">
      <c r="B758" s="22"/>
      <c r="E758" s="113"/>
      <c r="F758" s="113"/>
      <c r="G758" s="113"/>
    </row>
    <row r="759" spans="2:7" x14ac:dyDescent="0.35">
      <c r="B759" s="22"/>
      <c r="E759" s="113"/>
      <c r="F759" s="113"/>
      <c r="G759" s="113"/>
    </row>
    <row r="760" spans="2:7" x14ac:dyDescent="0.35">
      <c r="B760" s="22"/>
      <c r="E760" s="113"/>
      <c r="F760" s="113"/>
      <c r="G760" s="113"/>
    </row>
    <row r="761" spans="2:7" x14ac:dyDescent="0.35">
      <c r="B761" s="22"/>
      <c r="E761" s="113"/>
      <c r="F761" s="113"/>
      <c r="G761" s="113"/>
    </row>
    <row r="762" spans="2:7" x14ac:dyDescent="0.35">
      <c r="B762" s="22"/>
      <c r="E762" s="113"/>
      <c r="F762" s="113"/>
      <c r="G762" s="113"/>
    </row>
    <row r="763" spans="2:7" x14ac:dyDescent="0.35">
      <c r="B763" s="22"/>
      <c r="E763" s="113"/>
      <c r="F763" s="113"/>
      <c r="G763" s="113"/>
    </row>
    <row r="764" spans="2:7" x14ac:dyDescent="0.35">
      <c r="B764" s="22"/>
      <c r="E764" s="113"/>
      <c r="F764" s="113"/>
      <c r="G764" s="113"/>
    </row>
    <row r="765" spans="2:7" x14ac:dyDescent="0.35">
      <c r="B765" s="22"/>
      <c r="E765" s="113"/>
      <c r="F765" s="113"/>
      <c r="G765" s="113"/>
    </row>
    <row r="766" spans="2:7" x14ac:dyDescent="0.35">
      <c r="B766" s="22"/>
      <c r="E766" s="113"/>
      <c r="F766" s="113"/>
      <c r="G766" s="113"/>
    </row>
    <row r="767" spans="2:7" x14ac:dyDescent="0.35">
      <c r="B767" s="22"/>
      <c r="E767" s="113"/>
      <c r="F767" s="113"/>
      <c r="G767" s="113"/>
    </row>
    <row r="768" spans="2:7" x14ac:dyDescent="0.35">
      <c r="B768" s="22"/>
      <c r="E768" s="113"/>
      <c r="F768" s="113"/>
      <c r="G768" s="113"/>
    </row>
    <row r="769" spans="2:7" x14ac:dyDescent="0.35">
      <c r="B769" s="22"/>
      <c r="E769" s="113"/>
      <c r="F769" s="113"/>
      <c r="G769" s="113"/>
    </row>
    <row r="770" spans="2:7" x14ac:dyDescent="0.35">
      <c r="B770" s="22"/>
      <c r="E770" s="113"/>
      <c r="F770" s="113"/>
      <c r="G770" s="113"/>
    </row>
    <row r="771" spans="2:7" x14ac:dyDescent="0.35">
      <c r="B771" s="22"/>
      <c r="E771" s="113"/>
      <c r="F771" s="113"/>
      <c r="G771" s="113"/>
    </row>
    <row r="772" spans="2:7" x14ac:dyDescent="0.35">
      <c r="B772" s="22"/>
      <c r="E772" s="113"/>
      <c r="F772" s="113"/>
      <c r="G772" s="113"/>
    </row>
    <row r="773" spans="2:7" x14ac:dyDescent="0.35">
      <c r="B773" s="22"/>
      <c r="E773" s="113"/>
      <c r="F773" s="113"/>
      <c r="G773" s="113"/>
    </row>
    <row r="774" spans="2:7" x14ac:dyDescent="0.35">
      <c r="B774" s="22"/>
      <c r="E774" s="113"/>
      <c r="F774" s="113"/>
      <c r="G774" s="113"/>
    </row>
    <row r="775" spans="2:7" x14ac:dyDescent="0.35">
      <c r="B775" s="22"/>
      <c r="E775" s="113"/>
      <c r="F775" s="113"/>
      <c r="G775" s="113"/>
    </row>
    <row r="776" spans="2:7" x14ac:dyDescent="0.35">
      <c r="B776" s="22"/>
      <c r="E776" s="113"/>
      <c r="F776" s="113"/>
      <c r="G776" s="113"/>
    </row>
    <row r="777" spans="2:7" x14ac:dyDescent="0.35">
      <c r="B777" s="22"/>
      <c r="E777" s="113"/>
      <c r="F777" s="113"/>
      <c r="G777" s="113"/>
    </row>
    <row r="778" spans="2:7" x14ac:dyDescent="0.35">
      <c r="B778" s="22"/>
      <c r="E778" s="113"/>
      <c r="F778" s="113"/>
      <c r="G778" s="113"/>
    </row>
    <row r="779" spans="2:7" x14ac:dyDescent="0.35">
      <c r="B779" s="22"/>
      <c r="E779" s="113"/>
      <c r="F779" s="113"/>
      <c r="G779" s="113"/>
    </row>
    <row r="780" spans="2:7" x14ac:dyDescent="0.35">
      <c r="B780" s="22"/>
      <c r="E780" s="113"/>
      <c r="F780" s="113"/>
      <c r="G780" s="113"/>
    </row>
    <row r="781" spans="2:7" x14ac:dyDescent="0.35">
      <c r="B781" s="22"/>
      <c r="E781" s="113"/>
      <c r="F781" s="113"/>
      <c r="G781" s="113"/>
    </row>
    <row r="782" spans="2:7" x14ac:dyDescent="0.35">
      <c r="B782" s="22"/>
      <c r="E782" s="113"/>
      <c r="F782" s="113"/>
      <c r="G782" s="113"/>
    </row>
    <row r="783" spans="2:7" x14ac:dyDescent="0.35">
      <c r="B783" s="22"/>
      <c r="E783" s="113"/>
      <c r="F783" s="113"/>
      <c r="G783" s="113"/>
    </row>
    <row r="784" spans="2:7" x14ac:dyDescent="0.35">
      <c r="B784" s="22"/>
      <c r="E784" s="113"/>
      <c r="F784" s="113"/>
      <c r="G784" s="113"/>
    </row>
    <row r="785" spans="2:7" x14ac:dyDescent="0.35">
      <c r="B785" s="22"/>
      <c r="E785" s="113"/>
      <c r="F785" s="113"/>
      <c r="G785" s="113"/>
    </row>
    <row r="786" spans="2:7" x14ac:dyDescent="0.35">
      <c r="B786" s="22"/>
      <c r="E786" s="113"/>
      <c r="F786" s="113"/>
      <c r="G786" s="113"/>
    </row>
    <row r="787" spans="2:7" x14ac:dyDescent="0.35">
      <c r="B787" s="22"/>
      <c r="E787" s="113"/>
      <c r="F787" s="113"/>
      <c r="G787" s="113"/>
    </row>
    <row r="788" spans="2:7" x14ac:dyDescent="0.35">
      <c r="B788" s="22"/>
      <c r="E788" s="113"/>
      <c r="F788" s="113"/>
      <c r="G788" s="113"/>
    </row>
    <row r="789" spans="2:7" x14ac:dyDescent="0.35">
      <c r="B789" s="22"/>
      <c r="E789" s="113"/>
      <c r="F789" s="113"/>
      <c r="G789" s="113"/>
    </row>
    <row r="790" spans="2:7" x14ac:dyDescent="0.35">
      <c r="B790" s="22"/>
      <c r="E790" s="113"/>
      <c r="F790" s="113"/>
      <c r="G790" s="113"/>
    </row>
    <row r="791" spans="2:7" x14ac:dyDescent="0.35">
      <c r="B791" s="22"/>
      <c r="E791" s="113"/>
      <c r="F791" s="113"/>
      <c r="G791" s="113"/>
    </row>
    <row r="792" spans="2:7" x14ac:dyDescent="0.35">
      <c r="B792" s="22"/>
      <c r="E792" s="113"/>
      <c r="F792" s="113"/>
      <c r="G792" s="113"/>
    </row>
    <row r="793" spans="2:7" x14ac:dyDescent="0.35">
      <c r="B793" s="22"/>
      <c r="E793" s="113"/>
      <c r="F793" s="113"/>
      <c r="G793" s="113"/>
    </row>
    <row r="794" spans="2:7" x14ac:dyDescent="0.35">
      <c r="B794" s="22"/>
      <c r="E794" s="113"/>
      <c r="F794" s="113"/>
      <c r="G794" s="113"/>
    </row>
    <row r="795" spans="2:7" x14ac:dyDescent="0.35">
      <c r="B795" s="22"/>
      <c r="E795" s="113"/>
      <c r="F795" s="113"/>
      <c r="G795" s="113"/>
    </row>
    <row r="796" spans="2:7" x14ac:dyDescent="0.35">
      <c r="B796" s="22"/>
      <c r="E796" s="113"/>
      <c r="F796" s="113"/>
      <c r="G796" s="113"/>
    </row>
    <row r="797" spans="2:7" x14ac:dyDescent="0.35">
      <c r="B797" s="22"/>
      <c r="E797" s="113"/>
      <c r="F797" s="113"/>
      <c r="G797" s="113"/>
    </row>
    <row r="798" spans="2:7" x14ac:dyDescent="0.35">
      <c r="B798" s="22"/>
      <c r="E798" s="113"/>
      <c r="F798" s="113"/>
      <c r="G798" s="113"/>
    </row>
    <row r="799" spans="2:7" x14ac:dyDescent="0.35">
      <c r="B799" s="22"/>
      <c r="E799" s="113"/>
      <c r="F799" s="113"/>
      <c r="G799" s="113"/>
    </row>
    <row r="800" spans="2:7" x14ac:dyDescent="0.35">
      <c r="B800" s="22"/>
      <c r="E800" s="113"/>
      <c r="F800" s="113"/>
      <c r="G800" s="113"/>
    </row>
    <row r="801" spans="2:7" x14ac:dyDescent="0.35">
      <c r="B801" s="22"/>
      <c r="E801" s="113"/>
      <c r="F801" s="113"/>
      <c r="G801" s="113"/>
    </row>
    <row r="802" spans="2:7" x14ac:dyDescent="0.35">
      <c r="B802" s="22"/>
      <c r="E802" s="113"/>
      <c r="F802" s="113"/>
      <c r="G802" s="113"/>
    </row>
    <row r="803" spans="2:7" x14ac:dyDescent="0.35">
      <c r="B803" s="22"/>
      <c r="E803" s="113"/>
      <c r="F803" s="113"/>
      <c r="G803" s="113"/>
    </row>
    <row r="804" spans="2:7" x14ac:dyDescent="0.35">
      <c r="B804" s="22"/>
      <c r="E804" s="113"/>
      <c r="F804" s="113"/>
      <c r="G804" s="113"/>
    </row>
    <row r="805" spans="2:7" x14ac:dyDescent="0.35">
      <c r="B805" s="22"/>
      <c r="E805" s="113"/>
      <c r="F805" s="113"/>
      <c r="G805" s="113"/>
    </row>
    <row r="806" spans="2:7" x14ac:dyDescent="0.35">
      <c r="B806" s="22"/>
      <c r="E806" s="113"/>
      <c r="F806" s="113"/>
      <c r="G806" s="113"/>
    </row>
    <row r="807" spans="2:7" x14ac:dyDescent="0.35">
      <c r="B807" s="22"/>
      <c r="E807" s="113"/>
      <c r="F807" s="113"/>
      <c r="G807" s="113"/>
    </row>
    <row r="808" spans="2:7" x14ac:dyDescent="0.35">
      <c r="B808" s="22"/>
      <c r="E808" s="113"/>
      <c r="F808" s="113"/>
      <c r="G808" s="113"/>
    </row>
    <row r="809" spans="2:7" x14ac:dyDescent="0.35">
      <c r="B809" s="22"/>
      <c r="E809" s="113"/>
      <c r="F809" s="113"/>
      <c r="G809" s="113"/>
    </row>
    <row r="810" spans="2:7" x14ac:dyDescent="0.35">
      <c r="B810" s="22"/>
      <c r="E810" s="113"/>
      <c r="F810" s="113"/>
      <c r="G810" s="113"/>
    </row>
    <row r="811" spans="2:7" x14ac:dyDescent="0.35">
      <c r="B811" s="22"/>
      <c r="E811" s="113"/>
      <c r="F811" s="113"/>
      <c r="G811" s="113"/>
    </row>
    <row r="812" spans="2:7" x14ac:dyDescent="0.35">
      <c r="B812" s="22"/>
      <c r="E812" s="113"/>
      <c r="F812" s="113"/>
      <c r="G812" s="113"/>
    </row>
    <row r="813" spans="2:7" x14ac:dyDescent="0.35">
      <c r="B813" s="22"/>
      <c r="E813" s="113"/>
      <c r="F813" s="113"/>
      <c r="G813" s="113"/>
    </row>
    <row r="814" spans="2:7" x14ac:dyDescent="0.35">
      <c r="B814" s="22"/>
      <c r="E814" s="113"/>
      <c r="F814" s="113"/>
      <c r="G814" s="113"/>
    </row>
    <row r="815" spans="2:7" x14ac:dyDescent="0.35">
      <c r="B815" s="22"/>
      <c r="E815" s="113"/>
      <c r="F815" s="113"/>
      <c r="G815" s="113"/>
    </row>
    <row r="816" spans="2:7" x14ac:dyDescent="0.35">
      <c r="B816" s="22"/>
      <c r="E816" s="113"/>
      <c r="F816" s="113"/>
      <c r="G816" s="113"/>
    </row>
    <row r="817" spans="2:7" x14ac:dyDescent="0.35">
      <c r="B817" s="22"/>
      <c r="E817" s="113"/>
      <c r="F817" s="113"/>
      <c r="G817" s="113"/>
    </row>
    <row r="818" spans="2:7" x14ac:dyDescent="0.35">
      <c r="B818" s="22"/>
      <c r="E818" s="113"/>
      <c r="F818" s="113"/>
      <c r="G818" s="113"/>
    </row>
    <row r="819" spans="2:7" x14ac:dyDescent="0.35">
      <c r="B819" s="22"/>
      <c r="E819" s="113"/>
      <c r="F819" s="113"/>
      <c r="G819" s="113"/>
    </row>
    <row r="820" spans="2:7" x14ac:dyDescent="0.35">
      <c r="B820" s="22"/>
      <c r="E820" s="113"/>
      <c r="F820" s="113"/>
      <c r="G820" s="113"/>
    </row>
    <row r="821" spans="2:7" x14ac:dyDescent="0.35">
      <c r="B821" s="22"/>
      <c r="E821" s="113"/>
      <c r="F821" s="113"/>
      <c r="G821" s="113"/>
    </row>
    <row r="822" spans="2:7" x14ac:dyDescent="0.35">
      <c r="B822" s="22"/>
      <c r="E822" s="113"/>
      <c r="F822" s="113"/>
      <c r="G822" s="113"/>
    </row>
    <row r="823" spans="2:7" x14ac:dyDescent="0.35">
      <c r="B823" s="22"/>
      <c r="E823" s="113"/>
      <c r="F823" s="113"/>
      <c r="G823" s="113"/>
    </row>
    <row r="824" spans="2:7" x14ac:dyDescent="0.35">
      <c r="B824" s="22"/>
      <c r="E824" s="113"/>
      <c r="F824" s="113"/>
      <c r="G824" s="113"/>
    </row>
    <row r="825" spans="2:7" x14ac:dyDescent="0.35">
      <c r="B825" s="22"/>
      <c r="E825" s="113"/>
      <c r="F825" s="113"/>
      <c r="G825" s="113"/>
    </row>
    <row r="826" spans="2:7" x14ac:dyDescent="0.35">
      <c r="B826" s="22"/>
      <c r="E826" s="113"/>
      <c r="F826" s="113"/>
      <c r="G826" s="113"/>
    </row>
    <row r="827" spans="2:7" x14ac:dyDescent="0.35">
      <c r="B827" s="22"/>
      <c r="E827" s="113"/>
      <c r="F827" s="113"/>
      <c r="G827" s="113"/>
    </row>
    <row r="828" spans="2:7" x14ac:dyDescent="0.35">
      <c r="B828" s="22"/>
      <c r="E828" s="113"/>
      <c r="F828" s="113"/>
      <c r="G828" s="113"/>
    </row>
    <row r="829" spans="2:7" x14ac:dyDescent="0.35">
      <c r="B829" s="22"/>
      <c r="E829" s="113"/>
      <c r="F829" s="113"/>
      <c r="G829" s="113"/>
    </row>
    <row r="830" spans="2:7" x14ac:dyDescent="0.35">
      <c r="B830" s="22"/>
      <c r="E830" s="113"/>
      <c r="F830" s="113"/>
      <c r="G830" s="113"/>
    </row>
    <row r="831" spans="2:7" x14ac:dyDescent="0.35">
      <c r="B831" s="22"/>
      <c r="E831" s="113"/>
      <c r="F831" s="113"/>
      <c r="G831" s="113"/>
    </row>
    <row r="832" spans="2:7" x14ac:dyDescent="0.35">
      <c r="B832" s="22"/>
      <c r="E832" s="113"/>
      <c r="F832" s="113"/>
      <c r="G832" s="113"/>
    </row>
    <row r="833" spans="2:7" x14ac:dyDescent="0.35">
      <c r="B833" s="22"/>
      <c r="E833" s="113"/>
      <c r="F833" s="113"/>
      <c r="G833" s="113"/>
    </row>
    <row r="834" spans="2:7" x14ac:dyDescent="0.35">
      <c r="B834" s="22"/>
      <c r="E834" s="113"/>
      <c r="F834" s="113"/>
      <c r="G834" s="113"/>
    </row>
    <row r="835" spans="2:7" x14ac:dyDescent="0.35">
      <c r="B835" s="22"/>
      <c r="E835" s="113"/>
      <c r="F835" s="113"/>
      <c r="G835" s="113"/>
    </row>
    <row r="836" spans="2:7" x14ac:dyDescent="0.35">
      <c r="B836" s="22"/>
      <c r="E836" s="113"/>
      <c r="F836" s="113"/>
      <c r="G836" s="113"/>
    </row>
    <row r="837" spans="2:7" x14ac:dyDescent="0.35">
      <c r="B837" s="22"/>
      <c r="E837" s="113"/>
      <c r="F837" s="113"/>
      <c r="G837" s="113"/>
    </row>
    <row r="838" spans="2:7" x14ac:dyDescent="0.35">
      <c r="B838" s="22"/>
      <c r="E838" s="113"/>
      <c r="F838" s="113"/>
      <c r="G838" s="113"/>
    </row>
    <row r="839" spans="2:7" x14ac:dyDescent="0.35">
      <c r="B839" s="22"/>
      <c r="E839" s="113"/>
      <c r="F839" s="113"/>
      <c r="G839" s="113"/>
    </row>
    <row r="840" spans="2:7" x14ac:dyDescent="0.35">
      <c r="B840" s="22"/>
      <c r="E840" s="113"/>
      <c r="F840" s="113"/>
      <c r="G840" s="113"/>
    </row>
    <row r="841" spans="2:7" x14ac:dyDescent="0.35">
      <c r="B841" s="22"/>
      <c r="E841" s="113"/>
      <c r="F841" s="113"/>
      <c r="G841" s="113"/>
    </row>
    <row r="842" spans="2:7" x14ac:dyDescent="0.35">
      <c r="B842" s="22"/>
      <c r="E842" s="113"/>
      <c r="F842" s="113"/>
      <c r="G842" s="113"/>
    </row>
    <row r="843" spans="2:7" x14ac:dyDescent="0.35">
      <c r="B843" s="22"/>
      <c r="E843" s="113"/>
      <c r="F843" s="113"/>
      <c r="G843" s="113"/>
    </row>
    <row r="844" spans="2:7" x14ac:dyDescent="0.35">
      <c r="B844" s="22"/>
      <c r="E844" s="113"/>
      <c r="F844" s="113"/>
      <c r="G844" s="113"/>
    </row>
    <row r="845" spans="2:7" x14ac:dyDescent="0.35">
      <c r="B845" s="22"/>
      <c r="E845" s="113"/>
      <c r="F845" s="113"/>
      <c r="G845" s="113"/>
    </row>
    <row r="846" spans="2:7" x14ac:dyDescent="0.35">
      <c r="B846" s="22"/>
      <c r="E846" s="113"/>
      <c r="F846" s="113"/>
      <c r="G846" s="113"/>
    </row>
    <row r="847" spans="2:7" x14ac:dyDescent="0.35">
      <c r="B847" s="22"/>
      <c r="E847" s="113"/>
      <c r="F847" s="113"/>
      <c r="G847" s="113"/>
    </row>
    <row r="848" spans="2:7" x14ac:dyDescent="0.35">
      <c r="B848" s="22"/>
      <c r="E848" s="113"/>
      <c r="F848" s="113"/>
      <c r="G848" s="113"/>
    </row>
    <row r="849" spans="2:7" x14ac:dyDescent="0.35">
      <c r="B849" s="22"/>
      <c r="E849" s="113"/>
      <c r="F849" s="113"/>
      <c r="G849" s="113"/>
    </row>
    <row r="850" spans="2:7" x14ac:dyDescent="0.35">
      <c r="B850" s="22"/>
      <c r="E850" s="113"/>
      <c r="F850" s="113"/>
      <c r="G850" s="113"/>
    </row>
    <row r="851" spans="2:7" x14ac:dyDescent="0.35">
      <c r="B851" s="22"/>
      <c r="E851" s="113"/>
      <c r="F851" s="113"/>
      <c r="G851" s="113"/>
    </row>
    <row r="852" spans="2:7" x14ac:dyDescent="0.35">
      <c r="B852" s="22"/>
      <c r="E852" s="113"/>
      <c r="F852" s="113"/>
      <c r="G852" s="113"/>
    </row>
    <row r="853" spans="2:7" x14ac:dyDescent="0.35">
      <c r="B853" s="22"/>
      <c r="E853" s="113"/>
      <c r="F853" s="113"/>
      <c r="G853" s="113"/>
    </row>
    <row r="854" spans="2:7" x14ac:dyDescent="0.35">
      <c r="B854" s="22"/>
      <c r="E854" s="113"/>
      <c r="F854" s="113"/>
      <c r="G854" s="113"/>
    </row>
    <row r="855" spans="2:7" x14ac:dyDescent="0.35">
      <c r="B855" s="22"/>
      <c r="E855" s="113"/>
      <c r="F855" s="113"/>
      <c r="G855" s="113"/>
    </row>
    <row r="856" spans="2:7" x14ac:dyDescent="0.35">
      <c r="B856" s="22"/>
      <c r="E856" s="113"/>
      <c r="F856" s="113"/>
      <c r="G856" s="113"/>
    </row>
    <row r="857" spans="2:7" x14ac:dyDescent="0.35">
      <c r="B857" s="22"/>
      <c r="E857" s="113"/>
      <c r="F857" s="113"/>
      <c r="G857" s="113"/>
    </row>
    <row r="858" spans="2:7" x14ac:dyDescent="0.35">
      <c r="B858" s="22"/>
      <c r="E858" s="113"/>
      <c r="F858" s="113"/>
      <c r="G858" s="113"/>
    </row>
    <row r="859" spans="2:7" x14ac:dyDescent="0.35">
      <c r="B859" s="22"/>
      <c r="E859" s="113"/>
      <c r="F859" s="113"/>
      <c r="G859" s="113"/>
    </row>
    <row r="860" spans="2:7" x14ac:dyDescent="0.35">
      <c r="B860" s="22"/>
      <c r="E860" s="113"/>
      <c r="F860" s="113"/>
      <c r="G860" s="113"/>
    </row>
    <row r="861" spans="2:7" x14ac:dyDescent="0.35">
      <c r="B861" s="22"/>
      <c r="E861" s="113"/>
      <c r="F861" s="113"/>
      <c r="G861" s="113"/>
    </row>
    <row r="862" spans="2:7" x14ac:dyDescent="0.35">
      <c r="B862" s="22"/>
      <c r="E862" s="113"/>
      <c r="F862" s="113"/>
      <c r="G862" s="113"/>
    </row>
    <row r="863" spans="2:7" x14ac:dyDescent="0.35">
      <c r="B863" s="22"/>
      <c r="E863" s="113"/>
      <c r="F863" s="113"/>
      <c r="G863" s="113"/>
    </row>
    <row r="864" spans="2:7" x14ac:dyDescent="0.35">
      <c r="B864" s="22"/>
      <c r="E864" s="113"/>
      <c r="F864" s="113"/>
      <c r="G864" s="113"/>
    </row>
    <row r="865" spans="2:7" x14ac:dyDescent="0.35">
      <c r="B865" s="22"/>
      <c r="E865" s="113"/>
      <c r="F865" s="113"/>
      <c r="G865" s="113"/>
    </row>
    <row r="866" spans="2:7" x14ac:dyDescent="0.35">
      <c r="B866" s="22"/>
      <c r="E866" s="113"/>
      <c r="F866" s="113"/>
      <c r="G866" s="113"/>
    </row>
    <row r="867" spans="2:7" x14ac:dyDescent="0.35">
      <c r="B867" s="22"/>
      <c r="E867" s="113"/>
      <c r="F867" s="113"/>
      <c r="G867" s="113"/>
    </row>
    <row r="868" spans="2:7" x14ac:dyDescent="0.35">
      <c r="B868" s="22"/>
      <c r="E868" s="113"/>
      <c r="F868" s="113"/>
      <c r="G868" s="113"/>
    </row>
    <row r="869" spans="2:7" x14ac:dyDescent="0.35">
      <c r="B869" s="22"/>
      <c r="E869" s="113"/>
      <c r="F869" s="113"/>
      <c r="G869" s="113"/>
    </row>
    <row r="870" spans="2:7" x14ac:dyDescent="0.35">
      <c r="B870" s="22"/>
      <c r="E870" s="113"/>
      <c r="F870" s="113"/>
      <c r="G870" s="113"/>
    </row>
    <row r="871" spans="2:7" x14ac:dyDescent="0.35">
      <c r="B871" s="22"/>
      <c r="E871" s="113"/>
      <c r="F871" s="113"/>
      <c r="G871" s="113"/>
    </row>
    <row r="872" spans="2:7" x14ac:dyDescent="0.35">
      <c r="B872" s="22"/>
      <c r="E872" s="113"/>
      <c r="F872" s="113"/>
      <c r="G872" s="113"/>
    </row>
    <row r="873" spans="2:7" x14ac:dyDescent="0.35">
      <c r="B873" s="22"/>
      <c r="E873" s="113"/>
      <c r="F873" s="113"/>
      <c r="G873" s="113"/>
    </row>
    <row r="874" spans="2:7" x14ac:dyDescent="0.35">
      <c r="B874" s="22"/>
      <c r="E874" s="113"/>
      <c r="F874" s="113"/>
      <c r="G874" s="113"/>
    </row>
    <row r="875" spans="2:7" x14ac:dyDescent="0.35">
      <c r="B875" s="22"/>
      <c r="E875" s="113"/>
      <c r="F875" s="113"/>
      <c r="G875" s="113"/>
    </row>
    <row r="876" spans="2:7" x14ac:dyDescent="0.35">
      <c r="B876" s="22"/>
      <c r="E876" s="113"/>
      <c r="F876" s="113"/>
      <c r="G876" s="113"/>
    </row>
    <row r="877" spans="2:7" x14ac:dyDescent="0.35">
      <c r="B877" s="22"/>
      <c r="E877" s="113"/>
      <c r="F877" s="113"/>
      <c r="G877" s="113"/>
    </row>
    <row r="878" spans="2:7" x14ac:dyDescent="0.35">
      <c r="B878" s="22"/>
      <c r="E878" s="113"/>
      <c r="F878" s="113"/>
      <c r="G878" s="113"/>
    </row>
    <row r="879" spans="2:7" x14ac:dyDescent="0.35">
      <c r="B879" s="22"/>
      <c r="E879" s="113"/>
      <c r="F879" s="113"/>
      <c r="G879" s="113"/>
    </row>
    <row r="880" spans="2:7" x14ac:dyDescent="0.35">
      <c r="B880" s="22"/>
      <c r="E880" s="113"/>
      <c r="F880" s="113"/>
      <c r="G880" s="113"/>
    </row>
    <row r="881" spans="2:7" x14ac:dyDescent="0.35">
      <c r="B881" s="22"/>
      <c r="E881" s="113"/>
      <c r="F881" s="113"/>
      <c r="G881" s="113"/>
    </row>
    <row r="882" spans="2:7" x14ac:dyDescent="0.35">
      <c r="B882" s="22"/>
      <c r="E882" s="113"/>
      <c r="F882" s="113"/>
      <c r="G882" s="113"/>
    </row>
    <row r="883" spans="2:7" x14ac:dyDescent="0.35">
      <c r="B883" s="22"/>
      <c r="E883" s="113"/>
      <c r="F883" s="113"/>
      <c r="G883" s="113"/>
    </row>
    <row r="884" spans="2:7" x14ac:dyDescent="0.35">
      <c r="B884" s="22"/>
      <c r="E884" s="113"/>
      <c r="F884" s="113"/>
      <c r="G884" s="113"/>
    </row>
    <row r="885" spans="2:7" x14ac:dyDescent="0.35">
      <c r="B885" s="22"/>
      <c r="E885" s="113"/>
      <c r="F885" s="113"/>
      <c r="G885" s="113"/>
    </row>
    <row r="886" spans="2:7" x14ac:dyDescent="0.35">
      <c r="B886" s="22"/>
      <c r="E886" s="113"/>
      <c r="F886" s="113"/>
      <c r="G886" s="113"/>
    </row>
    <row r="887" spans="2:7" x14ac:dyDescent="0.35">
      <c r="B887" s="22"/>
      <c r="E887" s="113"/>
      <c r="F887" s="113"/>
      <c r="G887" s="113"/>
    </row>
    <row r="888" spans="2:7" x14ac:dyDescent="0.35">
      <c r="B888" s="22"/>
      <c r="E888" s="113"/>
      <c r="F888" s="113"/>
      <c r="G888" s="113"/>
    </row>
    <row r="889" spans="2:7" x14ac:dyDescent="0.35">
      <c r="B889" s="22"/>
      <c r="E889" s="113"/>
      <c r="F889" s="113"/>
      <c r="G889" s="113"/>
    </row>
    <row r="890" spans="2:7" x14ac:dyDescent="0.35">
      <c r="B890" s="22"/>
      <c r="E890" s="113"/>
      <c r="F890" s="113"/>
      <c r="G890" s="113"/>
    </row>
    <row r="891" spans="2:7" x14ac:dyDescent="0.35">
      <c r="B891" s="22"/>
      <c r="E891" s="113"/>
      <c r="F891" s="113"/>
      <c r="G891" s="113"/>
    </row>
    <row r="892" spans="2:7" x14ac:dyDescent="0.35">
      <c r="B892" s="22"/>
      <c r="E892" s="113"/>
      <c r="F892" s="113"/>
      <c r="G892" s="113"/>
    </row>
    <row r="893" spans="2:7" x14ac:dyDescent="0.35">
      <c r="B893" s="22"/>
      <c r="E893" s="113"/>
      <c r="F893" s="113"/>
      <c r="G893" s="113"/>
    </row>
    <row r="894" spans="2:7" x14ac:dyDescent="0.35">
      <c r="B894" s="22"/>
      <c r="E894" s="113"/>
      <c r="F894" s="113"/>
      <c r="G894" s="113"/>
    </row>
    <row r="895" spans="2:7" x14ac:dyDescent="0.35">
      <c r="B895" s="22"/>
      <c r="E895" s="113"/>
      <c r="F895" s="113"/>
      <c r="G895" s="113"/>
    </row>
    <row r="896" spans="2:7" x14ac:dyDescent="0.35">
      <c r="B896" s="22"/>
      <c r="E896" s="113"/>
      <c r="F896" s="113"/>
      <c r="G896" s="113"/>
    </row>
    <row r="897" spans="2:7" x14ac:dyDescent="0.35">
      <c r="B897" s="22"/>
      <c r="E897" s="113"/>
      <c r="F897" s="113"/>
      <c r="G897" s="113"/>
    </row>
    <row r="898" spans="2:7" x14ac:dyDescent="0.35">
      <c r="B898" s="22"/>
      <c r="E898" s="113"/>
      <c r="F898" s="113"/>
      <c r="G898" s="113"/>
    </row>
    <row r="899" spans="2:7" x14ac:dyDescent="0.35">
      <c r="B899" s="22"/>
      <c r="E899" s="113"/>
      <c r="F899" s="113"/>
      <c r="G899" s="113"/>
    </row>
    <row r="900" spans="2:7" x14ac:dyDescent="0.35">
      <c r="B900" s="22"/>
      <c r="E900" s="113"/>
      <c r="F900" s="113"/>
      <c r="G900" s="113"/>
    </row>
    <row r="901" spans="2:7" x14ac:dyDescent="0.35">
      <c r="B901" s="22"/>
      <c r="E901" s="113"/>
      <c r="F901" s="113"/>
      <c r="G901" s="113"/>
    </row>
    <row r="902" spans="2:7" x14ac:dyDescent="0.35">
      <c r="B902" s="22"/>
      <c r="E902" s="113"/>
      <c r="F902" s="113"/>
      <c r="G902" s="113"/>
    </row>
    <row r="903" spans="2:7" x14ac:dyDescent="0.35">
      <c r="B903" s="22"/>
      <c r="E903" s="113"/>
      <c r="F903" s="113"/>
      <c r="G903" s="113"/>
    </row>
    <row r="904" spans="2:7" x14ac:dyDescent="0.35">
      <c r="B904" s="22"/>
      <c r="E904" s="113"/>
      <c r="F904" s="113"/>
      <c r="G904" s="113"/>
    </row>
    <row r="905" spans="2:7" x14ac:dyDescent="0.35">
      <c r="B905" s="22"/>
      <c r="E905" s="113"/>
      <c r="F905" s="113"/>
      <c r="G905" s="113"/>
    </row>
    <row r="906" spans="2:7" x14ac:dyDescent="0.35">
      <c r="B906" s="22"/>
      <c r="E906" s="113"/>
      <c r="F906" s="113"/>
      <c r="G906" s="113"/>
    </row>
    <row r="907" spans="2:7" x14ac:dyDescent="0.35">
      <c r="B907" s="22"/>
      <c r="E907" s="113"/>
      <c r="F907" s="113"/>
      <c r="G907" s="113"/>
    </row>
    <row r="908" spans="2:7" x14ac:dyDescent="0.35">
      <c r="B908" s="22"/>
      <c r="E908" s="113"/>
      <c r="F908" s="113"/>
      <c r="G908" s="113"/>
    </row>
    <row r="909" spans="2:7" x14ac:dyDescent="0.35">
      <c r="B909" s="22"/>
      <c r="E909" s="113"/>
      <c r="F909" s="113"/>
      <c r="G909" s="113"/>
    </row>
    <row r="910" spans="2:7" x14ac:dyDescent="0.35">
      <c r="B910" s="22"/>
      <c r="E910" s="113"/>
      <c r="F910" s="113"/>
      <c r="G910" s="113"/>
    </row>
    <row r="911" spans="2:7" x14ac:dyDescent="0.35">
      <c r="B911" s="22"/>
      <c r="E911" s="113"/>
      <c r="F911" s="113"/>
      <c r="G911" s="113"/>
    </row>
    <row r="912" spans="2:7" x14ac:dyDescent="0.35">
      <c r="B912" s="22"/>
      <c r="E912" s="113"/>
      <c r="F912" s="113"/>
      <c r="G912" s="113"/>
    </row>
    <row r="913" spans="2:7" x14ac:dyDescent="0.35">
      <c r="B913" s="22"/>
      <c r="E913" s="113"/>
      <c r="F913" s="113"/>
      <c r="G913" s="113"/>
    </row>
    <row r="914" spans="2:7" x14ac:dyDescent="0.35">
      <c r="B914" s="22"/>
      <c r="E914" s="113"/>
      <c r="F914" s="113"/>
      <c r="G914" s="113"/>
    </row>
    <row r="915" spans="2:7" x14ac:dyDescent="0.35">
      <c r="B915" s="22"/>
      <c r="E915" s="113"/>
      <c r="F915" s="113"/>
      <c r="G915" s="113"/>
    </row>
    <row r="916" spans="2:7" x14ac:dyDescent="0.35">
      <c r="B916" s="22"/>
      <c r="E916" s="113"/>
      <c r="F916" s="113"/>
      <c r="G916" s="113"/>
    </row>
    <row r="917" spans="2:7" x14ac:dyDescent="0.35">
      <c r="B917" s="22"/>
      <c r="E917" s="113"/>
      <c r="F917" s="113"/>
      <c r="G917" s="113"/>
    </row>
    <row r="918" spans="2:7" x14ac:dyDescent="0.35">
      <c r="B918" s="22"/>
      <c r="E918" s="113"/>
      <c r="F918" s="113"/>
      <c r="G918" s="113"/>
    </row>
    <row r="919" spans="2:7" x14ac:dyDescent="0.35">
      <c r="B919" s="22"/>
      <c r="E919" s="113"/>
      <c r="F919" s="113"/>
      <c r="G919" s="113"/>
    </row>
    <row r="920" spans="2:7" x14ac:dyDescent="0.35">
      <c r="B920" s="22"/>
      <c r="E920" s="113"/>
      <c r="F920" s="113"/>
      <c r="G920" s="113"/>
    </row>
    <row r="921" spans="2:7" x14ac:dyDescent="0.35">
      <c r="B921" s="22"/>
      <c r="E921" s="113"/>
      <c r="F921" s="113"/>
      <c r="G921" s="113"/>
    </row>
    <row r="922" spans="2:7" x14ac:dyDescent="0.35">
      <c r="B922" s="22"/>
      <c r="E922" s="113"/>
      <c r="F922" s="113"/>
      <c r="G922" s="113"/>
    </row>
    <row r="923" spans="2:7" x14ac:dyDescent="0.35">
      <c r="B923" s="22"/>
      <c r="E923" s="113"/>
      <c r="F923" s="113"/>
      <c r="G923" s="113"/>
    </row>
    <row r="924" spans="2:7" x14ac:dyDescent="0.35">
      <c r="B924" s="22"/>
      <c r="E924" s="113"/>
      <c r="F924" s="113"/>
      <c r="G924" s="113"/>
    </row>
    <row r="925" spans="2:7" x14ac:dyDescent="0.35">
      <c r="B925" s="22"/>
      <c r="E925" s="113"/>
      <c r="F925" s="113"/>
      <c r="G925" s="113"/>
    </row>
    <row r="926" spans="2:7" x14ac:dyDescent="0.35">
      <c r="B926" s="22"/>
      <c r="E926" s="113"/>
      <c r="F926" s="113"/>
      <c r="G926" s="113"/>
    </row>
    <row r="927" spans="2:7" x14ac:dyDescent="0.35">
      <c r="B927" s="22"/>
      <c r="E927" s="113"/>
      <c r="F927" s="113"/>
      <c r="G927" s="113"/>
    </row>
    <row r="928" spans="2:7" x14ac:dyDescent="0.35">
      <c r="B928" s="22"/>
      <c r="E928" s="113"/>
      <c r="F928" s="113"/>
      <c r="G928" s="113"/>
    </row>
    <row r="929" spans="2:7" x14ac:dyDescent="0.35">
      <c r="B929" s="22"/>
      <c r="E929" s="113"/>
      <c r="F929" s="113"/>
      <c r="G929" s="113"/>
    </row>
    <row r="930" spans="2:7" x14ac:dyDescent="0.35">
      <c r="B930" s="22"/>
      <c r="E930" s="113"/>
      <c r="F930" s="113"/>
      <c r="G930" s="113"/>
    </row>
    <row r="931" spans="2:7" x14ac:dyDescent="0.35">
      <c r="B931" s="22"/>
      <c r="E931" s="113"/>
      <c r="F931" s="113"/>
      <c r="G931" s="113"/>
    </row>
    <row r="932" spans="2:7" x14ac:dyDescent="0.35">
      <c r="B932" s="22"/>
      <c r="E932" s="113"/>
      <c r="F932" s="113"/>
      <c r="G932" s="113"/>
    </row>
    <row r="933" spans="2:7" x14ac:dyDescent="0.35">
      <c r="B933" s="22"/>
      <c r="E933" s="113"/>
      <c r="F933" s="113"/>
      <c r="G933" s="113"/>
    </row>
    <row r="934" spans="2:7" x14ac:dyDescent="0.35">
      <c r="B934" s="22"/>
      <c r="E934" s="113"/>
      <c r="F934" s="113"/>
      <c r="G934" s="113"/>
    </row>
    <row r="935" spans="2:7" x14ac:dyDescent="0.35">
      <c r="B935" s="22"/>
      <c r="E935" s="113"/>
      <c r="F935" s="113"/>
      <c r="G935" s="113"/>
    </row>
    <row r="936" spans="2:7" x14ac:dyDescent="0.35">
      <c r="B936" s="22"/>
      <c r="E936" s="113"/>
      <c r="F936" s="113"/>
      <c r="G936" s="113"/>
    </row>
    <row r="937" spans="2:7" x14ac:dyDescent="0.35">
      <c r="B937" s="22"/>
      <c r="E937" s="113"/>
      <c r="F937" s="113"/>
      <c r="G937" s="113"/>
    </row>
    <row r="938" spans="2:7" x14ac:dyDescent="0.35">
      <c r="B938" s="22"/>
      <c r="E938" s="113"/>
      <c r="F938" s="113"/>
      <c r="G938" s="113"/>
    </row>
    <row r="939" spans="2:7" x14ac:dyDescent="0.35">
      <c r="B939" s="22"/>
      <c r="E939" s="113"/>
      <c r="F939" s="113"/>
      <c r="G939" s="113"/>
    </row>
    <row r="940" spans="2:7" x14ac:dyDescent="0.35">
      <c r="B940" s="22"/>
      <c r="E940" s="113"/>
      <c r="F940" s="113"/>
      <c r="G940" s="113"/>
    </row>
    <row r="941" spans="2:7" x14ac:dyDescent="0.35">
      <c r="B941" s="22"/>
      <c r="E941" s="113"/>
      <c r="F941" s="113"/>
      <c r="G941" s="113"/>
    </row>
    <row r="942" spans="2:7" x14ac:dyDescent="0.35">
      <c r="B942" s="22"/>
      <c r="E942" s="113"/>
      <c r="F942" s="113"/>
      <c r="G942" s="113"/>
    </row>
    <row r="943" spans="2:7" x14ac:dyDescent="0.35">
      <c r="B943" s="22"/>
      <c r="E943" s="113"/>
      <c r="F943" s="113"/>
      <c r="G943" s="113"/>
    </row>
    <row r="944" spans="2:7" x14ac:dyDescent="0.35">
      <c r="B944" s="22"/>
      <c r="E944" s="113"/>
      <c r="F944" s="113"/>
      <c r="G944" s="113"/>
    </row>
    <row r="945" spans="2:7" x14ac:dyDescent="0.35">
      <c r="B945" s="22"/>
      <c r="E945" s="113"/>
      <c r="F945" s="113"/>
      <c r="G945" s="113"/>
    </row>
    <row r="946" spans="2:7" x14ac:dyDescent="0.35">
      <c r="B946" s="22"/>
      <c r="E946" s="113"/>
      <c r="F946" s="113"/>
      <c r="G946" s="113"/>
    </row>
    <row r="947" spans="2:7" x14ac:dyDescent="0.35">
      <c r="B947" s="22"/>
      <c r="E947" s="113"/>
      <c r="F947" s="113"/>
      <c r="G947" s="113"/>
    </row>
    <row r="948" spans="2:7" x14ac:dyDescent="0.35">
      <c r="B948" s="22"/>
      <c r="E948" s="113"/>
      <c r="F948" s="113"/>
      <c r="G948" s="113"/>
    </row>
    <row r="949" spans="2:7" x14ac:dyDescent="0.35">
      <c r="B949" s="22"/>
      <c r="E949" s="113"/>
      <c r="F949" s="113"/>
      <c r="G949" s="113"/>
    </row>
    <row r="950" spans="2:7" x14ac:dyDescent="0.35">
      <c r="B950" s="22"/>
      <c r="E950" s="113"/>
      <c r="F950" s="113"/>
      <c r="G950" s="113"/>
    </row>
    <row r="951" spans="2:7" x14ac:dyDescent="0.35">
      <c r="B951" s="22"/>
      <c r="E951" s="113"/>
      <c r="F951" s="113"/>
      <c r="G951" s="113"/>
    </row>
    <row r="952" spans="2:7" x14ac:dyDescent="0.35">
      <c r="B952" s="22"/>
      <c r="E952" s="113"/>
      <c r="F952" s="113"/>
      <c r="G952" s="113"/>
    </row>
    <row r="953" spans="2:7" x14ac:dyDescent="0.35">
      <c r="B953" s="22"/>
      <c r="E953" s="113"/>
      <c r="F953" s="113"/>
      <c r="G953" s="113"/>
    </row>
    <row r="954" spans="2:7" x14ac:dyDescent="0.35">
      <c r="B954" s="22"/>
      <c r="E954" s="113"/>
      <c r="F954" s="113"/>
      <c r="G954" s="113"/>
    </row>
    <row r="955" spans="2:7" x14ac:dyDescent="0.35">
      <c r="B955" s="22"/>
      <c r="E955" s="113"/>
      <c r="F955" s="113"/>
      <c r="G955" s="113"/>
    </row>
    <row r="956" spans="2:7" x14ac:dyDescent="0.35">
      <c r="B956" s="22"/>
      <c r="E956" s="113"/>
      <c r="F956" s="113"/>
      <c r="G956" s="113"/>
    </row>
    <row r="957" spans="2:7" x14ac:dyDescent="0.35">
      <c r="B957" s="22"/>
      <c r="E957" s="113"/>
      <c r="F957" s="113"/>
      <c r="G957" s="113"/>
    </row>
    <row r="958" spans="2:7" x14ac:dyDescent="0.35">
      <c r="B958" s="22"/>
      <c r="E958" s="113"/>
      <c r="F958" s="113"/>
      <c r="G958" s="113"/>
    </row>
    <row r="959" spans="2:7" x14ac:dyDescent="0.35">
      <c r="B959" s="22"/>
      <c r="E959" s="113"/>
      <c r="F959" s="113"/>
      <c r="G959" s="113"/>
    </row>
    <row r="960" spans="2:7" x14ac:dyDescent="0.35">
      <c r="B960" s="22"/>
      <c r="E960" s="113"/>
      <c r="F960" s="113"/>
      <c r="G960" s="113"/>
    </row>
    <row r="961" spans="2:7" x14ac:dyDescent="0.35">
      <c r="B961" s="22"/>
      <c r="E961" s="113"/>
      <c r="F961" s="113"/>
      <c r="G961" s="113"/>
    </row>
    <row r="962" spans="2:7" x14ac:dyDescent="0.35">
      <c r="B962" s="22"/>
      <c r="E962" s="113"/>
      <c r="F962" s="113"/>
      <c r="G962" s="113"/>
    </row>
    <row r="963" spans="2:7" x14ac:dyDescent="0.35">
      <c r="B963" s="22"/>
      <c r="E963" s="113"/>
      <c r="F963" s="113"/>
      <c r="G963" s="113"/>
    </row>
    <row r="964" spans="2:7" x14ac:dyDescent="0.35">
      <c r="B964" s="22"/>
      <c r="E964" s="113"/>
      <c r="F964" s="113"/>
      <c r="G964" s="113"/>
    </row>
    <row r="965" spans="2:7" x14ac:dyDescent="0.35">
      <c r="B965" s="22"/>
      <c r="E965" s="113"/>
      <c r="F965" s="113"/>
      <c r="G965" s="113"/>
    </row>
    <row r="966" spans="2:7" x14ac:dyDescent="0.35">
      <c r="B966" s="22"/>
      <c r="E966" s="113"/>
      <c r="F966" s="113"/>
      <c r="G966" s="113"/>
    </row>
    <row r="967" spans="2:7" x14ac:dyDescent="0.35">
      <c r="B967" s="22"/>
      <c r="E967" s="113"/>
      <c r="F967" s="113"/>
      <c r="G967" s="113"/>
    </row>
    <row r="968" spans="2:7" x14ac:dyDescent="0.35">
      <c r="B968" s="22"/>
      <c r="E968" s="113"/>
      <c r="F968" s="113"/>
      <c r="G968" s="113"/>
    </row>
    <row r="969" spans="2:7" x14ac:dyDescent="0.35">
      <c r="B969" s="22"/>
      <c r="E969" s="113"/>
      <c r="F969" s="113"/>
      <c r="G969" s="113"/>
    </row>
    <row r="970" spans="2:7" x14ac:dyDescent="0.35">
      <c r="B970" s="22"/>
      <c r="E970" s="113"/>
      <c r="F970" s="113"/>
      <c r="G970" s="113"/>
    </row>
    <row r="971" spans="2:7" x14ac:dyDescent="0.35">
      <c r="B971" s="22"/>
      <c r="E971" s="113"/>
      <c r="F971" s="113"/>
      <c r="G971" s="113"/>
    </row>
    <row r="972" spans="2:7" x14ac:dyDescent="0.35">
      <c r="B972" s="22"/>
      <c r="E972" s="113"/>
      <c r="F972" s="113"/>
      <c r="G972" s="113"/>
    </row>
    <row r="973" spans="2:7" x14ac:dyDescent="0.35">
      <c r="B973" s="22"/>
      <c r="E973" s="113"/>
      <c r="F973" s="113"/>
      <c r="G973" s="113"/>
    </row>
    <row r="974" spans="2:7" x14ac:dyDescent="0.35">
      <c r="B974" s="22"/>
      <c r="E974" s="113"/>
      <c r="F974" s="113"/>
      <c r="G974" s="113"/>
    </row>
    <row r="975" spans="2:7" x14ac:dyDescent="0.35">
      <c r="B975" s="22"/>
      <c r="E975" s="113"/>
      <c r="F975" s="113"/>
      <c r="G975" s="113"/>
    </row>
    <row r="976" spans="2:7" x14ac:dyDescent="0.35">
      <c r="B976" s="22"/>
      <c r="E976" s="113"/>
      <c r="F976" s="113"/>
      <c r="G976" s="113"/>
    </row>
    <row r="977" spans="2:7" x14ac:dyDescent="0.35">
      <c r="B977" s="22"/>
      <c r="E977" s="113"/>
      <c r="F977" s="113"/>
      <c r="G977" s="113"/>
    </row>
    <row r="978" spans="2:7" x14ac:dyDescent="0.35">
      <c r="B978" s="22"/>
      <c r="E978" s="113"/>
      <c r="F978" s="113"/>
      <c r="G978" s="113"/>
    </row>
    <row r="979" spans="2:7" x14ac:dyDescent="0.35">
      <c r="B979" s="22"/>
      <c r="E979" s="113"/>
      <c r="F979" s="113"/>
      <c r="G979" s="113"/>
    </row>
    <row r="980" spans="2:7" x14ac:dyDescent="0.35">
      <c r="B980" s="22"/>
      <c r="E980" s="113"/>
      <c r="F980" s="113"/>
      <c r="G980" s="113"/>
    </row>
    <row r="981" spans="2:7" x14ac:dyDescent="0.35">
      <c r="B981" s="22"/>
      <c r="E981" s="113"/>
      <c r="F981" s="113"/>
      <c r="G981" s="113"/>
    </row>
    <row r="982" spans="2:7" x14ac:dyDescent="0.35">
      <c r="B982" s="22"/>
      <c r="E982" s="113"/>
      <c r="F982" s="113"/>
      <c r="G982" s="113"/>
    </row>
    <row r="983" spans="2:7" x14ac:dyDescent="0.35">
      <c r="B983" s="22"/>
      <c r="E983" s="113"/>
      <c r="F983" s="113"/>
      <c r="G983" s="113"/>
    </row>
    <row r="984" spans="2:7" x14ac:dyDescent="0.35">
      <c r="B984" s="22"/>
      <c r="E984" s="113"/>
      <c r="F984" s="113"/>
      <c r="G984" s="113"/>
    </row>
    <row r="985" spans="2:7" x14ac:dyDescent="0.35">
      <c r="B985" s="22"/>
      <c r="E985" s="113"/>
      <c r="F985" s="113"/>
      <c r="G985" s="113"/>
    </row>
    <row r="986" spans="2:7" x14ac:dyDescent="0.35">
      <c r="B986" s="22"/>
      <c r="E986" s="113"/>
      <c r="F986" s="113"/>
      <c r="G986" s="113"/>
    </row>
    <row r="987" spans="2:7" x14ac:dyDescent="0.35">
      <c r="B987" s="22"/>
      <c r="E987" s="113"/>
      <c r="F987" s="113"/>
      <c r="G987" s="113"/>
    </row>
    <row r="988" spans="2:7" x14ac:dyDescent="0.35">
      <c r="B988" s="22"/>
      <c r="E988" s="113"/>
      <c r="F988" s="113"/>
      <c r="G988" s="113"/>
    </row>
    <row r="989" spans="2:7" x14ac:dyDescent="0.35">
      <c r="B989" s="22"/>
      <c r="E989" s="113"/>
      <c r="F989" s="113"/>
      <c r="G989" s="113"/>
    </row>
    <row r="990" spans="2:7" x14ac:dyDescent="0.35">
      <c r="B990" s="22"/>
      <c r="E990" s="113"/>
      <c r="F990" s="113"/>
      <c r="G990" s="113"/>
    </row>
    <row r="991" spans="2:7" x14ac:dyDescent="0.35">
      <c r="B991" s="22"/>
      <c r="E991" s="113"/>
      <c r="F991" s="113"/>
      <c r="G991" s="113"/>
    </row>
    <row r="992" spans="2:7" x14ac:dyDescent="0.35">
      <c r="B992" s="22"/>
      <c r="E992" s="113"/>
      <c r="F992" s="113"/>
      <c r="G992" s="113"/>
    </row>
    <row r="993" spans="2:7" x14ac:dyDescent="0.35">
      <c r="B993" s="22"/>
      <c r="E993" s="113"/>
      <c r="F993" s="113"/>
      <c r="G993" s="113"/>
    </row>
    <row r="994" spans="2:7" x14ac:dyDescent="0.35">
      <c r="B994" s="22"/>
      <c r="E994" s="113"/>
      <c r="F994" s="113"/>
      <c r="G994" s="113"/>
    </row>
    <row r="995" spans="2:7" x14ac:dyDescent="0.35">
      <c r="B995" s="22"/>
      <c r="E995" s="113"/>
      <c r="F995" s="113"/>
      <c r="G995" s="113"/>
    </row>
    <row r="996" spans="2:7" x14ac:dyDescent="0.35">
      <c r="B996" s="22"/>
      <c r="E996" s="113"/>
      <c r="F996" s="113"/>
      <c r="G996" s="113"/>
    </row>
    <row r="997" spans="2:7" x14ac:dyDescent="0.35">
      <c r="B997" s="22"/>
      <c r="E997" s="113"/>
      <c r="F997" s="113"/>
      <c r="G997" s="113"/>
    </row>
    <row r="998" spans="2:7" x14ac:dyDescent="0.35">
      <c r="B998" s="22"/>
      <c r="E998" s="113"/>
      <c r="F998" s="113"/>
      <c r="G998" s="113"/>
    </row>
    <row r="999" spans="2:7" x14ac:dyDescent="0.35">
      <c r="B999" s="22"/>
      <c r="E999" s="113"/>
      <c r="F999" s="113"/>
      <c r="G999" s="113"/>
    </row>
    <row r="1000" spans="2:7" x14ac:dyDescent="0.35">
      <c r="B1000" s="22"/>
      <c r="E1000" s="113"/>
      <c r="F1000" s="113"/>
      <c r="G1000" s="113"/>
    </row>
    <row r="1001" spans="2:7" x14ac:dyDescent="0.35">
      <c r="B1001" s="22"/>
      <c r="E1001" s="113"/>
      <c r="F1001" s="113"/>
      <c r="G1001" s="113"/>
    </row>
    <row r="1002" spans="2:7" x14ac:dyDescent="0.35">
      <c r="B1002" s="22"/>
      <c r="E1002" s="113"/>
      <c r="F1002" s="113"/>
      <c r="G1002" s="113"/>
    </row>
    <row r="1003" spans="2:7" x14ac:dyDescent="0.35">
      <c r="B1003" s="22"/>
      <c r="E1003" s="113"/>
      <c r="F1003" s="113"/>
      <c r="G1003" s="113"/>
    </row>
    <row r="1004" spans="2:7" x14ac:dyDescent="0.35">
      <c r="B1004" s="22"/>
      <c r="E1004" s="113"/>
      <c r="F1004" s="113"/>
      <c r="G1004" s="113"/>
    </row>
    <row r="1005" spans="2:7" x14ac:dyDescent="0.35">
      <c r="B1005" s="22"/>
      <c r="E1005" s="113"/>
      <c r="F1005" s="113"/>
      <c r="G1005" s="113"/>
    </row>
    <row r="1006" spans="2:7" x14ac:dyDescent="0.35">
      <c r="B1006" s="22"/>
      <c r="E1006" s="113"/>
      <c r="F1006" s="113"/>
      <c r="G1006" s="113"/>
    </row>
    <row r="1007" spans="2:7" x14ac:dyDescent="0.35">
      <c r="B1007" s="22"/>
      <c r="E1007" s="113"/>
      <c r="F1007" s="113"/>
      <c r="G1007" s="113"/>
    </row>
    <row r="1008" spans="2:7" x14ac:dyDescent="0.35">
      <c r="B1008" s="22"/>
      <c r="E1008" s="113"/>
      <c r="F1008" s="113"/>
      <c r="G1008" s="113"/>
    </row>
    <row r="1009" spans="2:7" x14ac:dyDescent="0.35">
      <c r="B1009" s="22"/>
      <c r="E1009" s="113"/>
      <c r="F1009" s="113"/>
      <c r="G1009" s="113"/>
    </row>
    <row r="1010" spans="2:7" x14ac:dyDescent="0.35">
      <c r="B1010" s="22"/>
      <c r="E1010" s="113"/>
      <c r="F1010" s="113"/>
      <c r="G1010" s="113"/>
    </row>
    <row r="1011" spans="2:7" x14ac:dyDescent="0.35">
      <c r="B1011" s="22"/>
      <c r="E1011" s="113"/>
      <c r="F1011" s="113"/>
      <c r="G1011" s="113"/>
    </row>
    <row r="1012" spans="2:7" x14ac:dyDescent="0.35">
      <c r="B1012" s="22"/>
      <c r="E1012" s="113"/>
      <c r="F1012" s="113"/>
      <c r="G1012" s="113"/>
    </row>
    <row r="1013" spans="2:7" x14ac:dyDescent="0.35">
      <c r="B1013" s="22"/>
      <c r="E1013" s="113"/>
      <c r="F1013" s="113"/>
      <c r="G1013" s="113"/>
    </row>
    <row r="1014" spans="2:7" x14ac:dyDescent="0.35">
      <c r="B1014" s="22"/>
      <c r="E1014" s="113"/>
      <c r="F1014" s="113"/>
      <c r="G1014" s="113"/>
    </row>
    <row r="1015" spans="2:7" x14ac:dyDescent="0.35">
      <c r="B1015" s="22"/>
      <c r="E1015" s="113"/>
      <c r="F1015" s="113"/>
      <c r="G1015" s="113"/>
    </row>
    <row r="1016" spans="2:7" x14ac:dyDescent="0.35">
      <c r="B1016" s="22"/>
      <c r="E1016" s="113"/>
      <c r="F1016" s="113"/>
      <c r="G1016" s="113"/>
    </row>
    <row r="1017" spans="2:7" x14ac:dyDescent="0.35">
      <c r="B1017" s="22"/>
      <c r="E1017" s="113"/>
      <c r="F1017" s="113"/>
      <c r="G1017" s="113"/>
    </row>
    <row r="1018" spans="2:7" x14ac:dyDescent="0.35">
      <c r="B1018" s="22"/>
      <c r="E1018" s="113"/>
      <c r="F1018" s="113"/>
      <c r="G1018" s="113"/>
    </row>
    <row r="1019" spans="2:7" x14ac:dyDescent="0.35">
      <c r="B1019" s="22"/>
      <c r="E1019" s="113"/>
      <c r="F1019" s="113"/>
      <c r="G1019" s="113"/>
    </row>
    <row r="1020" spans="2:7" x14ac:dyDescent="0.35">
      <c r="B1020" s="22"/>
      <c r="E1020" s="113"/>
      <c r="F1020" s="113"/>
      <c r="G1020" s="113"/>
    </row>
    <row r="1021" spans="2:7" x14ac:dyDescent="0.35">
      <c r="B1021" s="22"/>
      <c r="E1021" s="113"/>
      <c r="F1021" s="113"/>
      <c r="G1021" s="113"/>
    </row>
    <row r="1022" spans="2:7" x14ac:dyDescent="0.35">
      <c r="B1022" s="22"/>
      <c r="E1022" s="113"/>
      <c r="F1022" s="113"/>
      <c r="G1022" s="113"/>
    </row>
    <row r="1023" spans="2:7" x14ac:dyDescent="0.35">
      <c r="B1023" s="22"/>
      <c r="E1023" s="113"/>
      <c r="F1023" s="113"/>
      <c r="G1023" s="113"/>
    </row>
    <row r="1024" spans="2:7" x14ac:dyDescent="0.35">
      <c r="B1024" s="22"/>
      <c r="E1024" s="113"/>
      <c r="F1024" s="113"/>
      <c r="G1024" s="113"/>
    </row>
    <row r="1025" spans="2:7" x14ac:dyDescent="0.35">
      <c r="B1025" s="22"/>
      <c r="E1025" s="113"/>
      <c r="F1025" s="113"/>
      <c r="G1025" s="113"/>
    </row>
    <row r="1026" spans="2:7" x14ac:dyDescent="0.35">
      <c r="B1026" s="22"/>
      <c r="E1026" s="113"/>
      <c r="F1026" s="113"/>
      <c r="G1026" s="113"/>
    </row>
    <row r="1027" spans="2:7" x14ac:dyDescent="0.35">
      <c r="B1027" s="22"/>
      <c r="E1027" s="113"/>
      <c r="F1027" s="113"/>
      <c r="G1027" s="113"/>
    </row>
    <row r="1028" spans="2:7" x14ac:dyDescent="0.35">
      <c r="B1028" s="22"/>
      <c r="E1028" s="113"/>
      <c r="F1028" s="113"/>
      <c r="G1028" s="113"/>
    </row>
    <row r="1029" spans="2:7" x14ac:dyDescent="0.35">
      <c r="B1029" s="22"/>
      <c r="E1029" s="113"/>
      <c r="F1029" s="113"/>
      <c r="G1029" s="113"/>
    </row>
    <row r="1030" spans="2:7" x14ac:dyDescent="0.35">
      <c r="B1030" s="22"/>
      <c r="E1030" s="113"/>
      <c r="F1030" s="113"/>
      <c r="G1030" s="113"/>
    </row>
    <row r="1031" spans="2:7" x14ac:dyDescent="0.35">
      <c r="B1031" s="22"/>
      <c r="E1031" s="113"/>
      <c r="F1031" s="113"/>
      <c r="G1031" s="113"/>
    </row>
    <row r="1032" spans="2:7" x14ac:dyDescent="0.35">
      <c r="B1032" s="22"/>
      <c r="E1032" s="113"/>
      <c r="F1032" s="113"/>
      <c r="G1032" s="113"/>
    </row>
    <row r="1033" spans="2:7" x14ac:dyDescent="0.35">
      <c r="B1033" s="22"/>
      <c r="E1033" s="113"/>
      <c r="F1033" s="113"/>
      <c r="G1033" s="113"/>
    </row>
    <row r="1034" spans="2:7" x14ac:dyDescent="0.35">
      <c r="B1034" s="22"/>
      <c r="E1034" s="113"/>
      <c r="F1034" s="113"/>
      <c r="G1034" s="113"/>
    </row>
    <row r="1035" spans="2:7" x14ac:dyDescent="0.35">
      <c r="B1035" s="22"/>
      <c r="E1035" s="113"/>
      <c r="F1035" s="113"/>
      <c r="G1035" s="113"/>
    </row>
    <row r="1036" spans="2:7" x14ac:dyDescent="0.35">
      <c r="B1036" s="22"/>
      <c r="E1036" s="113"/>
      <c r="F1036" s="113"/>
      <c r="G1036" s="113"/>
    </row>
    <row r="1037" spans="2:7" x14ac:dyDescent="0.35">
      <c r="B1037" s="22"/>
      <c r="E1037" s="113"/>
      <c r="F1037" s="113"/>
      <c r="G1037" s="113"/>
    </row>
    <row r="1038" spans="2:7" x14ac:dyDescent="0.35">
      <c r="B1038" s="22"/>
      <c r="E1038" s="113"/>
      <c r="F1038" s="113"/>
      <c r="G1038" s="113"/>
    </row>
    <row r="1039" spans="2:7" x14ac:dyDescent="0.35">
      <c r="B1039" s="22"/>
      <c r="E1039" s="113"/>
      <c r="F1039" s="113"/>
      <c r="G1039" s="113"/>
    </row>
    <row r="1040" spans="2:7" x14ac:dyDescent="0.35">
      <c r="B1040" s="22"/>
      <c r="E1040" s="113"/>
      <c r="F1040" s="113"/>
      <c r="G1040" s="113"/>
    </row>
    <row r="1041" spans="2:7" x14ac:dyDescent="0.35">
      <c r="B1041" s="22"/>
      <c r="E1041" s="113"/>
      <c r="F1041" s="113"/>
      <c r="G1041" s="113"/>
    </row>
    <row r="1042" spans="2:7" x14ac:dyDescent="0.35">
      <c r="B1042" s="22"/>
      <c r="E1042" s="113"/>
      <c r="F1042" s="113"/>
      <c r="G1042" s="113"/>
    </row>
    <row r="1043" spans="2:7" x14ac:dyDescent="0.35">
      <c r="B1043" s="22"/>
      <c r="E1043" s="113"/>
      <c r="F1043" s="113"/>
      <c r="G1043" s="113"/>
    </row>
    <row r="1044" spans="2:7" x14ac:dyDescent="0.35">
      <c r="B1044" s="22"/>
      <c r="E1044" s="113"/>
      <c r="F1044" s="113"/>
      <c r="G1044" s="113"/>
    </row>
    <row r="1045" spans="2:7" x14ac:dyDescent="0.35">
      <c r="B1045" s="22"/>
      <c r="E1045" s="113"/>
      <c r="F1045" s="113"/>
      <c r="G1045" s="113"/>
    </row>
    <row r="1046" spans="2:7" x14ac:dyDescent="0.35">
      <c r="B1046" s="22"/>
      <c r="E1046" s="113"/>
      <c r="F1046" s="113"/>
      <c r="G1046" s="113"/>
    </row>
    <row r="1047" spans="2:7" x14ac:dyDescent="0.35">
      <c r="B1047" s="22"/>
      <c r="E1047" s="113"/>
      <c r="F1047" s="113"/>
      <c r="G1047" s="113"/>
    </row>
    <row r="1048" spans="2:7" x14ac:dyDescent="0.35">
      <c r="B1048" s="22"/>
      <c r="E1048" s="113"/>
      <c r="F1048" s="113"/>
      <c r="G1048" s="113"/>
    </row>
    <row r="1049" spans="2:7" x14ac:dyDescent="0.35">
      <c r="B1049" s="22"/>
      <c r="E1049" s="113"/>
      <c r="F1049" s="113"/>
      <c r="G1049" s="113"/>
    </row>
    <row r="1050" spans="2:7" x14ac:dyDescent="0.35">
      <c r="B1050" s="22"/>
      <c r="E1050" s="113"/>
      <c r="F1050" s="113"/>
      <c r="G1050" s="113"/>
    </row>
    <row r="1051" spans="2:7" x14ac:dyDescent="0.35">
      <c r="B1051" s="22"/>
      <c r="E1051" s="113"/>
      <c r="F1051" s="113"/>
      <c r="G1051" s="113"/>
    </row>
    <row r="1052" spans="2:7" x14ac:dyDescent="0.35">
      <c r="B1052" s="22"/>
      <c r="E1052" s="113"/>
      <c r="F1052" s="113"/>
      <c r="G1052" s="113"/>
    </row>
    <row r="1053" spans="2:7" x14ac:dyDescent="0.35">
      <c r="B1053" s="22"/>
      <c r="E1053" s="113"/>
      <c r="F1053" s="113"/>
      <c r="G1053" s="113"/>
    </row>
    <row r="1054" spans="2:7" x14ac:dyDescent="0.35">
      <c r="B1054" s="22"/>
      <c r="E1054" s="113"/>
      <c r="F1054" s="113"/>
      <c r="G1054" s="113"/>
    </row>
    <row r="1055" spans="2:7" x14ac:dyDescent="0.35">
      <c r="B1055" s="22"/>
      <c r="E1055" s="113"/>
      <c r="F1055" s="113"/>
      <c r="G1055" s="113"/>
    </row>
    <row r="1056" spans="2:7" x14ac:dyDescent="0.35">
      <c r="B1056" s="22"/>
      <c r="E1056" s="113"/>
      <c r="F1056" s="113"/>
      <c r="G1056" s="113"/>
    </row>
    <row r="1057" spans="2:7" x14ac:dyDescent="0.35">
      <c r="B1057" s="22"/>
      <c r="E1057" s="113"/>
      <c r="F1057" s="113"/>
      <c r="G1057" s="113"/>
    </row>
    <row r="1058" spans="2:7" x14ac:dyDescent="0.35">
      <c r="B1058" s="22"/>
      <c r="E1058" s="113"/>
      <c r="F1058" s="113"/>
      <c r="G1058" s="113"/>
    </row>
    <row r="1059" spans="2:7" x14ac:dyDescent="0.35">
      <c r="B1059" s="22"/>
      <c r="E1059" s="113"/>
      <c r="F1059" s="113"/>
      <c r="G1059" s="113"/>
    </row>
    <row r="1060" spans="2:7" x14ac:dyDescent="0.35">
      <c r="B1060" s="22"/>
      <c r="E1060" s="113"/>
      <c r="F1060" s="113"/>
      <c r="G1060" s="113"/>
    </row>
    <row r="1061" spans="2:7" x14ac:dyDescent="0.35">
      <c r="B1061" s="22"/>
      <c r="E1061" s="113"/>
      <c r="F1061" s="113"/>
      <c r="G1061" s="113"/>
    </row>
    <row r="1062" spans="2:7" x14ac:dyDescent="0.35">
      <c r="B1062" s="22"/>
      <c r="E1062" s="113"/>
      <c r="F1062" s="113"/>
      <c r="G1062" s="113"/>
    </row>
    <row r="1063" spans="2:7" x14ac:dyDescent="0.35">
      <c r="B1063" s="22"/>
      <c r="E1063" s="113"/>
      <c r="F1063" s="113"/>
      <c r="G1063" s="113"/>
    </row>
    <row r="1064" spans="2:7" x14ac:dyDescent="0.35">
      <c r="B1064" s="22"/>
      <c r="E1064" s="113"/>
      <c r="F1064" s="113"/>
      <c r="G1064" s="113"/>
    </row>
    <row r="1065" spans="2:7" x14ac:dyDescent="0.35">
      <c r="B1065" s="22"/>
      <c r="E1065" s="113"/>
      <c r="F1065" s="113"/>
      <c r="G1065" s="113"/>
    </row>
    <row r="1066" spans="2:7" x14ac:dyDescent="0.35">
      <c r="B1066" s="22"/>
      <c r="E1066" s="113"/>
      <c r="F1066" s="113"/>
      <c r="G1066" s="113"/>
    </row>
    <row r="1067" spans="2:7" x14ac:dyDescent="0.35">
      <c r="B1067" s="22"/>
      <c r="E1067" s="113"/>
      <c r="F1067" s="113"/>
      <c r="G1067" s="113"/>
    </row>
    <row r="1068" spans="2:7" x14ac:dyDescent="0.35">
      <c r="B1068" s="22"/>
      <c r="E1068" s="113"/>
      <c r="F1068" s="113"/>
      <c r="G1068" s="113"/>
    </row>
    <row r="1069" spans="2:7" x14ac:dyDescent="0.35">
      <c r="B1069" s="22"/>
      <c r="E1069" s="113"/>
      <c r="F1069" s="113"/>
      <c r="G1069" s="113"/>
    </row>
    <row r="1070" spans="2:7" x14ac:dyDescent="0.35">
      <c r="B1070" s="22"/>
      <c r="E1070" s="113"/>
      <c r="F1070" s="113"/>
      <c r="G1070" s="113"/>
    </row>
    <row r="1071" spans="2:7" x14ac:dyDescent="0.35">
      <c r="B1071" s="22"/>
      <c r="E1071" s="113"/>
      <c r="F1071" s="113"/>
      <c r="G1071" s="113"/>
    </row>
    <row r="1072" spans="2:7" x14ac:dyDescent="0.35">
      <c r="B1072" s="22"/>
      <c r="E1072" s="113"/>
      <c r="F1072" s="113"/>
      <c r="G1072" s="113"/>
    </row>
    <row r="1073" spans="2:7" x14ac:dyDescent="0.35">
      <c r="B1073" s="22"/>
      <c r="E1073" s="113"/>
      <c r="F1073" s="113"/>
      <c r="G1073" s="113"/>
    </row>
    <row r="1074" spans="2:7" x14ac:dyDescent="0.35">
      <c r="B1074" s="22"/>
      <c r="E1074" s="113"/>
      <c r="F1074" s="113"/>
      <c r="G1074" s="113"/>
    </row>
    <row r="1075" spans="2:7" x14ac:dyDescent="0.35">
      <c r="B1075" s="22"/>
      <c r="E1075" s="113"/>
      <c r="F1075" s="113"/>
      <c r="G1075" s="113"/>
    </row>
    <row r="1076" spans="2:7" x14ac:dyDescent="0.35">
      <c r="B1076" s="22"/>
      <c r="E1076" s="113"/>
      <c r="F1076" s="113"/>
      <c r="G1076" s="113"/>
    </row>
    <row r="1077" spans="2:7" x14ac:dyDescent="0.35">
      <c r="B1077" s="22"/>
      <c r="E1077" s="113"/>
      <c r="F1077" s="113"/>
      <c r="G1077" s="113"/>
    </row>
    <row r="1078" spans="2:7" x14ac:dyDescent="0.35">
      <c r="B1078" s="22"/>
      <c r="E1078" s="113"/>
      <c r="F1078" s="113"/>
      <c r="G1078" s="113"/>
    </row>
    <row r="1079" spans="2:7" x14ac:dyDescent="0.35">
      <c r="B1079" s="22"/>
      <c r="E1079" s="113"/>
      <c r="F1079" s="113"/>
      <c r="G1079" s="113"/>
    </row>
    <row r="1080" spans="2:7" x14ac:dyDescent="0.35">
      <c r="B1080" s="22"/>
      <c r="E1080" s="113"/>
      <c r="F1080" s="113"/>
      <c r="G1080" s="113"/>
    </row>
    <row r="1081" spans="2:7" x14ac:dyDescent="0.35">
      <c r="B1081" s="22"/>
      <c r="E1081" s="113"/>
      <c r="F1081" s="113"/>
      <c r="G1081" s="113"/>
    </row>
    <row r="1082" spans="2:7" x14ac:dyDescent="0.35">
      <c r="B1082" s="22"/>
      <c r="E1082" s="113"/>
      <c r="F1082" s="113"/>
      <c r="G1082" s="113"/>
    </row>
    <row r="1083" spans="2:7" x14ac:dyDescent="0.35">
      <c r="B1083" s="22"/>
      <c r="E1083" s="113"/>
      <c r="F1083" s="113"/>
      <c r="G1083" s="113"/>
    </row>
    <row r="1084" spans="2:7" x14ac:dyDescent="0.35">
      <c r="B1084" s="22"/>
      <c r="E1084" s="113"/>
      <c r="F1084" s="113"/>
      <c r="G1084" s="113"/>
    </row>
    <row r="1085" spans="2:7" x14ac:dyDescent="0.35">
      <c r="B1085" s="22"/>
      <c r="E1085" s="113"/>
      <c r="F1085" s="113"/>
      <c r="G1085" s="113"/>
    </row>
    <row r="1086" spans="2:7" x14ac:dyDescent="0.35">
      <c r="B1086" s="22"/>
      <c r="E1086" s="113"/>
      <c r="F1086" s="113"/>
      <c r="G1086" s="113"/>
    </row>
    <row r="1087" spans="2:7" x14ac:dyDescent="0.35">
      <c r="B1087" s="22"/>
      <c r="E1087" s="113"/>
      <c r="F1087" s="113"/>
      <c r="G1087" s="113"/>
    </row>
    <row r="1088" spans="2:7" x14ac:dyDescent="0.35">
      <c r="B1088" s="22"/>
      <c r="E1088" s="113"/>
      <c r="F1088" s="113"/>
      <c r="G1088" s="113"/>
    </row>
    <row r="1089" spans="2:7" x14ac:dyDescent="0.35">
      <c r="B1089" s="22"/>
      <c r="E1089" s="113"/>
      <c r="F1089" s="113"/>
      <c r="G1089" s="113"/>
    </row>
    <row r="1090" spans="2:7" x14ac:dyDescent="0.35">
      <c r="B1090" s="22"/>
      <c r="E1090" s="113"/>
      <c r="F1090" s="113"/>
      <c r="G1090" s="113"/>
    </row>
    <row r="1091" spans="2:7" x14ac:dyDescent="0.35">
      <c r="B1091" s="22"/>
      <c r="E1091" s="113"/>
      <c r="F1091" s="113"/>
      <c r="G1091" s="113"/>
    </row>
    <row r="1092" spans="2:7" x14ac:dyDescent="0.35">
      <c r="B1092" s="22"/>
      <c r="E1092" s="113"/>
      <c r="F1092" s="113"/>
      <c r="G1092" s="113"/>
    </row>
    <row r="1093" spans="2:7" x14ac:dyDescent="0.35">
      <c r="B1093" s="22"/>
      <c r="E1093" s="113"/>
      <c r="F1093" s="113"/>
      <c r="G1093" s="113"/>
    </row>
    <row r="1094" spans="2:7" x14ac:dyDescent="0.35">
      <c r="B1094" s="22"/>
      <c r="E1094" s="113"/>
      <c r="F1094" s="113"/>
      <c r="G1094" s="113"/>
    </row>
    <row r="1095" spans="2:7" x14ac:dyDescent="0.35">
      <c r="B1095" s="22"/>
      <c r="E1095" s="113"/>
      <c r="F1095" s="113"/>
      <c r="G1095" s="113"/>
    </row>
    <row r="1096" spans="2:7" x14ac:dyDescent="0.35">
      <c r="B1096" s="22"/>
      <c r="E1096" s="113"/>
      <c r="F1096" s="113"/>
      <c r="G1096" s="113"/>
    </row>
    <row r="1097" spans="2:7" x14ac:dyDescent="0.35">
      <c r="B1097" s="22"/>
      <c r="E1097" s="113"/>
      <c r="F1097" s="113"/>
      <c r="G1097" s="113"/>
    </row>
    <row r="1098" spans="2:7" x14ac:dyDescent="0.35">
      <c r="B1098" s="22"/>
      <c r="E1098" s="113"/>
      <c r="F1098" s="113"/>
      <c r="G1098" s="113"/>
    </row>
    <row r="1099" spans="2:7" x14ac:dyDescent="0.35">
      <c r="B1099" s="22"/>
      <c r="E1099" s="113"/>
      <c r="F1099" s="113"/>
      <c r="G1099" s="113"/>
    </row>
    <row r="1100" spans="2:7" x14ac:dyDescent="0.35">
      <c r="B1100" s="22"/>
      <c r="E1100" s="113"/>
      <c r="F1100" s="113"/>
      <c r="G1100" s="113"/>
    </row>
    <row r="1101" spans="2:7" x14ac:dyDescent="0.35">
      <c r="B1101" s="22"/>
      <c r="E1101" s="113"/>
      <c r="F1101" s="113"/>
      <c r="G1101" s="113"/>
    </row>
    <row r="1102" spans="2:7" x14ac:dyDescent="0.35">
      <c r="B1102" s="22"/>
      <c r="E1102" s="113"/>
      <c r="F1102" s="113"/>
      <c r="G1102" s="113"/>
    </row>
    <row r="1103" spans="2:7" x14ac:dyDescent="0.35">
      <c r="B1103" s="22"/>
      <c r="E1103" s="113"/>
      <c r="F1103" s="113"/>
      <c r="G1103" s="113"/>
    </row>
    <row r="1104" spans="2:7" x14ac:dyDescent="0.35">
      <c r="B1104" s="22"/>
      <c r="E1104" s="113"/>
      <c r="F1104" s="113"/>
      <c r="G1104" s="113"/>
    </row>
    <row r="1105" spans="2:7" x14ac:dyDescent="0.35">
      <c r="B1105" s="22"/>
      <c r="E1105" s="113"/>
      <c r="F1105" s="113"/>
      <c r="G1105" s="113"/>
    </row>
    <row r="1106" spans="2:7" x14ac:dyDescent="0.35">
      <c r="B1106" s="22"/>
      <c r="E1106" s="113"/>
      <c r="F1106" s="113"/>
      <c r="G1106" s="113"/>
    </row>
    <row r="1107" spans="2:7" x14ac:dyDescent="0.35">
      <c r="B1107" s="22"/>
      <c r="E1107" s="113"/>
      <c r="F1107" s="113"/>
      <c r="G1107" s="113"/>
    </row>
    <row r="1108" spans="2:7" x14ac:dyDescent="0.35">
      <c r="B1108" s="22"/>
      <c r="E1108" s="113"/>
      <c r="F1108" s="113"/>
      <c r="G1108" s="113"/>
    </row>
    <row r="1109" spans="2:7" x14ac:dyDescent="0.35">
      <c r="B1109" s="22"/>
      <c r="E1109" s="113"/>
      <c r="F1109" s="113"/>
      <c r="G1109" s="113"/>
    </row>
    <row r="1110" spans="2:7" x14ac:dyDescent="0.35">
      <c r="B1110" s="22"/>
      <c r="E1110" s="113"/>
      <c r="F1110" s="113"/>
      <c r="G1110" s="113"/>
    </row>
    <row r="1111" spans="2:7" x14ac:dyDescent="0.35">
      <c r="B1111" s="22"/>
      <c r="E1111" s="113"/>
      <c r="F1111" s="113"/>
      <c r="G1111" s="113"/>
    </row>
    <row r="1112" spans="2:7" x14ac:dyDescent="0.35">
      <c r="B1112" s="22"/>
      <c r="E1112" s="113"/>
      <c r="F1112" s="113"/>
      <c r="G1112" s="113"/>
    </row>
    <row r="1113" spans="2:7" x14ac:dyDescent="0.35">
      <c r="B1113" s="22"/>
      <c r="E1113" s="113"/>
      <c r="F1113" s="113"/>
      <c r="G1113" s="113"/>
    </row>
    <row r="1114" spans="2:7" x14ac:dyDescent="0.35">
      <c r="B1114" s="22"/>
      <c r="E1114" s="113"/>
      <c r="F1114" s="113"/>
      <c r="G1114" s="113"/>
    </row>
    <row r="1115" spans="2:7" x14ac:dyDescent="0.35">
      <c r="B1115" s="22"/>
      <c r="E1115" s="113"/>
      <c r="F1115" s="113"/>
      <c r="G1115" s="113"/>
    </row>
    <row r="1116" spans="2:7" x14ac:dyDescent="0.35">
      <c r="B1116" s="22"/>
      <c r="E1116" s="113"/>
      <c r="F1116" s="113"/>
      <c r="G1116" s="113"/>
    </row>
    <row r="1117" spans="2:7" x14ac:dyDescent="0.35">
      <c r="B1117" s="22"/>
      <c r="E1117" s="113"/>
      <c r="F1117" s="113"/>
      <c r="G1117" s="113"/>
    </row>
    <row r="1118" spans="2:7" x14ac:dyDescent="0.35">
      <c r="B1118" s="22"/>
      <c r="E1118" s="113"/>
      <c r="F1118" s="113"/>
      <c r="G1118" s="113"/>
    </row>
    <row r="1119" spans="2:7" x14ac:dyDescent="0.35">
      <c r="B1119" s="22"/>
      <c r="E1119" s="113"/>
      <c r="F1119" s="113"/>
      <c r="G1119" s="113"/>
    </row>
    <row r="1120" spans="2:7" x14ac:dyDescent="0.35">
      <c r="B1120" s="22"/>
      <c r="E1120" s="113"/>
      <c r="F1120" s="113"/>
      <c r="G1120" s="113"/>
    </row>
    <row r="1121" spans="2:7" x14ac:dyDescent="0.35">
      <c r="B1121" s="22"/>
      <c r="E1121" s="113"/>
      <c r="F1121" s="113"/>
      <c r="G1121" s="113"/>
    </row>
    <row r="1122" spans="2:7" x14ac:dyDescent="0.35">
      <c r="B1122" s="22"/>
      <c r="E1122" s="113"/>
      <c r="F1122" s="113"/>
      <c r="G1122" s="113"/>
    </row>
    <row r="1123" spans="2:7" x14ac:dyDescent="0.35">
      <c r="B1123" s="22"/>
      <c r="E1123" s="113"/>
      <c r="F1123" s="113"/>
      <c r="G1123" s="113"/>
    </row>
    <row r="1124" spans="2:7" x14ac:dyDescent="0.35">
      <c r="B1124" s="22"/>
      <c r="E1124" s="113"/>
      <c r="F1124" s="113"/>
      <c r="G1124" s="113"/>
    </row>
    <row r="1125" spans="2:7" x14ac:dyDescent="0.35">
      <c r="B1125" s="22"/>
      <c r="E1125" s="113"/>
      <c r="F1125" s="113"/>
      <c r="G1125" s="113"/>
    </row>
    <row r="1126" spans="2:7" x14ac:dyDescent="0.35">
      <c r="B1126" s="22"/>
      <c r="E1126" s="113"/>
      <c r="F1126" s="113"/>
      <c r="G1126" s="113"/>
    </row>
    <row r="1127" spans="2:7" x14ac:dyDescent="0.35">
      <c r="B1127" s="22"/>
      <c r="E1127" s="113"/>
      <c r="F1127" s="113"/>
      <c r="G1127" s="113"/>
    </row>
    <row r="1128" spans="2:7" x14ac:dyDescent="0.35">
      <c r="B1128" s="22"/>
      <c r="E1128" s="113"/>
      <c r="F1128" s="113"/>
      <c r="G1128" s="113"/>
    </row>
    <row r="1129" spans="2:7" x14ac:dyDescent="0.35">
      <c r="B1129" s="22"/>
      <c r="E1129" s="113"/>
      <c r="F1129" s="113"/>
      <c r="G1129" s="113"/>
    </row>
    <row r="1130" spans="2:7" x14ac:dyDescent="0.35">
      <c r="B1130" s="22"/>
      <c r="E1130" s="113"/>
      <c r="F1130" s="113"/>
      <c r="G1130" s="113"/>
    </row>
    <row r="1131" spans="2:7" x14ac:dyDescent="0.35">
      <c r="B1131" s="22"/>
      <c r="E1131" s="113"/>
      <c r="F1131" s="113"/>
      <c r="G1131" s="113"/>
    </row>
    <row r="1132" spans="2:7" x14ac:dyDescent="0.35">
      <c r="B1132" s="22"/>
      <c r="E1132" s="113"/>
      <c r="F1132" s="113"/>
      <c r="G1132" s="113"/>
    </row>
    <row r="1133" spans="2:7" x14ac:dyDescent="0.35">
      <c r="B1133" s="22"/>
      <c r="E1133" s="113"/>
      <c r="F1133" s="113"/>
      <c r="G1133" s="113"/>
    </row>
    <row r="1134" spans="2:7" x14ac:dyDescent="0.35">
      <c r="B1134" s="22"/>
      <c r="E1134" s="113"/>
      <c r="F1134" s="113"/>
      <c r="G1134" s="113"/>
    </row>
    <row r="1135" spans="2:7" x14ac:dyDescent="0.35">
      <c r="B1135" s="22"/>
      <c r="E1135" s="113"/>
      <c r="F1135" s="113"/>
      <c r="G1135" s="113"/>
    </row>
    <row r="1136" spans="2:7" x14ac:dyDescent="0.35">
      <c r="B1136" s="22"/>
      <c r="E1136" s="113"/>
      <c r="F1136" s="113"/>
      <c r="G1136" s="113"/>
    </row>
    <row r="1137" spans="2:7" x14ac:dyDescent="0.35">
      <c r="B1137" s="22"/>
      <c r="E1137" s="113"/>
      <c r="F1137" s="113"/>
      <c r="G1137" s="113"/>
    </row>
    <row r="1138" spans="2:7" x14ac:dyDescent="0.35">
      <c r="B1138" s="22"/>
      <c r="E1138" s="113"/>
      <c r="F1138" s="113"/>
      <c r="G1138" s="113"/>
    </row>
    <row r="1139" spans="2:7" x14ac:dyDescent="0.35">
      <c r="B1139" s="22"/>
      <c r="E1139" s="113"/>
      <c r="F1139" s="113"/>
      <c r="G1139" s="113"/>
    </row>
    <row r="1140" spans="2:7" x14ac:dyDescent="0.35">
      <c r="B1140" s="22"/>
      <c r="E1140" s="113"/>
      <c r="F1140" s="113"/>
      <c r="G1140" s="113"/>
    </row>
    <row r="1141" spans="2:7" x14ac:dyDescent="0.35">
      <c r="B1141" s="22"/>
      <c r="E1141" s="113"/>
      <c r="F1141" s="113"/>
      <c r="G1141" s="113"/>
    </row>
    <row r="1142" spans="2:7" x14ac:dyDescent="0.35">
      <c r="B1142" s="22"/>
      <c r="E1142" s="113"/>
      <c r="F1142" s="113"/>
      <c r="G1142" s="113"/>
    </row>
    <row r="1143" spans="2:7" x14ac:dyDescent="0.35">
      <c r="B1143" s="22"/>
      <c r="E1143" s="113"/>
      <c r="F1143" s="113"/>
      <c r="G1143" s="113"/>
    </row>
    <row r="1144" spans="2:7" x14ac:dyDescent="0.35">
      <c r="B1144" s="22"/>
      <c r="E1144" s="113"/>
      <c r="F1144" s="113"/>
      <c r="G1144" s="113"/>
    </row>
    <row r="1145" spans="2:7" x14ac:dyDescent="0.35">
      <c r="B1145" s="22"/>
      <c r="E1145" s="113"/>
      <c r="F1145" s="113"/>
      <c r="G1145" s="113"/>
    </row>
    <row r="1146" spans="2:7" x14ac:dyDescent="0.35">
      <c r="B1146" s="22"/>
      <c r="E1146" s="113"/>
      <c r="F1146" s="113"/>
      <c r="G1146" s="113"/>
    </row>
    <row r="1147" spans="2:7" x14ac:dyDescent="0.35">
      <c r="B1147" s="22"/>
      <c r="E1147" s="113"/>
      <c r="F1147" s="113"/>
      <c r="G1147" s="113"/>
    </row>
    <row r="1148" spans="2:7" x14ac:dyDescent="0.35">
      <c r="B1148" s="22"/>
      <c r="E1148" s="113"/>
      <c r="F1148" s="113"/>
      <c r="G1148" s="113"/>
    </row>
    <row r="1149" spans="2:7" x14ac:dyDescent="0.35">
      <c r="B1149" s="22"/>
      <c r="E1149" s="113"/>
      <c r="F1149" s="113"/>
      <c r="G1149" s="113"/>
    </row>
    <row r="1150" spans="2:7" x14ac:dyDescent="0.35">
      <c r="B1150" s="22"/>
      <c r="E1150" s="113"/>
      <c r="F1150" s="113"/>
      <c r="G1150" s="113"/>
    </row>
    <row r="1151" spans="2:7" x14ac:dyDescent="0.35">
      <c r="B1151" s="22"/>
      <c r="E1151" s="113"/>
      <c r="F1151" s="113"/>
      <c r="G1151" s="113"/>
    </row>
    <row r="1152" spans="2:7" x14ac:dyDescent="0.35">
      <c r="B1152" s="22"/>
      <c r="E1152" s="113"/>
      <c r="F1152" s="113"/>
      <c r="G1152" s="113"/>
    </row>
    <row r="1153" spans="2:7" x14ac:dyDescent="0.35">
      <c r="B1153" s="22"/>
      <c r="E1153" s="113"/>
      <c r="F1153" s="113"/>
      <c r="G1153" s="113"/>
    </row>
    <row r="1154" spans="2:7" x14ac:dyDescent="0.35">
      <c r="B1154" s="22"/>
      <c r="E1154" s="113"/>
      <c r="F1154" s="113"/>
      <c r="G1154" s="113"/>
    </row>
    <row r="1155" spans="2:7" x14ac:dyDescent="0.35">
      <c r="B1155" s="22"/>
      <c r="E1155" s="113"/>
      <c r="F1155" s="113"/>
      <c r="G1155" s="113"/>
    </row>
    <row r="1156" spans="2:7" x14ac:dyDescent="0.35">
      <c r="B1156" s="22"/>
      <c r="E1156" s="113"/>
      <c r="F1156" s="113"/>
      <c r="G1156" s="113"/>
    </row>
    <row r="1157" spans="2:7" x14ac:dyDescent="0.35">
      <c r="B1157" s="22"/>
      <c r="E1157" s="113"/>
      <c r="F1157" s="113"/>
      <c r="G1157" s="113"/>
    </row>
    <row r="1158" spans="2:7" x14ac:dyDescent="0.35">
      <c r="B1158" s="22"/>
      <c r="E1158" s="113"/>
      <c r="F1158" s="113"/>
      <c r="G1158" s="113"/>
    </row>
    <row r="1159" spans="2:7" x14ac:dyDescent="0.35">
      <c r="B1159" s="22"/>
      <c r="E1159" s="113"/>
      <c r="F1159" s="113"/>
      <c r="G1159" s="113"/>
    </row>
    <row r="1160" spans="2:7" x14ac:dyDescent="0.35">
      <c r="B1160" s="22"/>
      <c r="E1160" s="113"/>
      <c r="F1160" s="113"/>
      <c r="G1160" s="113"/>
    </row>
    <row r="1161" spans="2:7" x14ac:dyDescent="0.35">
      <c r="B1161" s="22"/>
      <c r="E1161" s="113"/>
      <c r="F1161" s="113"/>
      <c r="G1161" s="113"/>
    </row>
    <row r="1162" spans="2:7" x14ac:dyDescent="0.35">
      <c r="B1162" s="22"/>
      <c r="E1162" s="113"/>
      <c r="F1162" s="113"/>
      <c r="G1162" s="113"/>
    </row>
    <row r="1163" spans="2:7" x14ac:dyDescent="0.35">
      <c r="B1163" s="22"/>
      <c r="E1163" s="113"/>
      <c r="F1163" s="113"/>
      <c r="G1163" s="113"/>
    </row>
    <row r="1164" spans="2:7" x14ac:dyDescent="0.35">
      <c r="B1164" s="22"/>
      <c r="E1164" s="113"/>
      <c r="F1164" s="113"/>
      <c r="G1164" s="113"/>
    </row>
    <row r="1165" spans="2:7" x14ac:dyDescent="0.35">
      <c r="B1165" s="22"/>
      <c r="E1165" s="113"/>
      <c r="F1165" s="113"/>
      <c r="G1165" s="113"/>
    </row>
    <row r="1166" spans="2:7" x14ac:dyDescent="0.35">
      <c r="B1166" s="22"/>
      <c r="E1166" s="113"/>
      <c r="F1166" s="113"/>
      <c r="G1166" s="113"/>
    </row>
    <row r="1167" spans="2:7" x14ac:dyDescent="0.35">
      <c r="B1167" s="22"/>
      <c r="E1167" s="113"/>
      <c r="F1167" s="113"/>
      <c r="G1167" s="113"/>
    </row>
    <row r="1168" spans="2:7" x14ac:dyDescent="0.35">
      <c r="B1168" s="22"/>
      <c r="E1168" s="113"/>
      <c r="F1168" s="113"/>
      <c r="G1168" s="113"/>
    </row>
    <row r="1169" spans="2:7" x14ac:dyDescent="0.35">
      <c r="B1169" s="22"/>
      <c r="E1169" s="113"/>
      <c r="F1169" s="113"/>
      <c r="G1169" s="113"/>
    </row>
    <row r="1170" spans="2:7" x14ac:dyDescent="0.35">
      <c r="B1170" s="22"/>
      <c r="E1170" s="113"/>
      <c r="F1170" s="113"/>
      <c r="G1170" s="113"/>
    </row>
    <row r="1171" spans="2:7" x14ac:dyDescent="0.35">
      <c r="B1171" s="22"/>
      <c r="E1171" s="113"/>
      <c r="F1171" s="113"/>
      <c r="G1171" s="113"/>
    </row>
    <row r="1172" spans="2:7" x14ac:dyDescent="0.35">
      <c r="B1172" s="22"/>
      <c r="E1172" s="113"/>
      <c r="F1172" s="113"/>
      <c r="G1172" s="113"/>
    </row>
    <row r="1173" spans="2:7" x14ac:dyDescent="0.35">
      <c r="B1173" s="22"/>
      <c r="E1173" s="113"/>
      <c r="F1173" s="113"/>
      <c r="G1173" s="113"/>
    </row>
    <row r="1174" spans="2:7" x14ac:dyDescent="0.35">
      <c r="B1174" s="22"/>
      <c r="E1174" s="113"/>
      <c r="F1174" s="113"/>
      <c r="G1174" s="113"/>
    </row>
    <row r="1175" spans="2:7" x14ac:dyDescent="0.35">
      <c r="B1175" s="22"/>
      <c r="E1175" s="113"/>
      <c r="F1175" s="113"/>
      <c r="G1175" s="113"/>
    </row>
    <row r="1176" spans="2:7" x14ac:dyDescent="0.35">
      <c r="B1176" s="22"/>
      <c r="E1176" s="113"/>
      <c r="F1176" s="113"/>
      <c r="G1176" s="113"/>
    </row>
    <row r="1177" spans="2:7" x14ac:dyDescent="0.35">
      <c r="B1177" s="22"/>
      <c r="E1177" s="113"/>
      <c r="F1177" s="113"/>
      <c r="G1177" s="113"/>
    </row>
    <row r="1178" spans="2:7" x14ac:dyDescent="0.35">
      <c r="B1178" s="22"/>
      <c r="E1178" s="113"/>
      <c r="F1178" s="113"/>
      <c r="G1178" s="113"/>
    </row>
    <row r="1179" spans="2:7" x14ac:dyDescent="0.35">
      <c r="B1179" s="22"/>
      <c r="E1179" s="113"/>
      <c r="F1179" s="113"/>
      <c r="G1179" s="113"/>
    </row>
    <row r="1180" spans="2:7" x14ac:dyDescent="0.35">
      <c r="B1180" s="22"/>
      <c r="E1180" s="113"/>
      <c r="F1180" s="113"/>
      <c r="G1180" s="113"/>
    </row>
    <row r="1181" spans="2:7" x14ac:dyDescent="0.35">
      <c r="B1181" s="22"/>
      <c r="E1181" s="113"/>
      <c r="F1181" s="113"/>
      <c r="G1181" s="113"/>
    </row>
    <row r="1182" spans="2:7" x14ac:dyDescent="0.35">
      <c r="B1182" s="22"/>
      <c r="E1182" s="113"/>
      <c r="F1182" s="113"/>
      <c r="G1182" s="113"/>
    </row>
    <row r="1183" spans="2:7" x14ac:dyDescent="0.35">
      <c r="B1183" s="22"/>
      <c r="E1183" s="113"/>
      <c r="F1183" s="113"/>
      <c r="G1183" s="113"/>
    </row>
    <row r="1184" spans="2:7" x14ac:dyDescent="0.35">
      <c r="B1184" s="22"/>
      <c r="E1184" s="113"/>
      <c r="F1184" s="113"/>
      <c r="G1184" s="113"/>
    </row>
    <row r="1185" spans="2:7" x14ac:dyDescent="0.35">
      <c r="B1185" s="22"/>
      <c r="E1185" s="113"/>
      <c r="F1185" s="113"/>
      <c r="G1185" s="113"/>
    </row>
    <row r="1186" spans="2:7" x14ac:dyDescent="0.35">
      <c r="B1186" s="22"/>
      <c r="E1186" s="113"/>
      <c r="F1186" s="113"/>
      <c r="G1186" s="113"/>
    </row>
    <row r="1187" spans="2:7" x14ac:dyDescent="0.35">
      <c r="B1187" s="22"/>
      <c r="E1187" s="113"/>
      <c r="F1187" s="113"/>
      <c r="G1187" s="113"/>
    </row>
    <row r="1188" spans="2:7" x14ac:dyDescent="0.35">
      <c r="B1188" s="22"/>
      <c r="E1188" s="113"/>
      <c r="F1188" s="113"/>
      <c r="G1188" s="113"/>
    </row>
    <row r="1189" spans="2:7" x14ac:dyDescent="0.35">
      <c r="B1189" s="22"/>
      <c r="E1189" s="113"/>
      <c r="F1189" s="113"/>
      <c r="G1189" s="113"/>
    </row>
    <row r="1190" spans="2:7" x14ac:dyDescent="0.35">
      <c r="B1190" s="22"/>
      <c r="E1190" s="113"/>
      <c r="F1190" s="113"/>
      <c r="G1190" s="113"/>
    </row>
    <row r="1191" spans="2:7" x14ac:dyDescent="0.35">
      <c r="B1191" s="22"/>
      <c r="E1191" s="113"/>
      <c r="F1191" s="113"/>
      <c r="G1191" s="113"/>
    </row>
    <row r="1192" spans="2:7" x14ac:dyDescent="0.35">
      <c r="B1192" s="22"/>
      <c r="E1192" s="113"/>
      <c r="F1192" s="113"/>
      <c r="G1192" s="113"/>
    </row>
    <row r="1193" spans="2:7" x14ac:dyDescent="0.35">
      <c r="B1193" s="22"/>
      <c r="E1193" s="113"/>
      <c r="F1193" s="113"/>
      <c r="G1193" s="113"/>
    </row>
    <row r="1194" spans="2:7" x14ac:dyDescent="0.35">
      <c r="B1194" s="22"/>
      <c r="E1194" s="113"/>
      <c r="F1194" s="113"/>
      <c r="G1194" s="113"/>
    </row>
    <row r="1195" spans="2:7" x14ac:dyDescent="0.35">
      <c r="B1195" s="22"/>
      <c r="E1195" s="113"/>
      <c r="F1195" s="113"/>
      <c r="G1195" s="113"/>
    </row>
    <row r="1196" spans="2:7" x14ac:dyDescent="0.35">
      <c r="B1196" s="22"/>
      <c r="E1196" s="113"/>
      <c r="F1196" s="113"/>
      <c r="G1196" s="113"/>
    </row>
    <row r="1197" spans="2:7" x14ac:dyDescent="0.35">
      <c r="B1197" s="22"/>
      <c r="E1197" s="113"/>
      <c r="F1197" s="113"/>
      <c r="G1197" s="113"/>
    </row>
    <row r="1198" spans="2:7" x14ac:dyDescent="0.35">
      <c r="B1198" s="22"/>
      <c r="E1198" s="113"/>
      <c r="F1198" s="113"/>
      <c r="G1198" s="113"/>
    </row>
    <row r="1199" spans="2:7" x14ac:dyDescent="0.35">
      <c r="B1199" s="22"/>
      <c r="E1199" s="113"/>
      <c r="F1199" s="113"/>
      <c r="G1199" s="113"/>
    </row>
    <row r="1200" spans="2:7" x14ac:dyDescent="0.35">
      <c r="B1200" s="22"/>
      <c r="E1200" s="113"/>
      <c r="F1200" s="113"/>
      <c r="G1200" s="113"/>
    </row>
    <row r="1201" spans="2:7" x14ac:dyDescent="0.35">
      <c r="B1201" s="22"/>
      <c r="E1201" s="113"/>
      <c r="F1201" s="113"/>
      <c r="G1201" s="113"/>
    </row>
    <row r="1202" spans="2:7" x14ac:dyDescent="0.35">
      <c r="B1202" s="22"/>
      <c r="E1202" s="113"/>
      <c r="F1202" s="113"/>
      <c r="G1202" s="113"/>
    </row>
    <row r="1203" spans="2:7" x14ac:dyDescent="0.35">
      <c r="B1203" s="22"/>
      <c r="E1203" s="113"/>
      <c r="F1203" s="113"/>
      <c r="G1203" s="113"/>
    </row>
    <row r="1204" spans="2:7" x14ac:dyDescent="0.35">
      <c r="B1204" s="22"/>
      <c r="E1204" s="113"/>
      <c r="F1204" s="113"/>
      <c r="G1204" s="113"/>
    </row>
    <row r="1205" spans="2:7" x14ac:dyDescent="0.35">
      <c r="B1205" s="22"/>
      <c r="E1205" s="113"/>
      <c r="F1205" s="113"/>
      <c r="G1205" s="113"/>
    </row>
    <row r="1206" spans="2:7" x14ac:dyDescent="0.35">
      <c r="B1206" s="22"/>
      <c r="E1206" s="113"/>
      <c r="F1206" s="113"/>
      <c r="G1206" s="113"/>
    </row>
    <row r="1207" spans="2:7" x14ac:dyDescent="0.35">
      <c r="B1207" s="22"/>
      <c r="E1207" s="113"/>
      <c r="F1207" s="113"/>
      <c r="G1207" s="113"/>
    </row>
    <row r="1208" spans="2:7" x14ac:dyDescent="0.35">
      <c r="B1208" s="22"/>
      <c r="E1208" s="113"/>
      <c r="F1208" s="113"/>
      <c r="G1208" s="113"/>
    </row>
    <row r="1209" spans="2:7" x14ac:dyDescent="0.35">
      <c r="B1209" s="22"/>
      <c r="E1209" s="113"/>
      <c r="F1209" s="113"/>
      <c r="G1209" s="113"/>
    </row>
    <row r="1210" spans="2:7" x14ac:dyDescent="0.35">
      <c r="B1210" s="22"/>
      <c r="E1210" s="113"/>
      <c r="F1210" s="113"/>
      <c r="G1210" s="113"/>
    </row>
    <row r="1211" spans="2:7" x14ac:dyDescent="0.35">
      <c r="B1211" s="22"/>
      <c r="E1211" s="113"/>
      <c r="F1211" s="113"/>
      <c r="G1211" s="113"/>
    </row>
    <row r="1212" spans="2:7" x14ac:dyDescent="0.35">
      <c r="B1212" s="22"/>
      <c r="E1212" s="113"/>
      <c r="F1212" s="113"/>
      <c r="G1212" s="113"/>
    </row>
    <row r="1213" spans="2:7" x14ac:dyDescent="0.35">
      <c r="B1213" s="22"/>
      <c r="E1213" s="113"/>
      <c r="F1213" s="113"/>
      <c r="G1213" s="113"/>
    </row>
    <row r="1214" spans="2:7" x14ac:dyDescent="0.35">
      <c r="B1214" s="22"/>
      <c r="E1214" s="113"/>
      <c r="F1214" s="113"/>
      <c r="G1214" s="113"/>
    </row>
    <row r="1215" spans="2:7" x14ac:dyDescent="0.35">
      <c r="B1215" s="22"/>
      <c r="E1215" s="113"/>
      <c r="F1215" s="113"/>
      <c r="G1215" s="113"/>
    </row>
    <row r="1216" spans="2:7" x14ac:dyDescent="0.35">
      <c r="B1216" s="22"/>
      <c r="E1216" s="113"/>
      <c r="F1216" s="113"/>
      <c r="G1216" s="113"/>
    </row>
    <row r="1217" spans="2:7" x14ac:dyDescent="0.35">
      <c r="B1217" s="22"/>
      <c r="E1217" s="113"/>
      <c r="F1217" s="113"/>
      <c r="G1217" s="113"/>
    </row>
    <row r="1218" spans="2:7" x14ac:dyDescent="0.35">
      <c r="B1218" s="22"/>
      <c r="E1218" s="113"/>
      <c r="F1218" s="113"/>
      <c r="G1218" s="113"/>
    </row>
    <row r="1219" spans="2:7" x14ac:dyDescent="0.35">
      <c r="B1219" s="22"/>
      <c r="E1219" s="113"/>
      <c r="F1219" s="113"/>
      <c r="G1219" s="113"/>
    </row>
    <row r="1220" spans="2:7" x14ac:dyDescent="0.35">
      <c r="B1220" s="22"/>
      <c r="E1220" s="113"/>
      <c r="F1220" s="113"/>
      <c r="G1220" s="113"/>
    </row>
    <row r="1221" spans="2:7" x14ac:dyDescent="0.35">
      <c r="B1221" s="22"/>
      <c r="E1221" s="113"/>
      <c r="F1221" s="113"/>
      <c r="G1221" s="113"/>
    </row>
    <row r="1222" spans="2:7" x14ac:dyDescent="0.35">
      <c r="B1222" s="22"/>
      <c r="E1222" s="113"/>
      <c r="F1222" s="113"/>
      <c r="G1222" s="113"/>
    </row>
    <row r="1223" spans="2:7" x14ac:dyDescent="0.35">
      <c r="B1223" s="22"/>
      <c r="E1223" s="113"/>
      <c r="F1223" s="113"/>
      <c r="G1223" s="113"/>
    </row>
    <row r="1224" spans="2:7" x14ac:dyDescent="0.35">
      <c r="B1224" s="22"/>
      <c r="E1224" s="113"/>
      <c r="F1224" s="113"/>
      <c r="G1224" s="113"/>
    </row>
    <row r="1225" spans="2:7" x14ac:dyDescent="0.35">
      <c r="B1225" s="22"/>
      <c r="E1225" s="113"/>
      <c r="F1225" s="113"/>
      <c r="G1225" s="113"/>
    </row>
    <row r="1226" spans="2:7" x14ac:dyDescent="0.35">
      <c r="B1226" s="22"/>
      <c r="E1226" s="113"/>
      <c r="F1226" s="113"/>
      <c r="G1226" s="113"/>
    </row>
    <row r="1227" spans="2:7" x14ac:dyDescent="0.35">
      <c r="B1227" s="22"/>
      <c r="E1227" s="113"/>
      <c r="F1227" s="113"/>
      <c r="G1227" s="113"/>
    </row>
    <row r="1228" spans="2:7" x14ac:dyDescent="0.35">
      <c r="B1228" s="22"/>
      <c r="E1228" s="113"/>
      <c r="F1228" s="113"/>
      <c r="G1228" s="113"/>
    </row>
    <row r="1229" spans="2:7" x14ac:dyDescent="0.35">
      <c r="B1229" s="22"/>
      <c r="E1229" s="113"/>
      <c r="F1229" s="113"/>
      <c r="G1229" s="113"/>
    </row>
    <row r="1230" spans="2:7" x14ac:dyDescent="0.35">
      <c r="B1230" s="22"/>
      <c r="E1230" s="113"/>
      <c r="F1230" s="113"/>
      <c r="G1230" s="113"/>
    </row>
    <row r="1231" spans="2:7" x14ac:dyDescent="0.35">
      <c r="B1231" s="22"/>
      <c r="E1231" s="113"/>
      <c r="F1231" s="113"/>
      <c r="G1231" s="113"/>
    </row>
    <row r="1232" spans="2:7" x14ac:dyDescent="0.35">
      <c r="B1232" s="22"/>
      <c r="E1232" s="113"/>
      <c r="F1232" s="113"/>
      <c r="G1232" s="113"/>
    </row>
    <row r="1233" spans="2:7" x14ac:dyDescent="0.35">
      <c r="B1233" s="22"/>
      <c r="E1233" s="113"/>
      <c r="F1233" s="113"/>
      <c r="G1233" s="113"/>
    </row>
    <row r="1234" spans="2:7" x14ac:dyDescent="0.35">
      <c r="B1234" s="22"/>
      <c r="E1234" s="113"/>
      <c r="F1234" s="113"/>
      <c r="G1234" s="113"/>
    </row>
    <row r="1235" spans="2:7" x14ac:dyDescent="0.35">
      <c r="B1235" s="22"/>
      <c r="E1235" s="113"/>
      <c r="F1235" s="113"/>
      <c r="G1235" s="113"/>
    </row>
    <row r="1236" spans="2:7" x14ac:dyDescent="0.35">
      <c r="B1236" s="22"/>
      <c r="E1236" s="113"/>
      <c r="F1236" s="113"/>
      <c r="G1236" s="113"/>
    </row>
    <row r="1237" spans="2:7" x14ac:dyDescent="0.35">
      <c r="B1237" s="22"/>
      <c r="E1237" s="113"/>
      <c r="F1237" s="113"/>
      <c r="G1237" s="113"/>
    </row>
    <row r="1238" spans="2:7" x14ac:dyDescent="0.35">
      <c r="B1238" s="22"/>
      <c r="E1238" s="113"/>
      <c r="F1238" s="113"/>
      <c r="G1238" s="113"/>
    </row>
    <row r="1239" spans="2:7" x14ac:dyDescent="0.35">
      <c r="B1239" s="22"/>
      <c r="E1239" s="113"/>
      <c r="F1239" s="113"/>
      <c r="G1239" s="113"/>
    </row>
    <row r="1240" spans="2:7" x14ac:dyDescent="0.35">
      <c r="B1240" s="22"/>
      <c r="E1240" s="113"/>
      <c r="F1240" s="113"/>
      <c r="G1240" s="113"/>
    </row>
    <row r="1241" spans="2:7" x14ac:dyDescent="0.35">
      <c r="B1241" s="22"/>
      <c r="E1241" s="113"/>
      <c r="F1241" s="113"/>
      <c r="G1241" s="113"/>
    </row>
    <row r="1242" spans="2:7" x14ac:dyDescent="0.35">
      <c r="B1242" s="22"/>
      <c r="E1242" s="113"/>
      <c r="F1242" s="113"/>
      <c r="G1242" s="113"/>
    </row>
    <row r="1243" spans="2:7" x14ac:dyDescent="0.35">
      <c r="B1243" s="22"/>
      <c r="E1243" s="113"/>
      <c r="F1243" s="113"/>
      <c r="G1243" s="113"/>
    </row>
    <row r="1244" spans="2:7" x14ac:dyDescent="0.35">
      <c r="B1244" s="22"/>
      <c r="E1244" s="113"/>
      <c r="F1244" s="113"/>
      <c r="G1244" s="113"/>
    </row>
    <row r="1245" spans="2:7" x14ac:dyDescent="0.35">
      <c r="B1245" s="22"/>
      <c r="E1245" s="113"/>
      <c r="F1245" s="113"/>
      <c r="G1245" s="113"/>
    </row>
    <row r="1246" spans="2:7" x14ac:dyDescent="0.35">
      <c r="B1246" s="22"/>
      <c r="E1246" s="113"/>
      <c r="F1246" s="113"/>
      <c r="G1246" s="113"/>
    </row>
    <row r="1247" spans="2:7" x14ac:dyDescent="0.35">
      <c r="B1247" s="22"/>
      <c r="E1247" s="113"/>
      <c r="F1247" s="113"/>
      <c r="G1247" s="113"/>
    </row>
    <row r="1248" spans="2:7" x14ac:dyDescent="0.35">
      <c r="B1248" s="22"/>
      <c r="E1248" s="113"/>
      <c r="F1248" s="113"/>
      <c r="G1248" s="113"/>
    </row>
    <row r="1249" spans="2:7" x14ac:dyDescent="0.35">
      <c r="B1249" s="22"/>
      <c r="E1249" s="113"/>
      <c r="F1249" s="113"/>
      <c r="G1249" s="113"/>
    </row>
    <row r="1250" spans="2:7" x14ac:dyDescent="0.35">
      <c r="B1250" s="22"/>
      <c r="E1250" s="113"/>
      <c r="F1250" s="113"/>
      <c r="G1250" s="113"/>
    </row>
    <row r="1251" spans="2:7" x14ac:dyDescent="0.35">
      <c r="B1251" s="22"/>
      <c r="E1251" s="113"/>
      <c r="F1251" s="113"/>
      <c r="G1251" s="113"/>
    </row>
    <row r="1252" spans="2:7" x14ac:dyDescent="0.35">
      <c r="B1252" s="22"/>
      <c r="E1252" s="113"/>
      <c r="F1252" s="113"/>
      <c r="G1252" s="113"/>
    </row>
    <row r="1253" spans="2:7" x14ac:dyDescent="0.35">
      <c r="B1253" s="22"/>
      <c r="E1253" s="113"/>
      <c r="F1253" s="113"/>
      <c r="G1253" s="113"/>
    </row>
    <row r="1254" spans="2:7" x14ac:dyDescent="0.35">
      <c r="B1254" s="22"/>
      <c r="E1254" s="113"/>
      <c r="F1254" s="113"/>
      <c r="G1254" s="113"/>
    </row>
    <row r="1255" spans="2:7" x14ac:dyDescent="0.35">
      <c r="B1255" s="22"/>
      <c r="E1255" s="113"/>
      <c r="F1255" s="113"/>
      <c r="G1255" s="113"/>
    </row>
    <row r="1256" spans="2:7" x14ac:dyDescent="0.35">
      <c r="B1256" s="22"/>
      <c r="E1256" s="113"/>
      <c r="F1256" s="113"/>
      <c r="G1256" s="113"/>
    </row>
    <row r="1257" spans="2:7" x14ac:dyDescent="0.35">
      <c r="B1257" s="22"/>
      <c r="E1257" s="113"/>
      <c r="F1257" s="113"/>
      <c r="G1257" s="113"/>
    </row>
    <row r="1258" spans="2:7" x14ac:dyDescent="0.35">
      <c r="B1258" s="22"/>
      <c r="E1258" s="113"/>
      <c r="F1258" s="113"/>
      <c r="G1258" s="113"/>
    </row>
    <row r="1259" spans="2:7" x14ac:dyDescent="0.35">
      <c r="B1259" s="22"/>
      <c r="E1259" s="113"/>
      <c r="F1259" s="113"/>
      <c r="G1259" s="113"/>
    </row>
    <row r="1260" spans="2:7" x14ac:dyDescent="0.35">
      <c r="B1260" s="22"/>
      <c r="E1260" s="113"/>
      <c r="F1260" s="113"/>
      <c r="G1260" s="113"/>
    </row>
    <row r="1261" spans="2:7" x14ac:dyDescent="0.35">
      <c r="B1261" s="22"/>
      <c r="E1261" s="113"/>
      <c r="F1261" s="113"/>
      <c r="G1261" s="113"/>
    </row>
    <row r="1262" spans="2:7" x14ac:dyDescent="0.35">
      <c r="B1262" s="22"/>
      <c r="E1262" s="113"/>
      <c r="F1262" s="113"/>
      <c r="G1262" s="113"/>
    </row>
    <row r="1263" spans="2:7" x14ac:dyDescent="0.35">
      <c r="B1263" s="22"/>
      <c r="E1263" s="113"/>
      <c r="F1263" s="113"/>
      <c r="G1263" s="113"/>
    </row>
    <row r="1264" spans="2:7" x14ac:dyDescent="0.35">
      <c r="B1264" s="22"/>
      <c r="E1264" s="113"/>
      <c r="F1264" s="113"/>
      <c r="G1264" s="113"/>
    </row>
    <row r="1265" spans="2:7" x14ac:dyDescent="0.35">
      <c r="B1265" s="22"/>
      <c r="E1265" s="113"/>
      <c r="F1265" s="113"/>
      <c r="G1265" s="113"/>
    </row>
    <row r="1266" spans="2:7" x14ac:dyDescent="0.35">
      <c r="B1266" s="22"/>
      <c r="E1266" s="113"/>
      <c r="F1266" s="113"/>
      <c r="G1266" s="113"/>
    </row>
    <row r="1267" spans="2:7" x14ac:dyDescent="0.35">
      <c r="B1267" s="22"/>
      <c r="E1267" s="113"/>
      <c r="F1267" s="113"/>
      <c r="G1267" s="113"/>
    </row>
    <row r="1268" spans="2:7" x14ac:dyDescent="0.35">
      <c r="B1268" s="22"/>
      <c r="E1268" s="113"/>
      <c r="F1268" s="113"/>
      <c r="G1268" s="113"/>
    </row>
    <row r="1269" spans="2:7" x14ac:dyDescent="0.35">
      <c r="B1269" s="22"/>
      <c r="E1269" s="113"/>
      <c r="F1269" s="113"/>
      <c r="G1269" s="113"/>
    </row>
    <row r="1270" spans="2:7" x14ac:dyDescent="0.35">
      <c r="B1270" s="22"/>
      <c r="E1270" s="113"/>
      <c r="F1270" s="113"/>
      <c r="G1270" s="113"/>
    </row>
    <row r="1271" spans="2:7" x14ac:dyDescent="0.35">
      <c r="B1271" s="22"/>
      <c r="E1271" s="113"/>
      <c r="F1271" s="113"/>
      <c r="G1271" s="113"/>
    </row>
    <row r="1272" spans="2:7" x14ac:dyDescent="0.35">
      <c r="B1272" s="22"/>
      <c r="E1272" s="113"/>
      <c r="F1272" s="113"/>
      <c r="G1272" s="113"/>
    </row>
    <row r="1273" spans="2:7" x14ac:dyDescent="0.35">
      <c r="B1273" s="22"/>
      <c r="E1273" s="113"/>
      <c r="F1273" s="113"/>
      <c r="G1273" s="113"/>
    </row>
    <row r="1274" spans="2:7" x14ac:dyDescent="0.35">
      <c r="B1274" s="22"/>
      <c r="E1274" s="113"/>
      <c r="F1274" s="113"/>
      <c r="G1274" s="113"/>
    </row>
    <row r="1275" spans="2:7" x14ac:dyDescent="0.35">
      <c r="B1275" s="22"/>
      <c r="E1275" s="113"/>
      <c r="F1275" s="113"/>
      <c r="G1275" s="113"/>
    </row>
    <row r="1276" spans="2:7" x14ac:dyDescent="0.35">
      <c r="B1276" s="22"/>
      <c r="E1276" s="113"/>
      <c r="F1276" s="113"/>
      <c r="G1276" s="113"/>
    </row>
    <row r="1277" spans="2:7" x14ac:dyDescent="0.35">
      <c r="B1277" s="22"/>
      <c r="E1277" s="113"/>
      <c r="F1277" s="113"/>
      <c r="G1277" s="113"/>
    </row>
    <row r="1278" spans="2:7" x14ac:dyDescent="0.35">
      <c r="B1278" s="22"/>
      <c r="E1278" s="113"/>
      <c r="F1278" s="113"/>
      <c r="G1278" s="113"/>
    </row>
    <row r="1279" spans="2:7" x14ac:dyDescent="0.35">
      <c r="B1279" s="22"/>
      <c r="E1279" s="113"/>
      <c r="F1279" s="113"/>
      <c r="G1279" s="113"/>
    </row>
    <row r="1280" spans="2:7" x14ac:dyDescent="0.35">
      <c r="B1280" s="22"/>
      <c r="E1280" s="113"/>
      <c r="F1280" s="113"/>
      <c r="G1280" s="113"/>
    </row>
    <row r="1281" spans="2:7" x14ac:dyDescent="0.35">
      <c r="B1281" s="22"/>
      <c r="E1281" s="113"/>
      <c r="F1281" s="113"/>
      <c r="G1281" s="113"/>
    </row>
    <row r="1282" spans="2:7" x14ac:dyDescent="0.35">
      <c r="B1282" s="22"/>
      <c r="E1282" s="113"/>
      <c r="F1282" s="113"/>
      <c r="G1282" s="113"/>
    </row>
    <row r="1283" spans="2:7" x14ac:dyDescent="0.35">
      <c r="B1283" s="22"/>
      <c r="E1283" s="113"/>
      <c r="F1283" s="113"/>
      <c r="G1283" s="113"/>
    </row>
    <row r="1284" spans="2:7" x14ac:dyDescent="0.35">
      <c r="B1284" s="22"/>
      <c r="E1284" s="113"/>
      <c r="F1284" s="113"/>
      <c r="G1284" s="113"/>
    </row>
    <row r="1285" spans="2:7" x14ac:dyDescent="0.35">
      <c r="B1285" s="22"/>
      <c r="E1285" s="113"/>
      <c r="F1285" s="113"/>
      <c r="G1285" s="113"/>
    </row>
    <row r="1286" spans="2:7" x14ac:dyDescent="0.35">
      <c r="B1286" s="22"/>
      <c r="E1286" s="113"/>
      <c r="F1286" s="113"/>
      <c r="G1286" s="113"/>
    </row>
    <row r="1287" spans="2:7" x14ac:dyDescent="0.35">
      <c r="B1287" s="22"/>
      <c r="E1287" s="113"/>
      <c r="F1287" s="113"/>
      <c r="G1287" s="113"/>
    </row>
    <row r="1288" spans="2:7" x14ac:dyDescent="0.35">
      <c r="B1288" s="22"/>
      <c r="E1288" s="113"/>
      <c r="F1288" s="113"/>
      <c r="G1288" s="113"/>
    </row>
    <row r="1289" spans="2:7" x14ac:dyDescent="0.35">
      <c r="B1289" s="22"/>
      <c r="E1289" s="113"/>
      <c r="F1289" s="113"/>
      <c r="G1289" s="113"/>
    </row>
    <row r="1290" spans="2:7" x14ac:dyDescent="0.35">
      <c r="B1290" s="22"/>
      <c r="E1290" s="113"/>
      <c r="F1290" s="113"/>
      <c r="G1290" s="113"/>
    </row>
    <row r="1291" spans="2:7" x14ac:dyDescent="0.35">
      <c r="B1291" s="22"/>
      <c r="E1291" s="113"/>
      <c r="F1291" s="113"/>
      <c r="G1291" s="113"/>
    </row>
    <row r="1292" spans="2:7" x14ac:dyDescent="0.35">
      <c r="B1292" s="22"/>
      <c r="E1292" s="113"/>
      <c r="F1292" s="113"/>
      <c r="G1292" s="113"/>
    </row>
    <row r="1293" spans="2:7" x14ac:dyDescent="0.35">
      <c r="B1293" s="22"/>
      <c r="E1293" s="113"/>
      <c r="F1293" s="113"/>
      <c r="G1293" s="113"/>
    </row>
    <row r="1294" spans="2:7" x14ac:dyDescent="0.35">
      <c r="B1294" s="22"/>
      <c r="E1294" s="113"/>
      <c r="F1294" s="113"/>
      <c r="G1294" s="113"/>
    </row>
    <row r="1295" spans="2:7" x14ac:dyDescent="0.35">
      <c r="B1295" s="22"/>
      <c r="E1295" s="113"/>
      <c r="F1295" s="113"/>
      <c r="G1295" s="113"/>
    </row>
    <row r="1296" spans="2:7" x14ac:dyDescent="0.35">
      <c r="B1296" s="22"/>
      <c r="E1296" s="113"/>
      <c r="F1296" s="113"/>
      <c r="G1296" s="113"/>
    </row>
    <row r="1297" spans="2:7" x14ac:dyDescent="0.35">
      <c r="B1297" s="22"/>
      <c r="E1297" s="113"/>
      <c r="F1297" s="113"/>
      <c r="G1297" s="113"/>
    </row>
    <row r="1298" spans="2:7" x14ac:dyDescent="0.35">
      <c r="B1298" s="22"/>
      <c r="E1298" s="113"/>
      <c r="F1298" s="113"/>
      <c r="G1298" s="113"/>
    </row>
    <row r="1299" spans="2:7" x14ac:dyDescent="0.35">
      <c r="B1299" s="22"/>
      <c r="E1299" s="113"/>
      <c r="F1299" s="113"/>
      <c r="G1299" s="113"/>
    </row>
    <row r="1300" spans="2:7" x14ac:dyDescent="0.35">
      <c r="B1300" s="22"/>
      <c r="E1300" s="113"/>
      <c r="F1300" s="113"/>
      <c r="G1300" s="113"/>
    </row>
    <row r="1301" spans="2:7" x14ac:dyDescent="0.35">
      <c r="B1301" s="22"/>
      <c r="E1301" s="113"/>
      <c r="F1301" s="113"/>
      <c r="G1301" s="113"/>
    </row>
    <row r="1302" spans="2:7" x14ac:dyDescent="0.35">
      <c r="B1302" s="22"/>
      <c r="E1302" s="113"/>
      <c r="F1302" s="113"/>
      <c r="G1302" s="113"/>
    </row>
    <row r="1303" spans="2:7" x14ac:dyDescent="0.35">
      <c r="B1303" s="22"/>
      <c r="E1303" s="113"/>
      <c r="F1303" s="113"/>
      <c r="G1303" s="113"/>
    </row>
    <row r="1304" spans="2:7" x14ac:dyDescent="0.35">
      <c r="B1304" s="22"/>
      <c r="E1304" s="113"/>
      <c r="F1304" s="113"/>
      <c r="G1304" s="113"/>
    </row>
    <row r="1305" spans="2:7" x14ac:dyDescent="0.35">
      <c r="B1305" s="22"/>
      <c r="E1305" s="113"/>
      <c r="F1305" s="113"/>
      <c r="G1305" s="113"/>
    </row>
    <row r="1306" spans="2:7" x14ac:dyDescent="0.35">
      <c r="B1306" s="22"/>
      <c r="E1306" s="113"/>
      <c r="F1306" s="113"/>
      <c r="G1306" s="113"/>
    </row>
    <row r="1307" spans="2:7" x14ac:dyDescent="0.35">
      <c r="B1307" s="22"/>
      <c r="E1307" s="113"/>
      <c r="F1307" s="113"/>
      <c r="G1307" s="113"/>
    </row>
    <row r="1308" spans="2:7" x14ac:dyDescent="0.35">
      <c r="B1308" s="22"/>
      <c r="E1308" s="113"/>
      <c r="F1308" s="113"/>
      <c r="G1308" s="113"/>
    </row>
    <row r="1309" spans="2:7" x14ac:dyDescent="0.35">
      <c r="B1309" s="22"/>
      <c r="E1309" s="113"/>
      <c r="F1309" s="113"/>
      <c r="G1309" s="113"/>
    </row>
    <row r="1310" spans="2:7" x14ac:dyDescent="0.35">
      <c r="B1310" s="22"/>
      <c r="E1310" s="113"/>
      <c r="F1310" s="113"/>
      <c r="G1310" s="113"/>
    </row>
    <row r="1311" spans="2:7" x14ac:dyDescent="0.35">
      <c r="B1311" s="22"/>
      <c r="E1311" s="113"/>
      <c r="F1311" s="113"/>
      <c r="G1311" s="113"/>
    </row>
    <row r="1312" spans="2:7" x14ac:dyDescent="0.35">
      <c r="B1312" s="22"/>
      <c r="E1312" s="113"/>
      <c r="F1312" s="113"/>
      <c r="G1312" s="113"/>
    </row>
    <row r="1313" spans="2:7" x14ac:dyDescent="0.35">
      <c r="B1313" s="22"/>
      <c r="E1313" s="113"/>
      <c r="F1313" s="113"/>
      <c r="G1313" s="113"/>
    </row>
    <row r="1314" spans="2:7" x14ac:dyDescent="0.35">
      <c r="B1314" s="22"/>
      <c r="E1314" s="113"/>
      <c r="F1314" s="113"/>
      <c r="G1314" s="113"/>
    </row>
    <row r="1315" spans="2:7" x14ac:dyDescent="0.35">
      <c r="B1315" s="22"/>
      <c r="E1315" s="113"/>
      <c r="F1315" s="113"/>
      <c r="G1315" s="113"/>
    </row>
    <row r="1316" spans="2:7" x14ac:dyDescent="0.35">
      <c r="B1316" s="22"/>
      <c r="E1316" s="113"/>
      <c r="F1316" s="113"/>
      <c r="G1316" s="113"/>
    </row>
    <row r="1317" spans="2:7" x14ac:dyDescent="0.35">
      <c r="B1317" s="22"/>
      <c r="E1317" s="113"/>
      <c r="F1317" s="113"/>
      <c r="G1317" s="113"/>
    </row>
    <row r="1318" spans="2:7" x14ac:dyDescent="0.35">
      <c r="B1318" s="22"/>
      <c r="E1318" s="113"/>
      <c r="F1318" s="113"/>
      <c r="G1318" s="113"/>
    </row>
    <row r="1319" spans="2:7" x14ac:dyDescent="0.35">
      <c r="B1319" s="22"/>
      <c r="E1319" s="113"/>
      <c r="F1319" s="113"/>
      <c r="G1319" s="113"/>
    </row>
    <row r="1320" spans="2:7" x14ac:dyDescent="0.35">
      <c r="B1320" s="22"/>
      <c r="E1320" s="113"/>
      <c r="F1320" s="113"/>
      <c r="G1320" s="113"/>
    </row>
    <row r="1321" spans="2:7" x14ac:dyDescent="0.35">
      <c r="B1321" s="22"/>
      <c r="E1321" s="113"/>
      <c r="F1321" s="113"/>
      <c r="G1321" s="113"/>
    </row>
    <row r="1322" spans="2:7" x14ac:dyDescent="0.35">
      <c r="B1322" s="22"/>
      <c r="E1322" s="113"/>
      <c r="F1322" s="113"/>
      <c r="G1322" s="113"/>
    </row>
    <row r="1323" spans="2:7" x14ac:dyDescent="0.35">
      <c r="B1323" s="22"/>
      <c r="E1323" s="113"/>
      <c r="F1323" s="113"/>
      <c r="G1323" s="113"/>
    </row>
    <row r="1324" spans="2:7" x14ac:dyDescent="0.35">
      <c r="B1324" s="22"/>
      <c r="E1324" s="113"/>
      <c r="F1324" s="113"/>
      <c r="G1324" s="113"/>
    </row>
    <row r="1325" spans="2:7" x14ac:dyDescent="0.35">
      <c r="B1325" s="22"/>
      <c r="E1325" s="113"/>
      <c r="F1325" s="113"/>
      <c r="G1325" s="113"/>
    </row>
    <row r="1326" spans="2:7" x14ac:dyDescent="0.35">
      <c r="B1326" s="22"/>
      <c r="E1326" s="113"/>
      <c r="F1326" s="113"/>
      <c r="G1326" s="113"/>
    </row>
    <row r="1327" spans="2:7" x14ac:dyDescent="0.35">
      <c r="B1327" s="22"/>
      <c r="E1327" s="113"/>
      <c r="F1327" s="113"/>
      <c r="G1327" s="113"/>
    </row>
    <row r="1328" spans="2:7" x14ac:dyDescent="0.35">
      <c r="B1328" s="22"/>
      <c r="E1328" s="113"/>
      <c r="F1328" s="113"/>
      <c r="G1328" s="113"/>
    </row>
    <row r="1329" spans="2:7" x14ac:dyDescent="0.35">
      <c r="B1329" s="22"/>
      <c r="E1329" s="113"/>
      <c r="F1329" s="113"/>
      <c r="G1329" s="113"/>
    </row>
    <row r="1330" spans="2:7" x14ac:dyDescent="0.35">
      <c r="B1330" s="22"/>
      <c r="E1330" s="113"/>
      <c r="F1330" s="113"/>
      <c r="G1330" s="113"/>
    </row>
    <row r="1331" spans="2:7" x14ac:dyDescent="0.35">
      <c r="B1331" s="22"/>
      <c r="E1331" s="113"/>
      <c r="F1331" s="113"/>
      <c r="G1331" s="113"/>
    </row>
    <row r="1332" spans="2:7" x14ac:dyDescent="0.35">
      <c r="B1332" s="22"/>
      <c r="E1332" s="113"/>
      <c r="F1332" s="113"/>
      <c r="G1332" s="113"/>
    </row>
    <row r="1333" spans="2:7" x14ac:dyDescent="0.35">
      <c r="B1333" s="22"/>
      <c r="E1333" s="113"/>
      <c r="F1333" s="113"/>
      <c r="G1333" s="113"/>
    </row>
    <row r="1334" spans="2:7" x14ac:dyDescent="0.35">
      <c r="B1334" s="22"/>
      <c r="E1334" s="113"/>
      <c r="F1334" s="113"/>
      <c r="G1334" s="113"/>
    </row>
    <row r="1335" spans="2:7" x14ac:dyDescent="0.35">
      <c r="B1335" s="22"/>
      <c r="E1335" s="113"/>
      <c r="F1335" s="113"/>
      <c r="G1335" s="113"/>
    </row>
    <row r="1336" spans="2:7" x14ac:dyDescent="0.35">
      <c r="B1336" s="22"/>
      <c r="E1336" s="113"/>
      <c r="F1336" s="113"/>
      <c r="G1336" s="113"/>
    </row>
    <row r="1337" spans="2:7" x14ac:dyDescent="0.35">
      <c r="B1337" s="22"/>
      <c r="E1337" s="113"/>
      <c r="F1337" s="113"/>
      <c r="G1337" s="113"/>
    </row>
    <row r="1338" spans="2:7" x14ac:dyDescent="0.35">
      <c r="B1338" s="22"/>
      <c r="E1338" s="113"/>
      <c r="F1338" s="113"/>
      <c r="G1338" s="113"/>
    </row>
    <row r="1339" spans="2:7" x14ac:dyDescent="0.35">
      <c r="B1339" s="22"/>
      <c r="E1339" s="113"/>
      <c r="F1339" s="113"/>
      <c r="G1339" s="113"/>
    </row>
    <row r="1340" spans="2:7" x14ac:dyDescent="0.35">
      <c r="B1340" s="22"/>
      <c r="E1340" s="113"/>
      <c r="F1340" s="113"/>
      <c r="G1340" s="113"/>
    </row>
    <row r="1341" spans="2:7" x14ac:dyDescent="0.35">
      <c r="B1341" s="22"/>
      <c r="E1341" s="113"/>
      <c r="F1341" s="113"/>
      <c r="G1341" s="113"/>
    </row>
    <row r="1342" spans="2:7" x14ac:dyDescent="0.35">
      <c r="B1342" s="22"/>
      <c r="E1342" s="113"/>
      <c r="F1342" s="113"/>
      <c r="G1342" s="113"/>
    </row>
    <row r="1343" spans="2:7" x14ac:dyDescent="0.35">
      <c r="B1343" s="22"/>
      <c r="E1343" s="113"/>
      <c r="F1343" s="113"/>
      <c r="G1343" s="113"/>
    </row>
    <row r="1344" spans="2:7" x14ac:dyDescent="0.35">
      <c r="B1344" s="22"/>
      <c r="E1344" s="113"/>
      <c r="F1344" s="113"/>
      <c r="G1344" s="113"/>
    </row>
    <row r="1345" spans="2:7" x14ac:dyDescent="0.35">
      <c r="B1345" s="22"/>
      <c r="E1345" s="113"/>
      <c r="F1345" s="113"/>
      <c r="G1345" s="113"/>
    </row>
    <row r="1346" spans="2:7" x14ac:dyDescent="0.35">
      <c r="B1346" s="22"/>
      <c r="E1346" s="113"/>
      <c r="F1346" s="113"/>
      <c r="G1346" s="113"/>
    </row>
    <row r="1347" spans="2:7" x14ac:dyDescent="0.35">
      <c r="B1347" s="22"/>
      <c r="E1347" s="113"/>
      <c r="F1347" s="113"/>
      <c r="G1347" s="113"/>
    </row>
    <row r="1348" spans="2:7" x14ac:dyDescent="0.35">
      <c r="B1348" s="22"/>
      <c r="E1348" s="113"/>
      <c r="F1348" s="113"/>
      <c r="G1348" s="113"/>
    </row>
    <row r="1349" spans="2:7" x14ac:dyDescent="0.35">
      <c r="B1349" s="22"/>
      <c r="E1349" s="113"/>
      <c r="F1349" s="113"/>
      <c r="G1349" s="113"/>
    </row>
    <row r="1350" spans="2:7" x14ac:dyDescent="0.35">
      <c r="B1350" s="22"/>
      <c r="E1350" s="113"/>
      <c r="F1350" s="113"/>
      <c r="G1350" s="113"/>
    </row>
    <row r="1351" spans="2:7" x14ac:dyDescent="0.35">
      <c r="B1351" s="22"/>
      <c r="E1351" s="113"/>
      <c r="F1351" s="113"/>
      <c r="G1351" s="113"/>
    </row>
    <row r="1352" spans="2:7" x14ac:dyDescent="0.35">
      <c r="B1352" s="22"/>
      <c r="E1352" s="113"/>
      <c r="F1352" s="113"/>
      <c r="G1352" s="113"/>
    </row>
    <row r="1353" spans="2:7" x14ac:dyDescent="0.35">
      <c r="B1353" s="22"/>
      <c r="E1353" s="113"/>
      <c r="F1353" s="113"/>
      <c r="G1353" s="113"/>
    </row>
    <row r="1354" spans="2:7" x14ac:dyDescent="0.35">
      <c r="B1354" s="22"/>
      <c r="E1354" s="113"/>
      <c r="F1354" s="113"/>
      <c r="G1354" s="113"/>
    </row>
    <row r="1355" spans="2:7" x14ac:dyDescent="0.35">
      <c r="B1355" s="22"/>
      <c r="E1355" s="113"/>
      <c r="F1355" s="113"/>
      <c r="G1355" s="113"/>
    </row>
    <row r="1356" spans="2:7" x14ac:dyDescent="0.35">
      <c r="B1356" s="22"/>
      <c r="E1356" s="113"/>
      <c r="F1356" s="113"/>
      <c r="G1356" s="113"/>
    </row>
    <row r="1357" spans="2:7" x14ac:dyDescent="0.35">
      <c r="B1357" s="22"/>
      <c r="E1357" s="113"/>
      <c r="F1357" s="113"/>
      <c r="G1357" s="113"/>
    </row>
    <row r="1358" spans="2:7" x14ac:dyDescent="0.35">
      <c r="B1358" s="22"/>
      <c r="E1358" s="113"/>
      <c r="F1358" s="113"/>
      <c r="G1358" s="113"/>
    </row>
    <row r="1359" spans="2:7" x14ac:dyDescent="0.35">
      <c r="B1359" s="22"/>
      <c r="E1359" s="113"/>
      <c r="F1359" s="113"/>
      <c r="G1359" s="113"/>
    </row>
    <row r="1360" spans="2:7" x14ac:dyDescent="0.35">
      <c r="B1360" s="22"/>
      <c r="E1360" s="113"/>
      <c r="F1360" s="113"/>
      <c r="G1360" s="113"/>
    </row>
    <row r="1361" spans="2:7" x14ac:dyDescent="0.35">
      <c r="B1361" s="22"/>
      <c r="E1361" s="113"/>
      <c r="F1361" s="113"/>
      <c r="G1361" s="113"/>
    </row>
    <row r="1362" spans="2:7" x14ac:dyDescent="0.35">
      <c r="B1362" s="22"/>
      <c r="E1362" s="113"/>
      <c r="F1362" s="113"/>
      <c r="G1362" s="113"/>
    </row>
    <row r="1363" spans="2:7" x14ac:dyDescent="0.35">
      <c r="B1363" s="22"/>
      <c r="E1363" s="113"/>
      <c r="F1363" s="113"/>
      <c r="G1363" s="113"/>
    </row>
    <row r="1364" spans="2:7" x14ac:dyDescent="0.35">
      <c r="B1364" s="22"/>
      <c r="E1364" s="113"/>
      <c r="F1364" s="113"/>
      <c r="G1364" s="113"/>
    </row>
    <row r="1365" spans="2:7" x14ac:dyDescent="0.35">
      <c r="B1365" s="22"/>
      <c r="E1365" s="113"/>
      <c r="F1365" s="113"/>
      <c r="G1365" s="113"/>
    </row>
    <row r="1366" spans="2:7" x14ac:dyDescent="0.35">
      <c r="B1366" s="22"/>
      <c r="E1366" s="113"/>
      <c r="F1366" s="113"/>
      <c r="G1366" s="113"/>
    </row>
    <row r="1367" spans="2:7" x14ac:dyDescent="0.35">
      <c r="B1367" s="22"/>
      <c r="E1367" s="113"/>
      <c r="F1367" s="113"/>
      <c r="G1367" s="113"/>
    </row>
    <row r="1368" spans="2:7" x14ac:dyDescent="0.35">
      <c r="B1368" s="22"/>
      <c r="E1368" s="113"/>
      <c r="F1368" s="113"/>
      <c r="G1368" s="113"/>
    </row>
    <row r="1369" spans="2:7" x14ac:dyDescent="0.35">
      <c r="B1369" s="22"/>
      <c r="E1369" s="113"/>
      <c r="F1369" s="113"/>
      <c r="G1369" s="113"/>
    </row>
    <row r="1370" spans="2:7" x14ac:dyDescent="0.35">
      <c r="B1370" s="22"/>
      <c r="E1370" s="113"/>
      <c r="F1370" s="113"/>
      <c r="G1370" s="113"/>
    </row>
    <row r="1371" spans="2:7" x14ac:dyDescent="0.35">
      <c r="B1371" s="22"/>
      <c r="E1371" s="113"/>
      <c r="F1371" s="113"/>
      <c r="G1371" s="113"/>
    </row>
    <row r="1372" spans="2:7" x14ac:dyDescent="0.35">
      <c r="B1372" s="22"/>
      <c r="E1372" s="113"/>
      <c r="F1372" s="113"/>
      <c r="G1372" s="113"/>
    </row>
    <row r="1373" spans="2:7" x14ac:dyDescent="0.35">
      <c r="B1373" s="22"/>
      <c r="E1373" s="113"/>
      <c r="F1373" s="113"/>
      <c r="G1373" s="113"/>
    </row>
    <row r="1374" spans="2:7" x14ac:dyDescent="0.35">
      <c r="B1374" s="22"/>
      <c r="E1374" s="113"/>
      <c r="F1374" s="113"/>
      <c r="G1374" s="113"/>
    </row>
    <row r="1375" spans="2:7" x14ac:dyDescent="0.35">
      <c r="B1375" s="22"/>
      <c r="E1375" s="113"/>
      <c r="F1375" s="113"/>
      <c r="G1375" s="113"/>
    </row>
    <row r="1376" spans="2:7" x14ac:dyDescent="0.35">
      <c r="B1376" s="22"/>
      <c r="E1376" s="113"/>
      <c r="F1376" s="113"/>
      <c r="G1376" s="113"/>
    </row>
    <row r="1377" spans="2:7" x14ac:dyDescent="0.35">
      <c r="B1377" s="22"/>
      <c r="E1377" s="113"/>
      <c r="F1377" s="113"/>
      <c r="G1377" s="113"/>
    </row>
    <row r="1378" spans="2:7" x14ac:dyDescent="0.35">
      <c r="B1378" s="22"/>
      <c r="E1378" s="113"/>
      <c r="F1378" s="113"/>
      <c r="G1378" s="113"/>
    </row>
    <row r="1379" spans="2:7" x14ac:dyDescent="0.35">
      <c r="B1379" s="22"/>
      <c r="E1379" s="113"/>
      <c r="F1379" s="113"/>
      <c r="G1379" s="113"/>
    </row>
    <row r="1380" spans="2:7" x14ac:dyDescent="0.35">
      <c r="B1380" s="22"/>
      <c r="E1380" s="113"/>
      <c r="F1380" s="113"/>
      <c r="G1380" s="113"/>
    </row>
    <row r="1381" spans="2:7" x14ac:dyDescent="0.35">
      <c r="B1381" s="22"/>
      <c r="E1381" s="113"/>
      <c r="F1381" s="113"/>
      <c r="G1381" s="113"/>
    </row>
    <row r="1382" spans="2:7" x14ac:dyDescent="0.35">
      <c r="B1382" s="22"/>
      <c r="E1382" s="113"/>
      <c r="F1382" s="113"/>
      <c r="G1382" s="113"/>
    </row>
    <row r="1383" spans="2:7" x14ac:dyDescent="0.35">
      <c r="B1383" s="22"/>
      <c r="E1383" s="113"/>
      <c r="F1383" s="113"/>
      <c r="G1383" s="113"/>
    </row>
    <row r="1384" spans="2:7" x14ac:dyDescent="0.35">
      <c r="B1384" s="22"/>
      <c r="E1384" s="113"/>
      <c r="F1384" s="113"/>
      <c r="G1384" s="113"/>
    </row>
    <row r="1385" spans="2:7" x14ac:dyDescent="0.35">
      <c r="B1385" s="22"/>
      <c r="E1385" s="113"/>
      <c r="F1385" s="113"/>
      <c r="G1385" s="113"/>
    </row>
    <row r="1386" spans="2:7" x14ac:dyDescent="0.35">
      <c r="B1386" s="22"/>
      <c r="E1386" s="113"/>
      <c r="F1386" s="113"/>
      <c r="G1386" s="113"/>
    </row>
    <row r="1387" spans="2:7" x14ac:dyDescent="0.35">
      <c r="B1387" s="22"/>
      <c r="E1387" s="113"/>
      <c r="F1387" s="113"/>
      <c r="G1387" s="113"/>
    </row>
    <row r="1388" spans="2:7" x14ac:dyDescent="0.35">
      <c r="B1388" s="22"/>
      <c r="E1388" s="113"/>
      <c r="F1388" s="113"/>
      <c r="G1388" s="113"/>
    </row>
    <row r="1389" spans="2:7" x14ac:dyDescent="0.35">
      <c r="B1389" s="22"/>
      <c r="E1389" s="113"/>
      <c r="F1389" s="113"/>
      <c r="G1389" s="113"/>
    </row>
    <row r="1390" spans="2:7" x14ac:dyDescent="0.35">
      <c r="B1390" s="22"/>
      <c r="E1390" s="113"/>
      <c r="F1390" s="113"/>
      <c r="G1390" s="113"/>
    </row>
    <row r="1391" spans="2:7" x14ac:dyDescent="0.35">
      <c r="B1391" s="22"/>
      <c r="E1391" s="113"/>
      <c r="F1391" s="113"/>
      <c r="G1391" s="113"/>
    </row>
    <row r="1392" spans="2:7" x14ac:dyDescent="0.35">
      <c r="B1392" s="22"/>
      <c r="E1392" s="113"/>
      <c r="F1392" s="113"/>
      <c r="G1392" s="113"/>
    </row>
    <row r="1393" spans="2:7" x14ac:dyDescent="0.35">
      <c r="B1393" s="22"/>
      <c r="E1393" s="113"/>
      <c r="F1393" s="113"/>
      <c r="G1393" s="113"/>
    </row>
    <row r="1394" spans="2:7" x14ac:dyDescent="0.35">
      <c r="B1394" s="22"/>
      <c r="E1394" s="113"/>
      <c r="F1394" s="113"/>
      <c r="G1394" s="113"/>
    </row>
    <row r="1395" spans="2:7" x14ac:dyDescent="0.35">
      <c r="B1395" s="22"/>
      <c r="E1395" s="113"/>
      <c r="F1395" s="113"/>
      <c r="G1395" s="113"/>
    </row>
    <row r="1396" spans="2:7" x14ac:dyDescent="0.35">
      <c r="B1396" s="22"/>
      <c r="E1396" s="113"/>
      <c r="F1396" s="113"/>
      <c r="G1396" s="113"/>
    </row>
    <row r="1397" spans="2:7" x14ac:dyDescent="0.35">
      <c r="B1397" s="22"/>
      <c r="E1397" s="113"/>
      <c r="F1397" s="113"/>
      <c r="G1397" s="113"/>
    </row>
    <row r="1398" spans="2:7" x14ac:dyDescent="0.35">
      <c r="B1398" s="22"/>
      <c r="E1398" s="113"/>
      <c r="F1398" s="113"/>
      <c r="G1398" s="113"/>
    </row>
    <row r="1399" spans="2:7" x14ac:dyDescent="0.35">
      <c r="B1399" s="22"/>
      <c r="E1399" s="113"/>
      <c r="F1399" s="113"/>
      <c r="G1399" s="113"/>
    </row>
    <row r="1400" spans="2:7" x14ac:dyDescent="0.35">
      <c r="B1400" s="22"/>
      <c r="E1400" s="113"/>
      <c r="F1400" s="113"/>
      <c r="G1400" s="113"/>
    </row>
    <row r="1401" spans="2:7" x14ac:dyDescent="0.35">
      <c r="B1401" s="22"/>
      <c r="E1401" s="113"/>
      <c r="F1401" s="113"/>
      <c r="G1401" s="113"/>
    </row>
    <row r="1402" spans="2:7" x14ac:dyDescent="0.35">
      <c r="B1402" s="22"/>
      <c r="E1402" s="113"/>
      <c r="F1402" s="113"/>
      <c r="G1402" s="113"/>
    </row>
    <row r="1403" spans="2:7" x14ac:dyDescent="0.35">
      <c r="B1403" s="22"/>
      <c r="E1403" s="113"/>
      <c r="F1403" s="113"/>
      <c r="G1403" s="113"/>
    </row>
    <row r="1404" spans="2:7" x14ac:dyDescent="0.35">
      <c r="B1404" s="22"/>
      <c r="E1404" s="113"/>
      <c r="F1404" s="113"/>
      <c r="G1404" s="113"/>
    </row>
    <row r="1405" spans="2:7" x14ac:dyDescent="0.35">
      <c r="B1405" s="22"/>
      <c r="E1405" s="113"/>
      <c r="F1405" s="113"/>
      <c r="G1405" s="113"/>
    </row>
    <row r="1406" spans="2:7" x14ac:dyDescent="0.35">
      <c r="B1406" s="22"/>
      <c r="E1406" s="113"/>
      <c r="F1406" s="113"/>
      <c r="G1406" s="113"/>
    </row>
    <row r="1407" spans="2:7" x14ac:dyDescent="0.35">
      <c r="B1407" s="22"/>
      <c r="E1407" s="113"/>
      <c r="F1407" s="113"/>
      <c r="G1407" s="113"/>
    </row>
    <row r="1408" spans="2:7" x14ac:dyDescent="0.35">
      <c r="B1408" s="22"/>
      <c r="E1408" s="113"/>
      <c r="F1408" s="113"/>
      <c r="G1408" s="113"/>
    </row>
    <row r="1409" spans="2:7" x14ac:dyDescent="0.35">
      <c r="B1409" s="22"/>
      <c r="E1409" s="113"/>
      <c r="F1409" s="113"/>
      <c r="G1409" s="113"/>
    </row>
    <row r="1410" spans="2:7" x14ac:dyDescent="0.35">
      <c r="B1410" s="22"/>
      <c r="E1410" s="113"/>
      <c r="F1410" s="113"/>
      <c r="G1410" s="113"/>
    </row>
    <row r="1411" spans="2:7" x14ac:dyDescent="0.35">
      <c r="B1411" s="22"/>
      <c r="E1411" s="113"/>
      <c r="F1411" s="113"/>
      <c r="G1411" s="113"/>
    </row>
    <row r="1412" spans="2:7" x14ac:dyDescent="0.35">
      <c r="B1412" s="22"/>
      <c r="E1412" s="113"/>
      <c r="F1412" s="113"/>
      <c r="G1412" s="113"/>
    </row>
    <row r="1413" spans="2:7" x14ac:dyDescent="0.35">
      <c r="B1413" s="22"/>
      <c r="E1413" s="113"/>
      <c r="F1413" s="113"/>
      <c r="G1413" s="113"/>
    </row>
    <row r="1414" spans="2:7" x14ac:dyDescent="0.35">
      <c r="B1414" s="22"/>
      <c r="E1414" s="113"/>
      <c r="F1414" s="113"/>
      <c r="G1414" s="113"/>
    </row>
    <row r="1415" spans="2:7" x14ac:dyDescent="0.35">
      <c r="B1415" s="22"/>
      <c r="E1415" s="113"/>
      <c r="F1415" s="113"/>
      <c r="G1415" s="113"/>
    </row>
    <row r="1416" spans="2:7" x14ac:dyDescent="0.35">
      <c r="B1416" s="22"/>
      <c r="E1416" s="113"/>
      <c r="F1416" s="113"/>
      <c r="G1416" s="113"/>
    </row>
    <row r="1417" spans="2:7" x14ac:dyDescent="0.35">
      <c r="B1417" s="22"/>
      <c r="E1417" s="113"/>
      <c r="F1417" s="113"/>
      <c r="G1417" s="113"/>
    </row>
    <row r="1418" spans="2:7" x14ac:dyDescent="0.35">
      <c r="B1418" s="22"/>
      <c r="E1418" s="113"/>
      <c r="F1418" s="113"/>
      <c r="G1418" s="113"/>
    </row>
    <row r="1419" spans="2:7" x14ac:dyDescent="0.35">
      <c r="B1419" s="22"/>
      <c r="E1419" s="113"/>
      <c r="F1419" s="113"/>
      <c r="G1419" s="113"/>
    </row>
    <row r="1420" spans="2:7" x14ac:dyDescent="0.35">
      <c r="B1420" s="22"/>
      <c r="E1420" s="113"/>
      <c r="F1420" s="113"/>
      <c r="G1420" s="113"/>
    </row>
    <row r="1421" spans="2:7" x14ac:dyDescent="0.35">
      <c r="B1421" s="22"/>
      <c r="E1421" s="113"/>
      <c r="F1421" s="113"/>
      <c r="G1421" s="113"/>
    </row>
    <row r="1422" spans="2:7" x14ac:dyDescent="0.35">
      <c r="B1422" s="22"/>
      <c r="E1422" s="113"/>
      <c r="F1422" s="113"/>
      <c r="G1422" s="113"/>
    </row>
    <row r="1423" spans="2:7" x14ac:dyDescent="0.35">
      <c r="B1423" s="22"/>
      <c r="E1423" s="113"/>
      <c r="F1423" s="113"/>
      <c r="G1423" s="113"/>
    </row>
    <row r="1424" spans="2:7" x14ac:dyDescent="0.35">
      <c r="B1424" s="22"/>
      <c r="E1424" s="113"/>
      <c r="F1424" s="113"/>
      <c r="G1424" s="113"/>
    </row>
    <row r="1425" spans="2:7" x14ac:dyDescent="0.35">
      <c r="B1425" s="22"/>
      <c r="E1425" s="113"/>
      <c r="F1425" s="113"/>
      <c r="G1425" s="113"/>
    </row>
    <row r="1426" spans="2:7" x14ac:dyDescent="0.35">
      <c r="B1426" s="22"/>
      <c r="E1426" s="113"/>
      <c r="F1426" s="113"/>
      <c r="G1426" s="113"/>
    </row>
    <row r="1427" spans="2:7" x14ac:dyDescent="0.35">
      <c r="B1427" s="22"/>
      <c r="E1427" s="113"/>
      <c r="F1427" s="113"/>
      <c r="G1427" s="113"/>
    </row>
    <row r="1428" spans="2:7" x14ac:dyDescent="0.35">
      <c r="B1428" s="22"/>
      <c r="E1428" s="113"/>
      <c r="F1428" s="113"/>
      <c r="G1428" s="113"/>
    </row>
    <row r="1429" spans="2:7" x14ac:dyDescent="0.35">
      <c r="B1429" s="22"/>
      <c r="E1429" s="113"/>
      <c r="F1429" s="113"/>
      <c r="G1429" s="113"/>
    </row>
    <row r="1430" spans="2:7" x14ac:dyDescent="0.35">
      <c r="B1430" s="22"/>
      <c r="E1430" s="113"/>
      <c r="F1430" s="113"/>
      <c r="G1430" s="113"/>
    </row>
    <row r="1431" spans="2:7" x14ac:dyDescent="0.35">
      <c r="B1431" s="22"/>
      <c r="E1431" s="113"/>
      <c r="F1431" s="113"/>
      <c r="G1431" s="113"/>
    </row>
    <row r="1432" spans="2:7" x14ac:dyDescent="0.35">
      <c r="B1432" s="22"/>
      <c r="E1432" s="113"/>
      <c r="F1432" s="113"/>
      <c r="G1432" s="113"/>
    </row>
    <row r="1433" spans="2:7" x14ac:dyDescent="0.35">
      <c r="B1433" s="22"/>
      <c r="E1433" s="113"/>
      <c r="F1433" s="113"/>
      <c r="G1433" s="113"/>
    </row>
    <row r="1434" spans="2:7" x14ac:dyDescent="0.35">
      <c r="B1434" s="22"/>
      <c r="E1434" s="113"/>
      <c r="F1434" s="113"/>
      <c r="G1434" s="113"/>
    </row>
    <row r="1435" spans="2:7" x14ac:dyDescent="0.35">
      <c r="B1435" s="22"/>
      <c r="E1435" s="113"/>
      <c r="F1435" s="113"/>
      <c r="G1435" s="113"/>
    </row>
    <row r="1436" spans="2:7" x14ac:dyDescent="0.35">
      <c r="B1436" s="22"/>
      <c r="E1436" s="113"/>
      <c r="F1436" s="113"/>
      <c r="G1436" s="113"/>
    </row>
    <row r="1437" spans="2:7" x14ac:dyDescent="0.35">
      <c r="B1437" s="22"/>
      <c r="E1437" s="113"/>
      <c r="F1437" s="113"/>
      <c r="G1437" s="113"/>
    </row>
    <row r="1438" spans="2:7" x14ac:dyDescent="0.35">
      <c r="B1438" s="22"/>
      <c r="E1438" s="113"/>
      <c r="F1438" s="113"/>
      <c r="G1438" s="113"/>
    </row>
    <row r="1439" spans="2:7" x14ac:dyDescent="0.35">
      <c r="B1439" s="22"/>
      <c r="E1439" s="113"/>
      <c r="F1439" s="113"/>
      <c r="G1439" s="113"/>
    </row>
    <row r="1440" spans="2:7" x14ac:dyDescent="0.35">
      <c r="B1440" s="22"/>
      <c r="E1440" s="113"/>
      <c r="F1440" s="113"/>
      <c r="G1440" s="113"/>
    </row>
    <row r="1441" spans="2:7" x14ac:dyDescent="0.35">
      <c r="B1441" s="22"/>
      <c r="E1441" s="113"/>
      <c r="F1441" s="113"/>
      <c r="G1441" s="113"/>
    </row>
    <row r="1442" spans="2:7" x14ac:dyDescent="0.35">
      <c r="B1442" s="22"/>
      <c r="E1442" s="113"/>
      <c r="F1442" s="113"/>
      <c r="G1442" s="113"/>
    </row>
    <row r="1443" spans="2:7" x14ac:dyDescent="0.35">
      <c r="B1443" s="22"/>
      <c r="E1443" s="113"/>
      <c r="F1443" s="113"/>
      <c r="G1443" s="113"/>
    </row>
    <row r="1444" spans="2:7" x14ac:dyDescent="0.35">
      <c r="B1444" s="22"/>
      <c r="E1444" s="113"/>
      <c r="F1444" s="113"/>
      <c r="G1444" s="113"/>
    </row>
    <row r="1445" spans="2:7" x14ac:dyDescent="0.35">
      <c r="B1445" s="22"/>
      <c r="E1445" s="113"/>
      <c r="F1445" s="113"/>
      <c r="G1445" s="113"/>
    </row>
    <row r="1446" spans="2:7" x14ac:dyDescent="0.35">
      <c r="B1446" s="22"/>
      <c r="E1446" s="113"/>
      <c r="F1446" s="113"/>
      <c r="G1446" s="113"/>
    </row>
    <row r="1447" spans="2:7" x14ac:dyDescent="0.35">
      <c r="B1447" s="22"/>
      <c r="E1447" s="113"/>
      <c r="F1447" s="113"/>
      <c r="G1447" s="113"/>
    </row>
    <row r="1448" spans="2:7" x14ac:dyDescent="0.35">
      <c r="B1448" s="22"/>
      <c r="E1448" s="113"/>
      <c r="F1448" s="113"/>
      <c r="G1448" s="113"/>
    </row>
    <row r="1449" spans="2:7" x14ac:dyDescent="0.35">
      <c r="B1449" s="22"/>
      <c r="E1449" s="113"/>
      <c r="F1449" s="113"/>
      <c r="G1449" s="113"/>
    </row>
    <row r="1450" spans="2:7" x14ac:dyDescent="0.35">
      <c r="B1450" s="22"/>
      <c r="E1450" s="113"/>
      <c r="F1450" s="113"/>
      <c r="G1450" s="113"/>
    </row>
    <row r="1451" spans="2:7" x14ac:dyDescent="0.35">
      <c r="B1451" s="22"/>
      <c r="E1451" s="113"/>
      <c r="F1451" s="113"/>
      <c r="G1451" s="113"/>
    </row>
    <row r="1452" spans="2:7" x14ac:dyDescent="0.35">
      <c r="B1452" s="22"/>
      <c r="E1452" s="113"/>
      <c r="F1452" s="113"/>
      <c r="G1452" s="113"/>
    </row>
    <row r="1453" spans="2:7" x14ac:dyDescent="0.35">
      <c r="B1453" s="22"/>
      <c r="E1453" s="113"/>
      <c r="F1453" s="113"/>
      <c r="G1453" s="113"/>
    </row>
    <row r="1454" spans="2:7" x14ac:dyDescent="0.35">
      <c r="B1454" s="22"/>
      <c r="E1454" s="113"/>
      <c r="F1454" s="113"/>
      <c r="G1454" s="113"/>
    </row>
    <row r="1455" spans="2:7" x14ac:dyDescent="0.35">
      <c r="B1455" s="22"/>
      <c r="E1455" s="113"/>
      <c r="F1455" s="113"/>
      <c r="G1455" s="113"/>
    </row>
    <row r="1456" spans="2:7" x14ac:dyDescent="0.35">
      <c r="B1456" s="22"/>
      <c r="E1456" s="113"/>
      <c r="F1456" s="113"/>
      <c r="G1456" s="113"/>
    </row>
    <row r="1457" spans="2:7" x14ac:dyDescent="0.35">
      <c r="B1457" s="22"/>
      <c r="E1457" s="113"/>
      <c r="F1457" s="113"/>
      <c r="G1457" s="113"/>
    </row>
    <row r="1458" spans="2:7" x14ac:dyDescent="0.35">
      <c r="B1458" s="22"/>
      <c r="E1458" s="113"/>
      <c r="F1458" s="113"/>
      <c r="G1458" s="113"/>
    </row>
    <row r="1459" spans="2:7" x14ac:dyDescent="0.35">
      <c r="B1459" s="22"/>
      <c r="E1459" s="113"/>
      <c r="F1459" s="113"/>
      <c r="G1459" s="113"/>
    </row>
    <row r="1460" spans="2:7" x14ac:dyDescent="0.35">
      <c r="B1460" s="22"/>
      <c r="E1460" s="113"/>
      <c r="F1460" s="113"/>
      <c r="G1460" s="113"/>
    </row>
    <row r="1461" spans="2:7" x14ac:dyDescent="0.35">
      <c r="B1461" s="22"/>
      <c r="E1461" s="113"/>
      <c r="F1461" s="113"/>
      <c r="G1461" s="113"/>
    </row>
    <row r="1462" spans="2:7" x14ac:dyDescent="0.35">
      <c r="B1462" s="22"/>
      <c r="E1462" s="113"/>
      <c r="F1462" s="113"/>
      <c r="G1462" s="113"/>
    </row>
    <row r="1463" spans="2:7" x14ac:dyDescent="0.35">
      <c r="B1463" s="22"/>
      <c r="E1463" s="113"/>
      <c r="F1463" s="113"/>
      <c r="G1463" s="113"/>
    </row>
    <row r="1464" spans="2:7" x14ac:dyDescent="0.35">
      <c r="B1464" s="22"/>
      <c r="E1464" s="113"/>
      <c r="F1464" s="113"/>
      <c r="G1464" s="113"/>
    </row>
    <row r="1465" spans="2:7" x14ac:dyDescent="0.35">
      <c r="B1465" s="22"/>
      <c r="E1465" s="113"/>
      <c r="F1465" s="113"/>
      <c r="G1465" s="113"/>
    </row>
    <row r="1466" spans="2:7" x14ac:dyDescent="0.35">
      <c r="B1466" s="22"/>
      <c r="E1466" s="113"/>
      <c r="F1466" s="113"/>
      <c r="G1466" s="113"/>
    </row>
    <row r="1467" spans="2:7" x14ac:dyDescent="0.35">
      <c r="B1467" s="22"/>
      <c r="E1467" s="113"/>
      <c r="F1467" s="113"/>
      <c r="G1467" s="113"/>
    </row>
    <row r="1468" spans="2:7" x14ac:dyDescent="0.35">
      <c r="B1468" s="29"/>
      <c r="E1468" s="113"/>
      <c r="F1468" s="113"/>
      <c r="G1468" s="113"/>
    </row>
    <row r="1469" spans="2:7" x14ac:dyDescent="0.35">
      <c r="B1469" s="29"/>
      <c r="E1469" s="113"/>
      <c r="F1469" s="113"/>
      <c r="G1469" s="113"/>
    </row>
    <row r="1470" spans="2:7" x14ac:dyDescent="0.35">
      <c r="B1470" s="29"/>
      <c r="E1470" s="113"/>
      <c r="F1470" s="113"/>
      <c r="G1470" s="113"/>
    </row>
    <row r="1471" spans="2:7" x14ac:dyDescent="0.35">
      <c r="B1471" s="29"/>
      <c r="E1471" s="113"/>
      <c r="F1471" s="113"/>
      <c r="G1471" s="113"/>
    </row>
    <row r="1472" spans="2:7" x14ac:dyDescent="0.35">
      <c r="B1472" s="29"/>
      <c r="E1472" s="113"/>
      <c r="F1472" s="113"/>
      <c r="G1472" s="113"/>
    </row>
    <row r="1473" spans="2:7" x14ac:dyDescent="0.35">
      <c r="B1473" s="29"/>
      <c r="E1473" s="113"/>
      <c r="F1473" s="113"/>
      <c r="G1473" s="113"/>
    </row>
    <row r="1474" spans="2:7" x14ac:dyDescent="0.35">
      <c r="B1474" s="29"/>
      <c r="E1474" s="113"/>
      <c r="F1474" s="113"/>
      <c r="G1474" s="113"/>
    </row>
    <row r="1475" spans="2:7" x14ac:dyDescent="0.35">
      <c r="B1475" s="29"/>
      <c r="E1475" s="113"/>
      <c r="F1475" s="113"/>
      <c r="G1475" s="113"/>
    </row>
    <row r="1476" spans="2:7" x14ac:dyDescent="0.35">
      <c r="B1476" s="29"/>
      <c r="E1476" s="113"/>
      <c r="F1476" s="113"/>
      <c r="G1476" s="113"/>
    </row>
    <row r="1477" spans="2:7" x14ac:dyDescent="0.35">
      <c r="B1477" s="29"/>
      <c r="E1477" s="113"/>
      <c r="F1477" s="113"/>
      <c r="G1477" s="113"/>
    </row>
    <row r="1478" spans="2:7" x14ac:dyDescent="0.35">
      <c r="B1478" s="29"/>
      <c r="E1478" s="113"/>
      <c r="F1478" s="113"/>
      <c r="G1478" s="113"/>
    </row>
    <row r="1479" spans="2:7" x14ac:dyDescent="0.35">
      <c r="B1479" s="29"/>
      <c r="E1479" s="113"/>
      <c r="F1479" s="113"/>
      <c r="G1479" s="113"/>
    </row>
    <row r="1480" spans="2:7" x14ac:dyDescent="0.35">
      <c r="B1480" s="29"/>
      <c r="E1480" s="113"/>
      <c r="F1480" s="113"/>
      <c r="G1480" s="113"/>
    </row>
    <row r="1481" spans="2:7" x14ac:dyDescent="0.35">
      <c r="B1481" s="29"/>
      <c r="E1481" s="113"/>
      <c r="F1481" s="113"/>
      <c r="G1481" s="113"/>
    </row>
    <row r="1482" spans="2:7" x14ac:dyDescent="0.35">
      <c r="B1482" s="29"/>
      <c r="E1482" s="113"/>
      <c r="F1482" s="113"/>
      <c r="G1482" s="113"/>
    </row>
    <row r="1483" spans="2:7" x14ac:dyDescent="0.35">
      <c r="B1483" s="29"/>
      <c r="E1483" s="113"/>
      <c r="F1483" s="113"/>
      <c r="G1483" s="113"/>
    </row>
    <row r="1484" spans="2:7" x14ac:dyDescent="0.35">
      <c r="B1484" s="29"/>
      <c r="E1484" s="113"/>
      <c r="F1484" s="113"/>
      <c r="G1484" s="113"/>
    </row>
    <row r="1485" spans="2:7" x14ac:dyDescent="0.35">
      <c r="B1485" s="29"/>
      <c r="E1485" s="113"/>
      <c r="F1485" s="113"/>
      <c r="G1485" s="113"/>
    </row>
    <row r="1486" spans="2:7" x14ac:dyDescent="0.35">
      <c r="B1486" s="29"/>
      <c r="E1486" s="113"/>
      <c r="F1486" s="113"/>
      <c r="G1486" s="113"/>
    </row>
    <row r="1487" spans="2:7" x14ac:dyDescent="0.35">
      <c r="B1487" s="29"/>
      <c r="E1487" s="113"/>
      <c r="F1487" s="113"/>
      <c r="G1487" s="113"/>
    </row>
    <row r="1488" spans="2:7" x14ac:dyDescent="0.35">
      <c r="B1488" s="29"/>
      <c r="E1488" s="113"/>
      <c r="F1488" s="113"/>
      <c r="G1488" s="113"/>
    </row>
    <row r="1489" spans="2:7" x14ac:dyDescent="0.35">
      <c r="B1489" s="29"/>
      <c r="E1489" s="113"/>
      <c r="F1489" s="113"/>
      <c r="G1489" s="113"/>
    </row>
    <row r="1490" spans="2:7" x14ac:dyDescent="0.35">
      <c r="B1490" s="29"/>
      <c r="E1490" s="113"/>
      <c r="F1490" s="113"/>
      <c r="G1490" s="113"/>
    </row>
    <row r="1491" spans="2:7" x14ac:dyDescent="0.35">
      <c r="B1491" s="29"/>
      <c r="E1491" s="113"/>
      <c r="F1491" s="113"/>
      <c r="G1491" s="113"/>
    </row>
    <row r="1492" spans="2:7" x14ac:dyDescent="0.35">
      <c r="B1492" s="29"/>
      <c r="E1492" s="113"/>
      <c r="F1492" s="113"/>
      <c r="G1492" s="113"/>
    </row>
    <row r="1493" spans="2:7" x14ac:dyDescent="0.35">
      <c r="B1493" s="29"/>
      <c r="E1493" s="113"/>
      <c r="F1493" s="113"/>
      <c r="G1493" s="113"/>
    </row>
    <row r="1494" spans="2:7" x14ac:dyDescent="0.35">
      <c r="B1494" s="29"/>
      <c r="E1494" s="113"/>
      <c r="F1494" s="113"/>
      <c r="G1494" s="113"/>
    </row>
    <row r="1495" spans="2:7" x14ac:dyDescent="0.35">
      <c r="B1495" s="29"/>
      <c r="E1495" s="113"/>
      <c r="F1495" s="113"/>
      <c r="G1495" s="113"/>
    </row>
    <row r="1496" spans="2:7" x14ac:dyDescent="0.35">
      <c r="B1496" s="29"/>
      <c r="E1496" s="113"/>
      <c r="F1496" s="113"/>
      <c r="G1496" s="113"/>
    </row>
    <row r="1497" spans="2:7" x14ac:dyDescent="0.35">
      <c r="B1497" s="29"/>
      <c r="E1497" s="113"/>
      <c r="F1497" s="113"/>
      <c r="G1497" s="113"/>
    </row>
    <row r="1498" spans="2:7" x14ac:dyDescent="0.35">
      <c r="B1498" s="29"/>
      <c r="E1498" s="113"/>
      <c r="F1498" s="113"/>
      <c r="G1498" s="113"/>
    </row>
    <row r="1499" spans="2:7" x14ac:dyDescent="0.35">
      <c r="B1499" s="29"/>
      <c r="E1499" s="113"/>
      <c r="F1499" s="113"/>
      <c r="G1499" s="113"/>
    </row>
    <row r="1500" spans="2:7" x14ac:dyDescent="0.35">
      <c r="B1500" s="29"/>
      <c r="E1500" s="113"/>
      <c r="F1500" s="113"/>
      <c r="G1500" s="113"/>
    </row>
    <row r="1501" spans="2:7" x14ac:dyDescent="0.35">
      <c r="B1501" s="29"/>
      <c r="E1501" s="113"/>
      <c r="F1501" s="113"/>
      <c r="G1501" s="113"/>
    </row>
    <row r="1502" spans="2:7" x14ac:dyDescent="0.35">
      <c r="B1502" s="29"/>
      <c r="E1502" s="113"/>
      <c r="F1502" s="113"/>
      <c r="G1502" s="113"/>
    </row>
    <row r="1503" spans="2:7" x14ac:dyDescent="0.35">
      <c r="B1503" s="29"/>
      <c r="E1503" s="113"/>
      <c r="F1503" s="113"/>
      <c r="G1503" s="113"/>
    </row>
    <row r="1504" spans="2:7" x14ac:dyDescent="0.35">
      <c r="B1504" s="29"/>
      <c r="E1504" s="113"/>
      <c r="F1504" s="113"/>
      <c r="G1504" s="113"/>
    </row>
    <row r="1505" spans="2:7" x14ac:dyDescent="0.35">
      <c r="B1505" s="29"/>
      <c r="E1505" s="113"/>
      <c r="F1505" s="113"/>
      <c r="G1505" s="113"/>
    </row>
    <row r="1506" spans="2:7" x14ac:dyDescent="0.35">
      <c r="B1506" s="29"/>
      <c r="E1506" s="113"/>
      <c r="F1506" s="113"/>
      <c r="G1506" s="113"/>
    </row>
    <row r="1507" spans="2:7" x14ac:dyDescent="0.35">
      <c r="B1507" s="29"/>
      <c r="E1507" s="113"/>
      <c r="F1507" s="113"/>
      <c r="G1507" s="113"/>
    </row>
    <row r="1508" spans="2:7" x14ac:dyDescent="0.35">
      <c r="B1508" s="29"/>
      <c r="E1508" s="113"/>
      <c r="F1508" s="113"/>
      <c r="G1508" s="113"/>
    </row>
    <row r="1509" spans="2:7" x14ac:dyDescent="0.35">
      <c r="B1509" s="29"/>
      <c r="E1509" s="113"/>
      <c r="F1509" s="113"/>
      <c r="G1509" s="113"/>
    </row>
    <row r="1510" spans="2:7" x14ac:dyDescent="0.35">
      <c r="B1510" s="29"/>
      <c r="E1510" s="113"/>
      <c r="F1510" s="113"/>
      <c r="G1510" s="113"/>
    </row>
    <row r="1511" spans="2:7" x14ac:dyDescent="0.35">
      <c r="B1511" s="29"/>
      <c r="E1511" s="113"/>
      <c r="F1511" s="113"/>
      <c r="G1511" s="113"/>
    </row>
    <row r="1512" spans="2:7" x14ac:dyDescent="0.35">
      <c r="B1512" s="29"/>
      <c r="E1512" s="113"/>
      <c r="F1512" s="113"/>
      <c r="G1512" s="113"/>
    </row>
    <row r="1513" spans="2:7" x14ac:dyDescent="0.35">
      <c r="B1513" s="29"/>
      <c r="E1513" s="113"/>
      <c r="F1513" s="113"/>
      <c r="G1513" s="113"/>
    </row>
    <row r="1514" spans="2:7" x14ac:dyDescent="0.35">
      <c r="B1514" s="29"/>
      <c r="E1514" s="113"/>
      <c r="F1514" s="113"/>
      <c r="G1514" s="113"/>
    </row>
    <row r="1515" spans="2:7" x14ac:dyDescent="0.35">
      <c r="B1515" s="29"/>
      <c r="E1515" s="113"/>
      <c r="F1515" s="113"/>
      <c r="G1515" s="113"/>
    </row>
    <row r="1516" spans="2:7" x14ac:dyDescent="0.35">
      <c r="B1516" s="29"/>
      <c r="E1516" s="113"/>
      <c r="F1516" s="113"/>
      <c r="G1516" s="113"/>
    </row>
    <row r="1517" spans="2:7" x14ac:dyDescent="0.35">
      <c r="B1517" s="29"/>
      <c r="E1517" s="113"/>
      <c r="F1517" s="113"/>
      <c r="G1517" s="113"/>
    </row>
    <row r="1518" spans="2:7" x14ac:dyDescent="0.35">
      <c r="B1518" s="29"/>
      <c r="E1518" s="113"/>
      <c r="F1518" s="113"/>
      <c r="G1518" s="113"/>
    </row>
    <row r="1519" spans="2:7" x14ac:dyDescent="0.35">
      <c r="B1519" s="29"/>
      <c r="E1519" s="113"/>
      <c r="F1519" s="113"/>
      <c r="G1519" s="113"/>
    </row>
    <row r="1520" spans="2:7" x14ac:dyDescent="0.35">
      <c r="B1520" s="29"/>
      <c r="E1520" s="113"/>
      <c r="F1520" s="113"/>
      <c r="G1520" s="113"/>
    </row>
    <row r="1521" spans="2:7" x14ac:dyDescent="0.35">
      <c r="B1521" s="29"/>
      <c r="E1521" s="113"/>
      <c r="F1521" s="113"/>
      <c r="G1521" s="113"/>
    </row>
    <row r="1522" spans="2:7" x14ac:dyDescent="0.35">
      <c r="B1522" s="29"/>
      <c r="E1522" s="113"/>
      <c r="F1522" s="113"/>
      <c r="G1522" s="113"/>
    </row>
    <row r="1523" spans="2:7" x14ac:dyDescent="0.35">
      <c r="B1523" s="29"/>
      <c r="E1523" s="113"/>
      <c r="F1523" s="113"/>
      <c r="G1523" s="113"/>
    </row>
    <row r="1524" spans="2:7" x14ac:dyDescent="0.35">
      <c r="B1524" s="29"/>
      <c r="E1524" s="113"/>
      <c r="F1524" s="113"/>
      <c r="G1524" s="113"/>
    </row>
    <row r="1525" spans="2:7" x14ac:dyDescent="0.35">
      <c r="B1525" s="29"/>
      <c r="E1525" s="113"/>
      <c r="F1525" s="113"/>
      <c r="G1525" s="113"/>
    </row>
    <row r="1526" spans="2:7" x14ac:dyDescent="0.35">
      <c r="B1526" s="29"/>
      <c r="E1526" s="113"/>
      <c r="F1526" s="113"/>
      <c r="G1526" s="113"/>
    </row>
    <row r="1527" spans="2:7" x14ac:dyDescent="0.35">
      <c r="B1527" s="29"/>
      <c r="E1527" s="113"/>
      <c r="F1527" s="113"/>
      <c r="G1527" s="113"/>
    </row>
  </sheetData>
  <conditionalFormatting sqref="A9:H679">
    <cfRule type="cellIs" dxfId="5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liste_NAvoir">
          <controlPr defaultSize="0" autoLine="0" r:id="rId4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952500</xdr:colOff>
                <xdr:row>3</xdr:row>
                <xdr:rowOff>6350</xdr:rowOff>
              </to>
            </anchor>
          </controlPr>
        </control>
      </mc:Choice>
      <mc:Fallback>
        <control shapeId="37889" r:id="rId3" name="liste_NAvoir"/>
      </mc:Fallback>
    </mc:AlternateContent>
    <mc:AlternateContent xmlns:mc="http://schemas.openxmlformats.org/markup-compatibility/2006">
      <mc:Choice Requires="x14">
        <control shapeId="37890" r:id="rId5" name="liste_ClientAvoir">
          <controlPr defaultSize="0" autoLine="0" r:id="rId6">
            <anchor moveWithCells="1">
              <from>
                <xdr:col>1</xdr:col>
                <xdr:colOff>196850</xdr:colOff>
                <xdr:row>1</xdr:row>
                <xdr:rowOff>177800</xdr:rowOff>
              </from>
              <to>
                <xdr:col>2</xdr:col>
                <xdr:colOff>2159000</xdr:colOff>
                <xdr:row>3</xdr:row>
                <xdr:rowOff>12700</xdr:rowOff>
              </to>
            </anchor>
          </controlPr>
        </control>
      </mc:Choice>
      <mc:Fallback>
        <control shapeId="37890" r:id="rId5" name="liste_ClientAvoi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rgb="FF00B0F0"/>
  </sheetPr>
  <dimension ref="A2:Q1527"/>
  <sheetViews>
    <sheetView zoomScale="71" zoomScaleNormal="71" workbookViewId="0">
      <selection activeCell="B8" sqref="B8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21" t="s">
        <v>104</v>
      </c>
      <c r="I2" s="124">
        <f>+M9</f>
        <v>0</v>
      </c>
    </row>
    <row r="3" spans="1:17" ht="16" thickBot="1" x14ac:dyDescent="0.4">
      <c r="A3" s="120" t="s">
        <v>1123</v>
      </c>
      <c r="H3" s="121" t="s">
        <v>2167</v>
      </c>
      <c r="I3" s="122">
        <f>SUM(I9:I1000)</f>
        <v>0</v>
      </c>
      <c r="Q3" t="s">
        <v>2155</v>
      </c>
    </row>
    <row r="4" spans="1:17" ht="15" thickBot="1" x14ac:dyDescent="0.4">
      <c r="H4" s="121">
        <f>+N9</f>
        <v>0</v>
      </c>
      <c r="I4" s="122">
        <f>IF(H4="TVA 20%",I3*0.2,IF(H4="TVA 14%",I3*0.14,IF(H4="TVA 10%",I3*0.1,IF(H4="TVA 07%",I3*0.07,IF(H4="Retenu à la Source",I3*0.2,0)))))</f>
        <v>0</v>
      </c>
      <c r="J4" s="123"/>
      <c r="Q4" t="s">
        <v>7</v>
      </c>
    </row>
    <row r="5" spans="1:17" s="1" customFormat="1" ht="15" thickBot="1" x14ac:dyDescent="0.4">
      <c r="H5" s="121" t="str">
        <f>IF(I4=0,"Total Avoir HT","Total Avoir TTC")</f>
        <v>Total Avoir HT</v>
      </c>
      <c r="I5" s="122">
        <f>IFERROR(+I3+I4,"")</f>
        <v>0</v>
      </c>
      <c r="J5" s="123"/>
      <c r="K5"/>
      <c r="L5"/>
      <c r="Q5" s="115"/>
    </row>
    <row r="6" spans="1:17" x14ac:dyDescent="0.35">
      <c r="J6" s="114"/>
    </row>
    <row r="7" spans="1:17" x14ac:dyDescent="0.35">
      <c r="J7" s="114"/>
    </row>
    <row r="8" spans="1:17" ht="21" x14ac:dyDescent="0.35">
      <c r="A8" s="116" t="s">
        <v>2156</v>
      </c>
      <c r="B8" s="116" t="s">
        <v>11</v>
      </c>
      <c r="C8" s="116" t="s">
        <v>49</v>
      </c>
      <c r="D8" s="116" t="s">
        <v>2157</v>
      </c>
      <c r="E8" s="116" t="s">
        <v>0</v>
      </c>
      <c r="F8" s="116" t="s">
        <v>1</v>
      </c>
      <c r="G8" s="116" t="s">
        <v>47</v>
      </c>
      <c r="H8" s="116" t="s">
        <v>48</v>
      </c>
      <c r="I8" s="116" t="s">
        <v>15</v>
      </c>
      <c r="J8" s="117" t="s">
        <v>12</v>
      </c>
      <c r="K8" s="118" t="s">
        <v>2</v>
      </c>
      <c r="L8" s="118" t="s">
        <v>118</v>
      </c>
      <c r="M8" s="119" t="s">
        <v>104</v>
      </c>
      <c r="N8" s="119" t="s">
        <v>88</v>
      </c>
    </row>
    <row r="9" spans="1:17" x14ac:dyDescent="0.35">
      <c r="A9" s="126"/>
      <c r="B9" s="127"/>
      <c r="C9" s="126"/>
      <c r="D9" s="126"/>
      <c r="E9" s="128"/>
      <c r="F9" s="128"/>
      <c r="G9" s="128"/>
      <c r="H9" s="128"/>
      <c r="I9" s="128"/>
      <c r="J9" s="129"/>
      <c r="K9" s="126"/>
      <c r="L9" s="126"/>
      <c r="M9" s="125"/>
      <c r="N9" s="126"/>
    </row>
    <row r="10" spans="1:17" x14ac:dyDescent="0.35">
      <c r="A10" s="126"/>
      <c r="B10" s="127"/>
      <c r="C10" s="126"/>
      <c r="D10" s="126"/>
      <c r="E10" s="128"/>
      <c r="F10" s="128"/>
      <c r="G10" s="128"/>
      <c r="H10" s="128"/>
      <c r="I10" s="128"/>
      <c r="J10" s="129"/>
      <c r="K10" s="126"/>
      <c r="L10" s="126"/>
      <c r="M10" s="125"/>
      <c r="N10" s="126"/>
    </row>
    <row r="11" spans="1:17" x14ac:dyDescent="0.35">
      <c r="A11" s="126"/>
      <c r="B11" s="127"/>
      <c r="C11" s="126"/>
      <c r="D11" s="126"/>
      <c r="E11" s="128"/>
      <c r="F11" s="128"/>
      <c r="G11" s="128"/>
      <c r="H11" s="128"/>
      <c r="I11" s="128"/>
      <c r="J11" s="129"/>
      <c r="K11" s="126"/>
      <c r="L11" s="126"/>
      <c r="M11" s="125"/>
      <c r="N11" s="126"/>
    </row>
    <row r="12" spans="1:17" x14ac:dyDescent="0.35">
      <c r="A12" s="126"/>
      <c r="B12" s="127"/>
      <c r="C12" s="126"/>
      <c r="D12" s="126"/>
      <c r="E12" s="128"/>
      <c r="F12" s="128"/>
      <c r="G12" s="128"/>
      <c r="H12" s="128"/>
      <c r="I12" s="128"/>
      <c r="J12" s="129"/>
      <c r="K12" s="126"/>
      <c r="L12" s="126"/>
      <c r="M12" s="125"/>
      <c r="N12" s="126"/>
    </row>
    <row r="13" spans="1:17" x14ac:dyDescent="0.35">
      <c r="A13" s="126"/>
      <c r="B13" s="127"/>
      <c r="C13" s="126"/>
      <c r="D13" s="126"/>
      <c r="E13" s="128"/>
      <c r="F13" s="128"/>
      <c r="G13" s="128"/>
      <c r="H13" s="128"/>
      <c r="I13" s="128"/>
      <c r="J13" s="129"/>
      <c r="K13" s="126"/>
      <c r="L13" s="126"/>
      <c r="M13" s="125"/>
      <c r="N13" s="126"/>
    </row>
    <row r="14" spans="1:17" x14ac:dyDescent="0.35">
      <c r="A14" s="126"/>
      <c r="B14" s="127"/>
      <c r="C14" s="126"/>
      <c r="D14" s="126"/>
      <c r="E14" s="128"/>
      <c r="F14" s="128"/>
      <c r="G14" s="128"/>
      <c r="H14" s="128"/>
      <c r="I14" s="128"/>
      <c r="J14" s="129"/>
      <c r="K14" s="126"/>
      <c r="L14" s="126"/>
      <c r="M14" s="125"/>
      <c r="N14" s="126"/>
    </row>
    <row r="15" spans="1:17" x14ac:dyDescent="0.35">
      <c r="A15" s="126"/>
      <c r="B15" s="127"/>
      <c r="C15" s="126"/>
      <c r="D15" s="126"/>
      <c r="E15" s="128"/>
      <c r="F15" s="128"/>
      <c r="G15" s="128"/>
      <c r="H15" s="128"/>
      <c r="I15" s="128"/>
      <c r="J15" s="129"/>
      <c r="K15" s="126"/>
      <c r="L15" s="126"/>
      <c r="M15" s="125"/>
      <c r="N15" s="126"/>
    </row>
    <row r="16" spans="1:17" x14ac:dyDescent="0.35">
      <c r="A16" s="126"/>
      <c r="B16" s="127"/>
      <c r="C16" s="126"/>
      <c r="D16" s="126"/>
      <c r="E16" s="128"/>
      <c r="F16" s="128"/>
      <c r="G16" s="128"/>
      <c r="H16" s="128"/>
      <c r="I16" s="128"/>
      <c r="J16" s="129"/>
      <c r="K16" s="126"/>
      <c r="L16" s="126"/>
      <c r="M16" s="125"/>
      <c r="N16" s="126"/>
    </row>
    <row r="17" spans="1:14" x14ac:dyDescent="0.35">
      <c r="A17" s="126"/>
      <c r="B17" s="127"/>
      <c r="C17" s="126"/>
      <c r="D17" s="126"/>
      <c r="E17" s="128"/>
      <c r="F17" s="128"/>
      <c r="G17" s="128"/>
      <c r="H17" s="128"/>
      <c r="I17" s="128"/>
      <c r="J17" s="129"/>
      <c r="K17" s="126"/>
      <c r="L17" s="126"/>
      <c r="M17" s="125"/>
      <c r="N17" s="126"/>
    </row>
    <row r="18" spans="1:14" x14ac:dyDescent="0.35">
      <c r="A18" s="126"/>
      <c r="B18" s="127"/>
      <c r="C18" s="126"/>
      <c r="D18" s="126"/>
      <c r="E18" s="128"/>
      <c r="F18" s="128"/>
      <c r="G18" s="128"/>
      <c r="H18" s="128"/>
      <c r="I18" s="128"/>
      <c r="J18" s="129"/>
      <c r="K18" s="126"/>
      <c r="L18" s="126"/>
      <c r="M18" s="125"/>
      <c r="N18" s="126"/>
    </row>
    <row r="19" spans="1:14" x14ac:dyDescent="0.35">
      <c r="A19" s="126"/>
      <c r="B19" s="127"/>
      <c r="C19" s="126"/>
      <c r="D19" s="126"/>
      <c r="E19" s="128"/>
      <c r="F19" s="128"/>
      <c r="G19" s="128"/>
      <c r="H19" s="128"/>
      <c r="I19" s="128"/>
      <c r="J19" s="129"/>
      <c r="K19" s="126"/>
      <c r="L19" s="126"/>
      <c r="M19" s="125"/>
      <c r="N19" s="126"/>
    </row>
    <row r="20" spans="1:14" x14ac:dyDescent="0.35">
      <c r="A20" s="126"/>
      <c r="B20" s="127"/>
      <c r="C20" s="126"/>
      <c r="D20" s="126"/>
      <c r="E20" s="128"/>
      <c r="F20" s="128"/>
      <c r="G20" s="128"/>
      <c r="H20" s="128"/>
      <c r="I20" s="128"/>
      <c r="J20" s="129"/>
      <c r="K20" s="126"/>
      <c r="L20" s="126"/>
      <c r="M20" s="125"/>
      <c r="N20" s="126"/>
    </row>
    <row r="21" spans="1:14" x14ac:dyDescent="0.35">
      <c r="A21" s="126"/>
      <c r="B21" s="127"/>
      <c r="C21" s="126"/>
      <c r="D21" s="126"/>
      <c r="E21" s="128"/>
      <c r="F21" s="128"/>
      <c r="G21" s="128"/>
      <c r="H21" s="128"/>
      <c r="I21" s="128"/>
      <c r="J21" s="129"/>
      <c r="K21" s="126"/>
      <c r="L21" s="126"/>
      <c r="M21" s="125"/>
      <c r="N21" s="126"/>
    </row>
    <row r="22" spans="1:14" x14ac:dyDescent="0.35">
      <c r="A22" s="126"/>
      <c r="B22" s="127"/>
      <c r="C22" s="126"/>
      <c r="D22" s="126"/>
      <c r="E22" s="128"/>
      <c r="F22" s="128"/>
      <c r="G22" s="128"/>
      <c r="H22" s="128"/>
      <c r="I22" s="128"/>
      <c r="J22" s="129"/>
      <c r="K22" s="126"/>
      <c r="L22" s="126"/>
      <c r="M22" s="125"/>
      <c r="N22" s="126"/>
    </row>
    <row r="23" spans="1:14" x14ac:dyDescent="0.35">
      <c r="A23" s="126"/>
      <c r="B23" s="127"/>
      <c r="C23" s="126"/>
      <c r="D23" s="126"/>
      <c r="E23" s="128"/>
      <c r="F23" s="128"/>
      <c r="G23" s="128"/>
      <c r="H23" s="128"/>
      <c r="I23" s="128"/>
      <c r="J23" s="129"/>
      <c r="K23" s="126"/>
      <c r="L23" s="126"/>
      <c r="M23" s="125"/>
      <c r="N23" s="126"/>
    </row>
    <row r="24" spans="1:14" x14ac:dyDescent="0.35">
      <c r="A24" s="126"/>
      <c r="B24" s="127"/>
      <c r="C24" s="126"/>
      <c r="D24" s="126"/>
      <c r="E24" s="128"/>
      <c r="F24" s="128"/>
      <c r="G24" s="128"/>
      <c r="H24" s="128"/>
      <c r="I24" s="128"/>
      <c r="J24" s="129"/>
      <c r="K24" s="126"/>
      <c r="L24" s="126"/>
      <c r="M24" s="125"/>
      <c r="N24" s="126"/>
    </row>
    <row r="25" spans="1:14" x14ac:dyDescent="0.35">
      <c r="A25" s="126"/>
      <c r="B25" s="127"/>
      <c r="C25" s="126"/>
      <c r="D25" s="126"/>
      <c r="E25" s="128"/>
      <c r="F25" s="128"/>
      <c r="G25" s="128"/>
      <c r="H25" s="128"/>
      <c r="I25" s="128"/>
      <c r="J25" s="129"/>
      <c r="K25" s="126"/>
      <c r="L25" s="126"/>
      <c r="M25" s="125"/>
      <c r="N25" s="126"/>
    </row>
    <row r="26" spans="1:14" x14ac:dyDescent="0.35">
      <c r="A26" s="126"/>
      <c r="B26" s="127"/>
      <c r="C26" s="126"/>
      <c r="D26" s="126"/>
      <c r="E26" s="128"/>
      <c r="F26" s="128"/>
      <c r="G26" s="128"/>
      <c r="H26" s="128"/>
      <c r="I26" s="128"/>
      <c r="J26" s="129"/>
      <c r="K26" s="126"/>
      <c r="L26" s="126"/>
      <c r="M26" s="125"/>
      <c r="N26" s="126"/>
    </row>
    <row r="27" spans="1:14" x14ac:dyDescent="0.35">
      <c r="A27" s="126"/>
      <c r="B27" s="127"/>
      <c r="C27" s="126"/>
      <c r="D27" s="126"/>
      <c r="E27" s="128"/>
      <c r="F27" s="128"/>
      <c r="G27" s="128"/>
      <c r="H27" s="128"/>
      <c r="I27" s="128"/>
      <c r="J27" s="129"/>
      <c r="K27" s="126"/>
      <c r="L27" s="126"/>
      <c r="M27" s="125"/>
      <c r="N27" s="126"/>
    </row>
    <row r="28" spans="1:14" x14ac:dyDescent="0.35">
      <c r="A28" s="126"/>
      <c r="B28" s="127"/>
      <c r="C28" s="126"/>
      <c r="D28" s="126"/>
      <c r="E28" s="128"/>
      <c r="F28" s="128"/>
      <c r="G28" s="128"/>
      <c r="H28" s="128"/>
      <c r="I28" s="128"/>
      <c r="J28" s="129"/>
      <c r="K28" s="126"/>
      <c r="L28" s="126"/>
      <c r="M28" s="125"/>
      <c r="N28" s="126"/>
    </row>
    <row r="29" spans="1:14" x14ac:dyDescent="0.35">
      <c r="A29" s="126"/>
      <c r="B29" s="127"/>
      <c r="C29" s="126"/>
      <c r="D29" s="126"/>
      <c r="E29" s="128"/>
      <c r="F29" s="128"/>
      <c r="G29" s="128"/>
      <c r="H29" s="128"/>
      <c r="I29" s="128"/>
      <c r="J29" s="129"/>
      <c r="K29" s="126"/>
      <c r="L29" s="126"/>
      <c r="M29" s="125"/>
      <c r="N29" s="126"/>
    </row>
    <row r="30" spans="1:14" x14ac:dyDescent="0.35">
      <c r="A30" s="126"/>
      <c r="B30" s="127"/>
      <c r="C30" s="126"/>
      <c r="D30" s="126"/>
      <c r="E30" s="128"/>
      <c r="F30" s="128"/>
      <c r="G30" s="128"/>
      <c r="H30" s="128"/>
      <c r="I30" s="128"/>
      <c r="J30" s="129"/>
      <c r="K30" s="126"/>
      <c r="L30" s="126"/>
      <c r="M30" s="125"/>
      <c r="N30" s="126"/>
    </row>
    <row r="31" spans="1:14" x14ac:dyDescent="0.35">
      <c r="A31" s="126"/>
      <c r="B31" s="127"/>
      <c r="C31" s="126"/>
      <c r="D31" s="126"/>
      <c r="E31" s="128"/>
      <c r="F31" s="128"/>
      <c r="G31" s="128"/>
      <c r="H31" s="128"/>
      <c r="I31" s="128"/>
      <c r="J31" s="129"/>
      <c r="K31" s="126"/>
      <c r="L31" s="126"/>
      <c r="M31" s="125"/>
      <c r="N31" s="126"/>
    </row>
    <row r="32" spans="1:14" x14ac:dyDescent="0.35">
      <c r="A32" s="126"/>
      <c r="B32" s="127"/>
      <c r="C32" s="126"/>
      <c r="D32" s="126"/>
      <c r="E32" s="128"/>
      <c r="F32" s="128"/>
      <c r="G32" s="128"/>
      <c r="H32" s="128"/>
      <c r="I32" s="128"/>
      <c r="J32" s="129"/>
      <c r="K32" s="126"/>
      <c r="L32" s="126"/>
      <c r="M32" s="125"/>
      <c r="N32" s="126"/>
    </row>
    <row r="33" spans="1:14" x14ac:dyDescent="0.35">
      <c r="A33" s="126"/>
      <c r="B33" s="127"/>
      <c r="C33" s="126"/>
      <c r="D33" s="126"/>
      <c r="E33" s="128"/>
      <c r="F33" s="128"/>
      <c r="G33" s="128"/>
      <c r="H33" s="128"/>
      <c r="I33" s="128"/>
      <c r="J33" s="129"/>
      <c r="K33" s="126"/>
      <c r="L33" s="126"/>
      <c r="M33" s="125"/>
      <c r="N33" s="126"/>
    </row>
    <row r="34" spans="1:14" x14ac:dyDescent="0.35">
      <c r="A34" s="126"/>
      <c r="B34" s="127"/>
      <c r="C34" s="126"/>
      <c r="D34" s="126"/>
      <c r="E34" s="128"/>
      <c r="F34" s="128"/>
      <c r="G34" s="128"/>
      <c r="H34" s="128"/>
      <c r="I34" s="128"/>
      <c r="J34" s="129"/>
      <c r="K34" s="126"/>
      <c r="L34" s="126"/>
      <c r="M34" s="125"/>
      <c r="N34" s="126"/>
    </row>
    <row r="35" spans="1:14" x14ac:dyDescent="0.35">
      <c r="A35" s="126"/>
      <c r="B35" s="127"/>
      <c r="C35" s="126"/>
      <c r="D35" s="126"/>
      <c r="E35" s="128"/>
      <c r="F35" s="128"/>
      <c r="G35" s="128"/>
      <c r="H35" s="128"/>
      <c r="I35" s="128"/>
      <c r="J35" s="129"/>
      <c r="K35" s="126"/>
      <c r="L35" s="126"/>
      <c r="M35" s="125"/>
      <c r="N35" s="126"/>
    </row>
    <row r="36" spans="1:14" x14ac:dyDescent="0.35">
      <c r="A36" s="126"/>
      <c r="B36" s="127"/>
      <c r="C36" s="126"/>
      <c r="D36" s="126"/>
      <c r="E36" s="128"/>
      <c r="F36" s="128"/>
      <c r="G36" s="128"/>
      <c r="H36" s="128"/>
      <c r="I36" s="128"/>
      <c r="J36" s="129"/>
      <c r="K36" s="126"/>
      <c r="L36" s="126"/>
      <c r="M36" s="125"/>
      <c r="N36" s="126"/>
    </row>
    <row r="37" spans="1:14" x14ac:dyDescent="0.35">
      <c r="A37" s="126"/>
      <c r="B37" s="127"/>
      <c r="C37" s="126"/>
      <c r="D37" s="126"/>
      <c r="E37" s="128"/>
      <c r="F37" s="128"/>
      <c r="G37" s="128"/>
      <c r="H37" s="128"/>
      <c r="I37" s="128"/>
      <c r="J37" s="129"/>
      <c r="K37" s="126"/>
      <c r="L37" s="126"/>
      <c r="M37" s="125"/>
      <c r="N37" s="126"/>
    </row>
    <row r="38" spans="1:14" x14ac:dyDescent="0.35">
      <c r="A38" s="126"/>
      <c r="B38" s="127"/>
      <c r="C38" s="126"/>
      <c r="D38" s="126"/>
      <c r="E38" s="128"/>
      <c r="F38" s="128"/>
      <c r="G38" s="128"/>
      <c r="H38" s="128"/>
      <c r="I38" s="128"/>
      <c r="J38" s="129"/>
      <c r="K38" s="126"/>
      <c r="L38" s="126"/>
      <c r="M38" s="125"/>
      <c r="N38" s="126"/>
    </row>
    <row r="39" spans="1:14" x14ac:dyDescent="0.35">
      <c r="A39" s="126"/>
      <c r="B39" s="127"/>
      <c r="C39" s="126"/>
      <c r="D39" s="126"/>
      <c r="E39" s="128"/>
      <c r="F39" s="128"/>
      <c r="G39" s="128"/>
      <c r="H39" s="128"/>
      <c r="I39" s="128"/>
      <c r="J39" s="129"/>
      <c r="K39" s="126"/>
      <c r="L39" s="126"/>
      <c r="M39" s="125"/>
      <c r="N39" s="126"/>
    </row>
    <row r="40" spans="1:14" x14ac:dyDescent="0.35">
      <c r="A40" s="126"/>
      <c r="B40" s="127"/>
      <c r="C40" s="126"/>
      <c r="D40" s="126"/>
      <c r="E40" s="128"/>
      <c r="F40" s="128"/>
      <c r="G40" s="128"/>
      <c r="H40" s="128"/>
      <c r="I40" s="128"/>
      <c r="J40" s="129"/>
      <c r="K40" s="126"/>
      <c r="L40" s="126"/>
      <c r="M40" s="125"/>
      <c r="N40" s="126"/>
    </row>
    <row r="41" spans="1:14" x14ac:dyDescent="0.35">
      <c r="A41" s="126"/>
      <c r="B41" s="127"/>
      <c r="C41" s="126"/>
      <c r="D41" s="126"/>
      <c r="E41" s="128"/>
      <c r="F41" s="128"/>
      <c r="G41" s="128"/>
      <c r="H41" s="128"/>
      <c r="I41" s="128"/>
      <c r="J41" s="129"/>
      <c r="K41" s="126"/>
      <c r="L41" s="126"/>
      <c r="M41" s="125"/>
      <c r="N41" s="126"/>
    </row>
    <row r="42" spans="1:14" x14ac:dyDescent="0.35">
      <c r="A42" s="126"/>
      <c r="B42" s="127"/>
      <c r="C42" s="126"/>
      <c r="D42" s="126"/>
      <c r="E42" s="128"/>
      <c r="F42" s="128"/>
      <c r="G42" s="128"/>
      <c r="H42" s="128"/>
      <c r="I42" s="128"/>
      <c r="J42" s="129"/>
      <c r="K42" s="126"/>
      <c r="L42" s="126"/>
      <c r="M42" s="125"/>
      <c r="N42" s="126"/>
    </row>
    <row r="43" spans="1:14" x14ac:dyDescent="0.35">
      <c r="A43" s="126"/>
      <c r="B43" s="127"/>
      <c r="C43" s="126"/>
      <c r="D43" s="126"/>
      <c r="E43" s="128"/>
      <c r="F43" s="128"/>
      <c r="G43" s="128"/>
      <c r="H43" s="128"/>
      <c r="I43" s="128"/>
      <c r="J43" s="129"/>
      <c r="K43" s="126"/>
      <c r="L43" s="126"/>
      <c r="M43" s="125"/>
      <c r="N43" s="126"/>
    </row>
    <row r="44" spans="1:14" x14ac:dyDescent="0.35">
      <c r="A44" s="126"/>
      <c r="B44" s="127"/>
      <c r="C44" s="126"/>
      <c r="D44" s="126"/>
      <c r="E44" s="128"/>
      <c r="F44" s="128"/>
      <c r="G44" s="128"/>
      <c r="H44" s="128"/>
      <c r="I44" s="128"/>
      <c r="J44" s="129"/>
      <c r="K44" s="126"/>
      <c r="L44" s="126"/>
      <c r="M44" s="125"/>
      <c r="N44" s="126"/>
    </row>
    <row r="45" spans="1:14" x14ac:dyDescent="0.35">
      <c r="A45" s="126"/>
      <c r="B45" s="127"/>
      <c r="C45" s="126"/>
      <c r="D45" s="126"/>
      <c r="E45" s="128"/>
      <c r="F45" s="128"/>
      <c r="G45" s="128"/>
      <c r="H45" s="128"/>
      <c r="I45" s="128"/>
      <c r="J45" s="129"/>
      <c r="K45" s="126"/>
      <c r="L45" s="126"/>
      <c r="M45" s="125"/>
      <c r="N45" s="126"/>
    </row>
    <row r="46" spans="1:14" x14ac:dyDescent="0.35">
      <c r="A46" s="126"/>
      <c r="B46" s="127"/>
      <c r="C46" s="126"/>
      <c r="D46" s="126"/>
      <c r="E46" s="128"/>
      <c r="F46" s="128"/>
      <c r="G46" s="128"/>
      <c r="H46" s="128"/>
      <c r="I46" s="128"/>
      <c r="J46" s="129"/>
      <c r="K46" s="126"/>
      <c r="L46" s="126"/>
      <c r="M46" s="125"/>
      <c r="N46" s="126"/>
    </row>
    <row r="47" spans="1:14" x14ac:dyDescent="0.35">
      <c r="A47" s="126"/>
      <c r="B47" s="127"/>
      <c r="C47" s="126"/>
      <c r="D47" s="126"/>
      <c r="E47" s="128"/>
      <c r="F47" s="128"/>
      <c r="G47" s="128"/>
      <c r="H47" s="128"/>
      <c r="I47" s="128"/>
      <c r="J47" s="129"/>
      <c r="K47" s="126"/>
      <c r="L47" s="126"/>
      <c r="M47" s="125"/>
      <c r="N47" s="126"/>
    </row>
    <row r="48" spans="1:14" x14ac:dyDescent="0.35">
      <c r="A48" s="126"/>
      <c r="B48" s="127"/>
      <c r="C48" s="126"/>
      <c r="D48" s="126"/>
      <c r="E48" s="128"/>
      <c r="F48" s="128"/>
      <c r="G48" s="128"/>
      <c r="H48" s="128"/>
      <c r="I48" s="128"/>
      <c r="J48" s="129"/>
      <c r="K48" s="126"/>
      <c r="L48" s="126"/>
      <c r="M48" s="125"/>
      <c r="N48" s="126"/>
    </row>
    <row r="49" spans="1:14" x14ac:dyDescent="0.35">
      <c r="A49" s="126"/>
      <c r="B49" s="127"/>
      <c r="C49" s="126"/>
      <c r="D49" s="126"/>
      <c r="E49" s="128"/>
      <c r="F49" s="128"/>
      <c r="G49" s="128"/>
      <c r="H49" s="128"/>
      <c r="I49" s="128"/>
      <c r="J49" s="129"/>
      <c r="K49" s="126"/>
      <c r="L49" s="126"/>
      <c r="M49" s="125"/>
      <c r="N49" s="126"/>
    </row>
    <row r="50" spans="1:14" x14ac:dyDescent="0.35">
      <c r="A50" s="126"/>
      <c r="B50" s="127"/>
      <c r="C50" s="126"/>
      <c r="D50" s="126"/>
      <c r="E50" s="128"/>
      <c r="F50" s="128"/>
      <c r="G50" s="128"/>
      <c r="H50" s="128"/>
      <c r="I50" s="128"/>
      <c r="J50" s="129"/>
      <c r="K50" s="126"/>
      <c r="L50" s="126"/>
      <c r="M50" s="125"/>
      <c r="N50" s="126"/>
    </row>
    <row r="51" spans="1:14" x14ac:dyDescent="0.35">
      <c r="A51" s="126"/>
      <c r="B51" s="127"/>
      <c r="C51" s="126"/>
      <c r="D51" s="126"/>
      <c r="E51" s="128"/>
      <c r="F51" s="128"/>
      <c r="G51" s="128"/>
      <c r="H51" s="128"/>
      <c r="I51" s="128"/>
      <c r="J51" s="129"/>
      <c r="K51" s="126"/>
      <c r="L51" s="126"/>
      <c r="M51" s="125"/>
      <c r="N51" s="126"/>
    </row>
    <row r="52" spans="1:14" x14ac:dyDescent="0.35">
      <c r="A52" s="126"/>
      <c r="B52" s="127"/>
      <c r="C52" s="126"/>
      <c r="D52" s="126"/>
      <c r="E52" s="128"/>
      <c r="F52" s="128"/>
      <c r="G52" s="128"/>
      <c r="H52" s="128"/>
      <c r="I52" s="128"/>
      <c r="J52" s="129"/>
      <c r="K52" s="126"/>
      <c r="L52" s="126"/>
      <c r="M52" s="125"/>
      <c r="N52" s="126"/>
    </row>
    <row r="53" spans="1:14" x14ac:dyDescent="0.35">
      <c r="A53" s="126"/>
      <c r="B53" s="127"/>
      <c r="C53" s="126"/>
      <c r="D53" s="126"/>
      <c r="E53" s="128"/>
      <c r="F53" s="128"/>
      <c r="G53" s="128"/>
      <c r="H53" s="128"/>
      <c r="I53" s="128"/>
      <c r="J53" s="129"/>
      <c r="K53" s="126"/>
      <c r="L53" s="126"/>
      <c r="M53" s="125"/>
      <c r="N53" s="126"/>
    </row>
    <row r="54" spans="1:14" x14ac:dyDescent="0.35">
      <c r="A54" s="126"/>
      <c r="B54" s="127"/>
      <c r="C54" s="126"/>
      <c r="D54" s="126"/>
      <c r="E54" s="128"/>
      <c r="F54" s="128"/>
      <c r="G54" s="128"/>
      <c r="H54" s="128"/>
      <c r="I54" s="128"/>
      <c r="J54" s="129"/>
      <c r="K54" s="126"/>
      <c r="L54" s="126"/>
      <c r="M54" s="125"/>
      <c r="N54" s="126"/>
    </row>
    <row r="55" spans="1:14" x14ac:dyDescent="0.35">
      <c r="A55" s="126"/>
      <c r="B55" s="127"/>
      <c r="C55" s="126"/>
      <c r="D55" s="126"/>
      <c r="E55" s="128"/>
      <c r="F55" s="128"/>
      <c r="G55" s="128"/>
      <c r="H55" s="128"/>
      <c r="I55" s="128"/>
      <c r="J55" s="129"/>
      <c r="K55" s="126"/>
      <c r="L55" s="126"/>
      <c r="M55" s="125"/>
      <c r="N55" s="126"/>
    </row>
    <row r="56" spans="1:14" x14ac:dyDescent="0.35">
      <c r="A56" s="126"/>
      <c r="B56" s="127"/>
      <c r="C56" s="126"/>
      <c r="D56" s="126"/>
      <c r="E56" s="128"/>
      <c r="F56" s="128"/>
      <c r="G56" s="128"/>
      <c r="H56" s="128"/>
      <c r="I56" s="128"/>
      <c r="J56" s="129"/>
      <c r="K56" s="126"/>
      <c r="L56" s="126"/>
      <c r="M56" s="125"/>
      <c r="N56" s="126"/>
    </row>
    <row r="57" spans="1:14" x14ac:dyDescent="0.35">
      <c r="A57" s="126"/>
      <c r="B57" s="127"/>
      <c r="C57" s="126"/>
      <c r="D57" s="126"/>
      <c r="E57" s="128"/>
      <c r="F57" s="128"/>
      <c r="G57" s="128"/>
      <c r="H57" s="128"/>
      <c r="I57" s="128"/>
      <c r="J57" s="129"/>
      <c r="K57" s="126"/>
      <c r="L57" s="126"/>
      <c r="M57" s="125"/>
      <c r="N57" s="126"/>
    </row>
    <row r="58" spans="1:14" x14ac:dyDescent="0.35">
      <c r="A58" s="126"/>
      <c r="B58" s="127"/>
      <c r="C58" s="126"/>
      <c r="D58" s="126"/>
      <c r="E58" s="128"/>
      <c r="F58" s="128"/>
      <c r="G58" s="128"/>
      <c r="H58" s="128"/>
      <c r="I58" s="128"/>
      <c r="J58" s="126"/>
      <c r="K58" s="126"/>
      <c r="L58" s="126"/>
      <c r="M58" s="125"/>
      <c r="N58" s="126"/>
    </row>
    <row r="59" spans="1:14" x14ac:dyDescent="0.35">
      <c r="A59" s="126"/>
      <c r="B59" s="127"/>
      <c r="C59" s="126"/>
      <c r="D59" s="126"/>
      <c r="E59" s="128"/>
      <c r="F59" s="128"/>
      <c r="G59" s="128"/>
      <c r="H59" s="128"/>
      <c r="I59" s="128"/>
      <c r="J59" s="126"/>
      <c r="K59" s="126"/>
      <c r="L59" s="126"/>
      <c r="M59" s="125"/>
      <c r="N59" s="126"/>
    </row>
    <row r="60" spans="1:14" x14ac:dyDescent="0.35">
      <c r="A60" s="126"/>
      <c r="B60" s="127"/>
      <c r="C60" s="126"/>
      <c r="D60" s="126"/>
      <c r="E60" s="128"/>
      <c r="F60" s="128"/>
      <c r="G60" s="128"/>
      <c r="H60" s="128"/>
      <c r="I60" s="128"/>
      <c r="J60" s="126"/>
      <c r="K60" s="126"/>
      <c r="L60" s="126"/>
      <c r="M60" s="125"/>
      <c r="N60" s="126"/>
    </row>
    <row r="61" spans="1:14" x14ac:dyDescent="0.35">
      <c r="A61" s="126"/>
      <c r="B61" s="127"/>
      <c r="C61" s="126"/>
      <c r="D61" s="126"/>
      <c r="E61" s="128"/>
      <c r="F61" s="128"/>
      <c r="G61" s="128"/>
      <c r="H61" s="128"/>
      <c r="I61" s="128"/>
      <c r="J61" s="126"/>
      <c r="K61" s="126"/>
      <c r="L61" s="126"/>
      <c r="M61" s="125"/>
      <c r="N61" s="126"/>
    </row>
    <row r="62" spans="1:14" x14ac:dyDescent="0.35">
      <c r="A62" s="126"/>
      <c r="B62" s="127"/>
      <c r="C62" s="126"/>
      <c r="D62" s="126"/>
      <c r="E62" s="128"/>
      <c r="F62" s="128"/>
      <c r="G62" s="128"/>
      <c r="H62" s="128"/>
      <c r="I62" s="128"/>
      <c r="J62" s="126"/>
      <c r="K62" s="126"/>
      <c r="L62" s="126"/>
      <c r="M62" s="125"/>
      <c r="N62" s="126"/>
    </row>
    <row r="63" spans="1:14" x14ac:dyDescent="0.35">
      <c r="A63" s="126"/>
      <c r="B63" s="127"/>
      <c r="C63" s="126"/>
      <c r="D63" s="126"/>
      <c r="E63" s="128"/>
      <c r="F63" s="128"/>
      <c r="G63" s="128"/>
      <c r="H63" s="128"/>
      <c r="I63" s="128"/>
      <c r="J63" s="126"/>
      <c r="K63" s="126"/>
      <c r="L63" s="126"/>
      <c r="M63" s="125"/>
      <c r="N63" s="126"/>
    </row>
    <row r="64" spans="1:14" x14ac:dyDescent="0.35">
      <c r="A64" s="126"/>
      <c r="B64" s="127"/>
      <c r="C64" s="126"/>
      <c r="D64" s="126"/>
      <c r="E64" s="128"/>
      <c r="F64" s="128"/>
      <c r="G64" s="128"/>
      <c r="H64" s="128"/>
      <c r="I64" s="128"/>
      <c r="J64" s="126"/>
      <c r="K64" s="126"/>
      <c r="L64" s="126"/>
      <c r="M64" s="125"/>
      <c r="N64" s="126"/>
    </row>
    <row r="65" spans="1:14" x14ac:dyDescent="0.35">
      <c r="A65" s="126"/>
      <c r="B65" s="127"/>
      <c r="C65" s="126"/>
      <c r="D65" s="126"/>
      <c r="E65" s="128"/>
      <c r="F65" s="128"/>
      <c r="G65" s="128"/>
      <c r="H65" s="128"/>
      <c r="I65" s="128"/>
      <c r="J65" s="126"/>
      <c r="K65" s="126"/>
      <c r="L65" s="126"/>
      <c r="M65" s="125"/>
      <c r="N65" s="126"/>
    </row>
    <row r="66" spans="1:14" x14ac:dyDescent="0.35">
      <c r="A66" s="126"/>
      <c r="B66" s="127"/>
      <c r="C66" s="126"/>
      <c r="D66" s="126"/>
      <c r="E66" s="128"/>
      <c r="F66" s="128"/>
      <c r="G66" s="128"/>
      <c r="H66" s="128"/>
      <c r="I66" s="128"/>
      <c r="J66" s="126"/>
      <c r="K66" s="126"/>
      <c r="L66" s="126"/>
      <c r="M66" s="125"/>
      <c r="N66" s="126"/>
    </row>
    <row r="67" spans="1:14" x14ac:dyDescent="0.35">
      <c r="A67" s="126"/>
      <c r="B67" s="127"/>
      <c r="C67" s="126"/>
      <c r="D67" s="126"/>
      <c r="E67" s="128"/>
      <c r="F67" s="128"/>
      <c r="G67" s="128"/>
      <c r="H67" s="128"/>
      <c r="I67" s="128"/>
      <c r="J67" s="126"/>
      <c r="K67" s="126"/>
      <c r="L67" s="126"/>
      <c r="M67" s="125"/>
      <c r="N67" s="126"/>
    </row>
    <row r="68" spans="1:14" x14ac:dyDescent="0.35">
      <c r="A68" s="126"/>
      <c r="B68" s="127"/>
      <c r="C68" s="126"/>
      <c r="D68" s="126"/>
      <c r="E68" s="128"/>
      <c r="F68" s="128"/>
      <c r="G68" s="128"/>
      <c r="H68" s="128"/>
      <c r="I68" s="128"/>
      <c r="J68" s="126"/>
      <c r="K68" s="126"/>
      <c r="L68" s="126"/>
      <c r="M68" s="125"/>
      <c r="N68" s="126"/>
    </row>
    <row r="69" spans="1:14" x14ac:dyDescent="0.35">
      <c r="A69" s="126"/>
      <c r="B69" s="127"/>
      <c r="C69" s="126"/>
      <c r="D69" s="126"/>
      <c r="E69" s="128"/>
      <c r="F69" s="128"/>
      <c r="G69" s="128"/>
      <c r="H69" s="128"/>
      <c r="I69" s="128"/>
      <c r="J69" s="126"/>
      <c r="K69" s="126"/>
      <c r="L69" s="126"/>
      <c r="M69" s="125"/>
      <c r="N69" s="126"/>
    </row>
    <row r="70" spans="1:14" x14ac:dyDescent="0.35">
      <c r="A70" s="126"/>
      <c r="B70" s="127"/>
      <c r="C70" s="126"/>
      <c r="D70" s="126"/>
      <c r="E70" s="128"/>
      <c r="F70" s="128"/>
      <c r="G70" s="128"/>
      <c r="H70" s="128"/>
      <c r="I70" s="128"/>
      <c r="J70" s="126"/>
      <c r="K70" s="126"/>
      <c r="L70" s="126"/>
      <c r="M70" s="125"/>
      <c r="N70" s="126"/>
    </row>
    <row r="71" spans="1:14" x14ac:dyDescent="0.35">
      <c r="A71" s="126"/>
      <c r="B71" s="127"/>
      <c r="C71" s="126"/>
      <c r="D71" s="126"/>
      <c r="E71" s="128"/>
      <c r="F71" s="128"/>
      <c r="G71" s="128"/>
      <c r="H71" s="128"/>
      <c r="I71" s="128"/>
      <c r="J71" s="126"/>
      <c r="K71" s="126"/>
      <c r="L71" s="126"/>
      <c r="M71" s="125"/>
      <c r="N71" s="126"/>
    </row>
    <row r="72" spans="1:14" x14ac:dyDescent="0.35">
      <c r="A72" s="126"/>
      <c r="B72" s="127"/>
      <c r="C72" s="126"/>
      <c r="D72" s="126"/>
      <c r="E72" s="128"/>
      <c r="F72" s="128"/>
      <c r="G72" s="128"/>
      <c r="H72" s="128"/>
      <c r="I72" s="128"/>
      <c r="J72" s="126"/>
      <c r="K72" s="126"/>
      <c r="L72" s="126"/>
      <c r="M72" s="125"/>
      <c r="N72" s="126"/>
    </row>
    <row r="73" spans="1:14" x14ac:dyDescent="0.35">
      <c r="A73" s="126"/>
      <c r="B73" s="127"/>
      <c r="C73" s="126"/>
      <c r="D73" s="126"/>
      <c r="E73" s="128"/>
      <c r="F73" s="128"/>
      <c r="G73" s="128"/>
      <c r="H73" s="128"/>
      <c r="I73" s="128"/>
      <c r="J73" s="126"/>
      <c r="K73" s="126"/>
      <c r="L73" s="126"/>
      <c r="M73" s="125"/>
      <c r="N73" s="126"/>
    </row>
    <row r="74" spans="1:14" x14ac:dyDescent="0.35">
      <c r="A74" s="126"/>
      <c r="B74" s="127"/>
      <c r="C74" s="126"/>
      <c r="D74" s="126"/>
      <c r="E74" s="128"/>
      <c r="F74" s="128"/>
      <c r="G74" s="128"/>
      <c r="H74" s="128"/>
      <c r="I74" s="128"/>
      <c r="J74" s="126"/>
      <c r="K74" s="126"/>
      <c r="L74" s="126"/>
      <c r="M74" s="125"/>
      <c r="N74" s="126"/>
    </row>
    <row r="75" spans="1:14" x14ac:dyDescent="0.35">
      <c r="A75" s="126"/>
      <c r="B75" s="127"/>
      <c r="C75" s="126"/>
      <c r="D75" s="126"/>
      <c r="E75" s="128"/>
      <c r="F75" s="128"/>
      <c r="G75" s="128"/>
      <c r="H75" s="128"/>
      <c r="I75" s="128"/>
      <c r="J75" s="126"/>
      <c r="K75" s="126"/>
      <c r="L75" s="126"/>
      <c r="M75" s="125"/>
      <c r="N75" s="126"/>
    </row>
    <row r="76" spans="1:14" x14ac:dyDescent="0.35">
      <c r="A76" s="126"/>
      <c r="B76" s="127"/>
      <c r="C76" s="126"/>
      <c r="D76" s="126"/>
      <c r="E76" s="128"/>
      <c r="F76" s="128"/>
      <c r="G76" s="128"/>
      <c r="H76" s="128"/>
      <c r="I76" s="128"/>
      <c r="J76" s="126"/>
      <c r="K76" s="126"/>
      <c r="L76" s="126"/>
      <c r="M76" s="125"/>
      <c r="N76" s="126"/>
    </row>
    <row r="77" spans="1:14" x14ac:dyDescent="0.35">
      <c r="A77" s="126"/>
      <c r="B77" s="127"/>
      <c r="C77" s="126"/>
      <c r="D77" s="126"/>
      <c r="E77" s="128"/>
      <c r="F77" s="128"/>
      <c r="G77" s="128"/>
      <c r="H77" s="128"/>
      <c r="I77" s="128"/>
      <c r="J77" s="126"/>
      <c r="K77" s="126"/>
      <c r="L77" s="126"/>
      <c r="M77" s="125"/>
      <c r="N77" s="126"/>
    </row>
    <row r="78" spans="1:14" x14ac:dyDescent="0.35">
      <c r="A78" s="126"/>
      <c r="B78" s="127"/>
      <c r="C78" s="126"/>
      <c r="D78" s="126"/>
      <c r="E78" s="128"/>
      <c r="F78" s="128"/>
      <c r="G78" s="128"/>
      <c r="H78" s="128"/>
      <c r="I78" s="128"/>
      <c r="J78" s="126"/>
      <c r="K78" s="126"/>
      <c r="L78" s="126"/>
      <c r="M78" s="125"/>
      <c r="N78" s="126"/>
    </row>
    <row r="79" spans="1:14" x14ac:dyDescent="0.35">
      <c r="A79" s="126"/>
      <c r="B79" s="127"/>
      <c r="C79" s="126"/>
      <c r="D79" s="126"/>
      <c r="E79" s="128"/>
      <c r="F79" s="128"/>
      <c r="G79" s="128"/>
      <c r="H79" s="128"/>
      <c r="I79" s="128"/>
      <c r="J79" s="126"/>
      <c r="K79" s="126"/>
      <c r="L79" s="126"/>
      <c r="M79" s="125"/>
      <c r="N79" s="126"/>
    </row>
    <row r="80" spans="1:14" x14ac:dyDescent="0.35">
      <c r="A80" s="126"/>
      <c r="B80" s="127"/>
      <c r="C80" s="126"/>
      <c r="D80" s="126"/>
      <c r="E80" s="128"/>
      <c r="F80" s="128"/>
      <c r="G80" s="128"/>
      <c r="H80" s="128"/>
      <c r="I80" s="128"/>
      <c r="J80" s="126"/>
      <c r="K80" s="126"/>
      <c r="L80" s="126"/>
      <c r="M80" s="125"/>
      <c r="N80" s="126"/>
    </row>
    <row r="81" spans="1:14" x14ac:dyDescent="0.35">
      <c r="A81" s="126"/>
      <c r="B81" s="127"/>
      <c r="C81" s="126"/>
      <c r="D81" s="126"/>
      <c r="E81" s="128"/>
      <c r="F81" s="128"/>
      <c r="G81" s="128"/>
      <c r="H81" s="128"/>
      <c r="I81" s="128"/>
      <c r="J81" s="126"/>
      <c r="K81" s="126"/>
      <c r="L81" s="126"/>
      <c r="M81" s="125"/>
      <c r="N81" s="126"/>
    </row>
    <row r="82" spans="1:14" x14ac:dyDescent="0.35">
      <c r="A82" s="126"/>
      <c r="B82" s="127"/>
      <c r="C82" s="126"/>
      <c r="D82" s="126"/>
      <c r="E82" s="128"/>
      <c r="F82" s="128"/>
      <c r="G82" s="128"/>
      <c r="H82" s="128"/>
      <c r="I82" s="128"/>
      <c r="J82" s="126"/>
      <c r="K82" s="126"/>
      <c r="L82" s="126"/>
      <c r="M82" s="125"/>
      <c r="N82" s="126"/>
    </row>
    <row r="83" spans="1:14" x14ac:dyDescent="0.35">
      <c r="A83" s="126"/>
      <c r="B83" s="127"/>
      <c r="C83" s="126"/>
      <c r="D83" s="126"/>
      <c r="E83" s="128"/>
      <c r="F83" s="128"/>
      <c r="G83" s="128"/>
      <c r="H83" s="128"/>
      <c r="I83" s="128"/>
      <c r="J83" s="126"/>
      <c r="K83" s="126"/>
      <c r="L83" s="126"/>
      <c r="M83" s="125"/>
      <c r="N83" s="126"/>
    </row>
    <row r="84" spans="1:14" x14ac:dyDescent="0.35">
      <c r="A84" s="126"/>
      <c r="B84" s="127"/>
      <c r="C84" s="126"/>
      <c r="D84" s="126"/>
      <c r="E84" s="128"/>
      <c r="F84" s="128"/>
      <c r="G84" s="128"/>
      <c r="H84" s="128"/>
      <c r="I84" s="128"/>
      <c r="J84" s="126"/>
      <c r="K84" s="126"/>
      <c r="L84" s="126"/>
      <c r="M84" s="125"/>
      <c r="N84" s="126"/>
    </row>
    <row r="85" spans="1:14" x14ac:dyDescent="0.35">
      <c r="A85" s="126"/>
      <c r="B85" s="127"/>
      <c r="C85" s="126"/>
      <c r="D85" s="126"/>
      <c r="E85" s="128"/>
      <c r="F85" s="128"/>
      <c r="G85" s="128"/>
      <c r="H85" s="128"/>
      <c r="I85" s="128"/>
      <c r="J85" s="126"/>
      <c r="K85" s="126"/>
      <c r="L85" s="126"/>
      <c r="M85" s="125"/>
      <c r="N85" s="126"/>
    </row>
    <row r="86" spans="1:14" x14ac:dyDescent="0.35">
      <c r="A86" s="126"/>
      <c r="B86" s="127"/>
      <c r="C86" s="126"/>
      <c r="D86" s="126"/>
      <c r="E86" s="128"/>
      <c r="F86" s="128"/>
      <c r="G86" s="128"/>
      <c r="H86" s="128"/>
      <c r="I86" s="128"/>
      <c r="J86" s="126"/>
      <c r="K86" s="126"/>
      <c r="L86" s="126"/>
      <c r="M86" s="125"/>
      <c r="N86" s="126"/>
    </row>
    <row r="87" spans="1:14" x14ac:dyDescent="0.35">
      <c r="A87" s="126"/>
      <c r="B87" s="127"/>
      <c r="C87" s="126"/>
      <c r="D87" s="126"/>
      <c r="E87" s="128"/>
      <c r="F87" s="128"/>
      <c r="G87" s="128"/>
      <c r="H87" s="128"/>
      <c r="I87" s="128"/>
      <c r="J87" s="126"/>
      <c r="K87" s="126"/>
      <c r="L87" s="126"/>
      <c r="M87" s="125"/>
      <c r="N87" s="126"/>
    </row>
    <row r="88" spans="1:14" x14ac:dyDescent="0.35">
      <c r="A88" s="126"/>
      <c r="B88" s="127"/>
      <c r="C88" s="126"/>
      <c r="D88" s="126"/>
      <c r="E88" s="128"/>
      <c r="F88" s="128"/>
      <c r="G88" s="128"/>
      <c r="H88" s="128"/>
      <c r="I88" s="128"/>
      <c r="J88" s="126"/>
      <c r="K88" s="126"/>
      <c r="L88" s="126"/>
      <c r="M88" s="125"/>
      <c r="N88" s="126"/>
    </row>
    <row r="89" spans="1:14" x14ac:dyDescent="0.35">
      <c r="A89" s="126"/>
      <c r="B89" s="127"/>
      <c r="C89" s="126"/>
      <c r="D89" s="126"/>
      <c r="E89" s="128"/>
      <c r="F89" s="128"/>
      <c r="G89" s="128"/>
      <c r="H89" s="128"/>
      <c r="I89" s="128"/>
      <c r="J89" s="126"/>
      <c r="K89" s="126"/>
      <c r="L89" s="126"/>
      <c r="M89" s="125"/>
      <c r="N89" s="126"/>
    </row>
    <row r="90" spans="1:14" x14ac:dyDescent="0.35">
      <c r="A90" s="126"/>
      <c r="B90" s="127"/>
      <c r="C90" s="126"/>
      <c r="D90" s="126"/>
      <c r="E90" s="128"/>
      <c r="F90" s="128"/>
      <c r="G90" s="128"/>
      <c r="H90" s="128"/>
      <c r="I90" s="128"/>
      <c r="J90" s="126"/>
      <c r="K90" s="126"/>
      <c r="L90" s="126"/>
      <c r="M90" s="125"/>
      <c r="N90" s="126"/>
    </row>
    <row r="91" spans="1:14" x14ac:dyDescent="0.35">
      <c r="A91" s="126"/>
      <c r="B91" s="127"/>
      <c r="C91" s="126"/>
      <c r="D91" s="126"/>
      <c r="E91" s="128"/>
      <c r="F91" s="128"/>
      <c r="G91" s="128"/>
      <c r="H91" s="128"/>
      <c r="I91" s="128"/>
      <c r="J91" s="126"/>
      <c r="K91" s="126"/>
      <c r="L91" s="126"/>
      <c r="M91" s="125"/>
      <c r="N91" s="126"/>
    </row>
    <row r="92" spans="1:14" x14ac:dyDescent="0.35">
      <c r="A92" s="126"/>
      <c r="B92" s="127"/>
      <c r="C92" s="126"/>
      <c r="D92" s="126"/>
      <c r="E92" s="128"/>
      <c r="F92" s="128"/>
      <c r="G92" s="128"/>
      <c r="H92" s="128"/>
      <c r="I92" s="128"/>
      <c r="J92" s="126"/>
      <c r="K92" s="126"/>
      <c r="L92" s="126"/>
      <c r="M92" s="125"/>
      <c r="N92" s="126"/>
    </row>
    <row r="93" spans="1:14" x14ac:dyDescent="0.35">
      <c r="A93" s="126"/>
      <c r="B93" s="127"/>
      <c r="C93" s="126"/>
      <c r="D93" s="126"/>
      <c r="E93" s="128"/>
      <c r="F93" s="128"/>
      <c r="G93" s="128"/>
      <c r="H93" s="128"/>
      <c r="I93" s="128"/>
      <c r="J93" s="126"/>
      <c r="K93" s="126"/>
      <c r="L93" s="126"/>
      <c r="M93" s="125"/>
      <c r="N93" s="126"/>
    </row>
    <row r="94" spans="1:14" x14ac:dyDescent="0.35">
      <c r="A94" s="126"/>
      <c r="B94" s="127"/>
      <c r="C94" s="126"/>
      <c r="D94" s="126"/>
      <c r="E94" s="128"/>
      <c r="F94" s="128"/>
      <c r="G94" s="128"/>
      <c r="H94" s="128"/>
      <c r="I94" s="128"/>
      <c r="J94" s="126"/>
      <c r="K94" s="126"/>
      <c r="L94" s="126"/>
      <c r="M94" s="125"/>
      <c r="N94" s="126"/>
    </row>
    <row r="95" spans="1:14" x14ac:dyDescent="0.35">
      <c r="A95" s="126"/>
      <c r="B95" s="127"/>
      <c r="C95" s="126"/>
      <c r="D95" s="126"/>
      <c r="E95" s="128"/>
      <c r="F95" s="128"/>
      <c r="G95" s="128"/>
      <c r="H95" s="128"/>
      <c r="I95" s="128"/>
      <c r="J95" s="126"/>
      <c r="K95" s="126"/>
      <c r="L95" s="126"/>
      <c r="M95" s="125"/>
      <c r="N95" s="126"/>
    </row>
    <row r="96" spans="1:14" x14ac:dyDescent="0.35">
      <c r="A96" s="126"/>
      <c r="B96" s="127"/>
      <c r="C96" s="126"/>
      <c r="D96" s="126"/>
      <c r="E96" s="128"/>
      <c r="F96" s="128"/>
      <c r="G96" s="128"/>
      <c r="H96" s="128"/>
      <c r="I96" s="128"/>
      <c r="J96" s="126"/>
      <c r="K96" s="126"/>
      <c r="L96" s="126"/>
      <c r="M96" s="125"/>
      <c r="N96" s="126"/>
    </row>
    <row r="97" spans="1:14" x14ac:dyDescent="0.35">
      <c r="A97" s="126"/>
      <c r="B97" s="127"/>
      <c r="C97" s="126"/>
      <c r="D97" s="126"/>
      <c r="E97" s="128"/>
      <c r="F97" s="128"/>
      <c r="G97" s="128"/>
      <c r="H97" s="128"/>
      <c r="I97" s="128"/>
      <c r="J97" s="126"/>
      <c r="K97" s="126"/>
      <c r="L97" s="126"/>
      <c r="M97" s="125"/>
      <c r="N97" s="126"/>
    </row>
    <row r="98" spans="1:14" x14ac:dyDescent="0.35">
      <c r="A98" s="126"/>
      <c r="B98" s="127"/>
      <c r="C98" s="126"/>
      <c r="D98" s="126"/>
      <c r="E98" s="128"/>
      <c r="F98" s="128"/>
      <c r="G98" s="128"/>
      <c r="H98" s="128"/>
      <c r="I98" s="128"/>
      <c r="J98" s="126"/>
      <c r="K98" s="126"/>
      <c r="L98" s="126"/>
      <c r="M98" s="125"/>
      <c r="N98" s="126"/>
    </row>
    <row r="99" spans="1:14" x14ac:dyDescent="0.35">
      <c r="A99" s="126"/>
      <c r="B99" s="127"/>
      <c r="C99" s="126"/>
      <c r="D99" s="126"/>
      <c r="E99" s="128"/>
      <c r="F99" s="128"/>
      <c r="G99" s="128"/>
      <c r="H99" s="128"/>
      <c r="I99" s="128"/>
      <c r="J99" s="126"/>
      <c r="K99" s="126"/>
      <c r="L99" s="126"/>
      <c r="M99" s="125"/>
      <c r="N99" s="126"/>
    </row>
    <row r="100" spans="1:14" x14ac:dyDescent="0.35">
      <c r="A100" s="126"/>
      <c r="B100" s="127"/>
      <c r="C100" s="126"/>
      <c r="D100" s="126"/>
      <c r="E100" s="128"/>
      <c r="F100" s="128"/>
      <c r="G100" s="128"/>
      <c r="H100" s="128"/>
      <c r="I100" s="128"/>
      <c r="J100" s="126"/>
      <c r="K100" s="126"/>
      <c r="L100" s="126"/>
      <c r="M100" s="125"/>
      <c r="N100" s="126"/>
    </row>
    <row r="101" spans="1:14" x14ac:dyDescent="0.35">
      <c r="A101" s="126"/>
      <c r="B101" s="127"/>
      <c r="C101" s="126"/>
      <c r="D101" s="126"/>
      <c r="E101" s="128"/>
      <c r="F101" s="128"/>
      <c r="G101" s="128"/>
      <c r="H101" s="128"/>
      <c r="I101" s="128"/>
      <c r="J101" s="126"/>
      <c r="K101" s="126"/>
      <c r="L101" s="126"/>
      <c r="M101" s="125"/>
      <c r="N101" s="126"/>
    </row>
    <row r="102" spans="1:14" x14ac:dyDescent="0.35">
      <c r="A102" s="126"/>
      <c r="B102" s="127"/>
      <c r="C102" s="126"/>
      <c r="D102" s="126"/>
      <c r="E102" s="128"/>
      <c r="F102" s="128"/>
      <c r="G102" s="128"/>
      <c r="H102" s="128"/>
      <c r="I102" s="128"/>
      <c r="J102" s="126"/>
      <c r="K102" s="126"/>
      <c r="L102" s="126"/>
      <c r="M102" s="125"/>
      <c r="N102" s="126"/>
    </row>
    <row r="103" spans="1:14" x14ac:dyDescent="0.35">
      <c r="A103" s="126"/>
      <c r="B103" s="127"/>
      <c r="C103" s="126"/>
      <c r="D103" s="126"/>
      <c r="E103" s="128"/>
      <c r="F103" s="128"/>
      <c r="G103" s="128"/>
      <c r="H103" s="128"/>
      <c r="I103" s="128"/>
      <c r="J103" s="126"/>
      <c r="K103" s="126"/>
      <c r="L103" s="126"/>
      <c r="M103" s="125"/>
      <c r="N103" s="126"/>
    </row>
    <row r="104" spans="1:14" x14ac:dyDescent="0.35">
      <c r="A104" s="126"/>
      <c r="B104" s="127"/>
      <c r="C104" s="126"/>
      <c r="D104" s="126"/>
      <c r="E104" s="128"/>
      <c r="F104" s="128"/>
      <c r="G104" s="128"/>
      <c r="H104" s="128"/>
      <c r="I104" s="128"/>
      <c r="J104" s="126"/>
      <c r="K104" s="126"/>
      <c r="L104" s="126"/>
      <c r="M104" s="125"/>
      <c r="N104" s="126"/>
    </row>
    <row r="105" spans="1:14" x14ac:dyDescent="0.35">
      <c r="A105" s="126"/>
      <c r="B105" s="127"/>
      <c r="C105" s="126"/>
      <c r="D105" s="126"/>
      <c r="E105" s="128"/>
      <c r="F105" s="128"/>
      <c r="G105" s="128"/>
      <c r="H105" s="128"/>
      <c r="I105" s="128"/>
      <c r="J105" s="126"/>
      <c r="K105" s="126"/>
      <c r="L105" s="126"/>
      <c r="M105" s="125"/>
      <c r="N105" s="126"/>
    </row>
    <row r="106" spans="1:14" x14ac:dyDescent="0.35">
      <c r="A106" s="126"/>
      <c r="B106" s="127"/>
      <c r="C106" s="126"/>
      <c r="D106" s="126"/>
      <c r="E106" s="128"/>
      <c r="F106" s="128"/>
      <c r="G106" s="128"/>
      <c r="H106" s="128"/>
      <c r="I106" s="128"/>
      <c r="J106" s="126"/>
      <c r="K106" s="126"/>
      <c r="L106" s="126"/>
      <c r="M106" s="125"/>
      <c r="N106" s="126"/>
    </row>
    <row r="107" spans="1:14" x14ac:dyDescent="0.35">
      <c r="A107" s="126"/>
      <c r="B107" s="127"/>
      <c r="C107" s="126"/>
      <c r="D107" s="126"/>
      <c r="E107" s="128"/>
      <c r="F107" s="128"/>
      <c r="G107" s="128"/>
      <c r="H107" s="128"/>
      <c r="I107" s="128"/>
      <c r="J107" s="126"/>
      <c r="K107" s="126"/>
      <c r="L107" s="126"/>
      <c r="M107" s="125"/>
      <c r="N107" s="126"/>
    </row>
    <row r="108" spans="1:14" x14ac:dyDescent="0.35">
      <c r="A108" s="126"/>
      <c r="B108" s="127"/>
      <c r="C108" s="126"/>
      <c r="D108" s="126"/>
      <c r="E108" s="128"/>
      <c r="F108" s="128"/>
      <c r="G108" s="128"/>
      <c r="H108" s="128"/>
      <c r="I108" s="128"/>
      <c r="J108" s="126"/>
      <c r="K108" s="126"/>
      <c r="L108" s="126"/>
      <c r="M108" s="125"/>
      <c r="N108" s="126"/>
    </row>
    <row r="109" spans="1:14" x14ac:dyDescent="0.35">
      <c r="A109" s="126"/>
      <c r="B109" s="127"/>
      <c r="C109" s="126"/>
      <c r="D109" s="126"/>
      <c r="E109" s="128"/>
      <c r="F109" s="128"/>
      <c r="G109" s="128"/>
      <c r="H109" s="128"/>
      <c r="I109" s="128"/>
      <c r="J109" s="126"/>
      <c r="K109" s="126"/>
      <c r="L109" s="126"/>
      <c r="M109" s="125"/>
      <c r="N109" s="126"/>
    </row>
    <row r="110" spans="1:14" x14ac:dyDescent="0.35">
      <c r="A110" s="126"/>
      <c r="B110" s="127"/>
      <c r="C110" s="126"/>
      <c r="D110" s="126"/>
      <c r="E110" s="128"/>
      <c r="F110" s="128"/>
      <c r="G110" s="128"/>
      <c r="H110" s="128"/>
      <c r="I110" s="128"/>
      <c r="J110" s="126"/>
      <c r="K110" s="126"/>
      <c r="L110" s="126"/>
      <c r="M110" s="125"/>
      <c r="N110" s="126"/>
    </row>
    <row r="111" spans="1:14" x14ac:dyDescent="0.35">
      <c r="A111" s="126"/>
      <c r="B111" s="127"/>
      <c r="C111" s="126"/>
      <c r="D111" s="126"/>
      <c r="E111" s="128"/>
      <c r="F111" s="128"/>
      <c r="G111" s="128"/>
      <c r="H111" s="128"/>
      <c r="I111" s="128"/>
      <c r="J111" s="126"/>
      <c r="K111" s="126"/>
      <c r="L111" s="126"/>
      <c r="M111" s="125"/>
      <c r="N111" s="126"/>
    </row>
    <row r="112" spans="1:14" x14ac:dyDescent="0.35">
      <c r="A112" s="126"/>
      <c r="B112" s="127"/>
      <c r="C112" s="126"/>
      <c r="D112" s="126"/>
      <c r="E112" s="128"/>
      <c r="F112" s="128"/>
      <c r="G112" s="128"/>
      <c r="H112" s="128"/>
      <c r="I112" s="128"/>
      <c r="J112" s="126"/>
      <c r="K112" s="126"/>
      <c r="L112" s="126"/>
      <c r="M112" s="125"/>
      <c r="N112" s="126"/>
    </row>
    <row r="113" spans="1:14" x14ac:dyDescent="0.35">
      <c r="A113" s="126"/>
      <c r="B113" s="127"/>
      <c r="C113" s="126"/>
      <c r="D113" s="126"/>
      <c r="E113" s="128"/>
      <c r="F113" s="128"/>
      <c r="G113" s="128"/>
      <c r="H113" s="128"/>
      <c r="I113" s="128"/>
      <c r="J113" s="126"/>
      <c r="K113" s="126"/>
      <c r="L113" s="126"/>
      <c r="M113" s="125"/>
      <c r="N113" s="126"/>
    </row>
    <row r="114" spans="1:14" x14ac:dyDescent="0.35">
      <c r="A114" s="126"/>
      <c r="B114" s="127"/>
      <c r="C114" s="126"/>
      <c r="D114" s="126"/>
      <c r="E114" s="128"/>
      <c r="F114" s="128"/>
      <c r="G114" s="128"/>
      <c r="H114" s="128"/>
      <c r="I114" s="128"/>
      <c r="J114" s="126"/>
      <c r="K114" s="126"/>
      <c r="L114" s="126"/>
      <c r="M114" s="125"/>
      <c r="N114" s="126"/>
    </row>
    <row r="115" spans="1:14" x14ac:dyDescent="0.35">
      <c r="A115" s="126"/>
      <c r="B115" s="127"/>
      <c r="C115" s="126"/>
      <c r="D115" s="126"/>
      <c r="E115" s="128"/>
      <c r="F115" s="128"/>
      <c r="G115" s="128"/>
      <c r="H115" s="128"/>
      <c r="I115" s="128"/>
      <c r="J115" s="126"/>
      <c r="K115" s="126"/>
      <c r="L115" s="126"/>
      <c r="M115" s="125"/>
      <c r="N115" s="126"/>
    </row>
    <row r="116" spans="1:14" x14ac:dyDescent="0.35">
      <c r="A116" s="126"/>
      <c r="B116" s="127"/>
      <c r="C116" s="126"/>
      <c r="D116" s="126"/>
      <c r="E116" s="128"/>
      <c r="F116" s="128"/>
      <c r="G116" s="128"/>
      <c r="H116" s="128"/>
      <c r="I116" s="128"/>
      <c r="J116" s="126"/>
      <c r="K116" s="126"/>
      <c r="L116" s="126"/>
      <c r="M116" s="125"/>
      <c r="N116" s="126"/>
    </row>
    <row r="117" spans="1:14" x14ac:dyDescent="0.35">
      <c r="A117" s="126"/>
      <c r="B117" s="127"/>
      <c r="C117" s="126"/>
      <c r="D117" s="126"/>
      <c r="E117" s="128"/>
      <c r="F117" s="128"/>
      <c r="G117" s="128"/>
      <c r="H117" s="128"/>
      <c r="I117" s="128"/>
      <c r="J117" s="126"/>
      <c r="K117" s="126"/>
      <c r="L117" s="126"/>
      <c r="M117" s="125"/>
      <c r="N117" s="126"/>
    </row>
    <row r="118" spans="1:14" x14ac:dyDescent="0.35">
      <c r="A118" s="126"/>
      <c r="B118" s="127"/>
      <c r="C118" s="126"/>
      <c r="D118" s="126"/>
      <c r="E118" s="128"/>
      <c r="F118" s="128"/>
      <c r="G118" s="128"/>
      <c r="H118" s="128"/>
      <c r="I118" s="128"/>
      <c r="J118" s="126"/>
      <c r="K118" s="126"/>
      <c r="L118" s="126"/>
      <c r="M118" s="125"/>
      <c r="N118" s="126"/>
    </row>
    <row r="119" spans="1:14" x14ac:dyDescent="0.35">
      <c r="A119" s="126"/>
      <c r="B119" s="127"/>
      <c r="C119" s="126"/>
      <c r="D119" s="126"/>
      <c r="E119" s="128"/>
      <c r="F119" s="128"/>
      <c r="G119" s="128"/>
      <c r="H119" s="128"/>
      <c r="I119" s="128"/>
      <c r="J119" s="126"/>
      <c r="K119" s="126"/>
      <c r="L119" s="126"/>
      <c r="M119" s="125"/>
      <c r="N119" s="126"/>
    </row>
    <row r="120" spans="1:14" x14ac:dyDescent="0.35">
      <c r="A120" s="126"/>
      <c r="B120" s="127"/>
      <c r="C120" s="126"/>
      <c r="D120" s="126"/>
      <c r="E120" s="128"/>
      <c r="F120" s="128"/>
      <c r="G120" s="128"/>
      <c r="H120" s="128"/>
      <c r="I120" s="128"/>
      <c r="J120" s="126"/>
      <c r="K120" s="126"/>
      <c r="L120" s="126"/>
      <c r="M120" s="125"/>
      <c r="N120" s="126"/>
    </row>
    <row r="121" spans="1:14" x14ac:dyDescent="0.35">
      <c r="A121" s="126"/>
      <c r="B121" s="127"/>
      <c r="C121" s="126"/>
      <c r="D121" s="126"/>
      <c r="E121" s="128"/>
      <c r="F121" s="128"/>
      <c r="G121" s="128"/>
      <c r="H121" s="128"/>
      <c r="I121" s="128"/>
      <c r="J121" s="126"/>
      <c r="K121" s="126"/>
      <c r="L121" s="126"/>
      <c r="M121" s="125"/>
      <c r="N121" s="126"/>
    </row>
    <row r="122" spans="1:14" x14ac:dyDescent="0.35">
      <c r="A122" s="126"/>
      <c r="B122" s="127"/>
      <c r="C122" s="126"/>
      <c r="D122" s="126"/>
      <c r="E122" s="128"/>
      <c r="F122" s="128"/>
      <c r="G122" s="128"/>
      <c r="H122" s="128"/>
      <c r="I122" s="128"/>
      <c r="J122" s="126"/>
      <c r="K122" s="126"/>
      <c r="L122" s="126"/>
      <c r="M122" s="125"/>
      <c r="N122" s="126"/>
    </row>
    <row r="123" spans="1:14" x14ac:dyDescent="0.35">
      <c r="A123" s="126"/>
      <c r="B123" s="127"/>
      <c r="C123" s="126"/>
      <c r="D123" s="126"/>
      <c r="E123" s="128"/>
      <c r="F123" s="128"/>
      <c r="G123" s="128"/>
      <c r="H123" s="128"/>
      <c r="I123" s="128"/>
      <c r="J123" s="126"/>
      <c r="K123" s="126"/>
      <c r="L123" s="126"/>
      <c r="M123" s="125"/>
      <c r="N123" s="126"/>
    </row>
    <row r="124" spans="1:14" x14ac:dyDescent="0.35">
      <c r="A124" s="126"/>
      <c r="B124" s="127"/>
      <c r="C124" s="126"/>
      <c r="D124" s="126"/>
      <c r="E124" s="128"/>
      <c r="F124" s="128"/>
      <c r="G124" s="128"/>
      <c r="H124" s="128"/>
      <c r="I124" s="128"/>
      <c r="J124" s="126"/>
      <c r="K124" s="126"/>
      <c r="L124" s="126"/>
      <c r="M124" s="125"/>
      <c r="N124" s="126"/>
    </row>
    <row r="125" spans="1:14" x14ac:dyDescent="0.35">
      <c r="A125" s="126"/>
      <c r="B125" s="127"/>
      <c r="C125" s="126"/>
      <c r="D125" s="126"/>
      <c r="E125" s="128"/>
      <c r="F125" s="128"/>
      <c r="G125" s="128"/>
      <c r="H125" s="128"/>
      <c r="I125" s="128"/>
      <c r="J125" s="126"/>
      <c r="K125" s="126"/>
      <c r="L125" s="126"/>
      <c r="M125" s="125"/>
      <c r="N125" s="126"/>
    </row>
    <row r="126" spans="1:14" x14ac:dyDescent="0.35">
      <c r="A126" s="126"/>
      <c r="B126" s="127"/>
      <c r="C126" s="126"/>
      <c r="D126" s="126"/>
      <c r="E126" s="128"/>
      <c r="F126" s="128"/>
      <c r="G126" s="128"/>
      <c r="H126" s="128"/>
      <c r="I126" s="128"/>
      <c r="J126" s="126"/>
      <c r="K126" s="126"/>
      <c r="L126" s="126"/>
      <c r="M126" s="125"/>
      <c r="N126" s="126"/>
    </row>
    <row r="127" spans="1:14" x14ac:dyDescent="0.35">
      <c r="A127" s="126"/>
      <c r="B127" s="127"/>
      <c r="C127" s="126"/>
      <c r="D127" s="126"/>
      <c r="E127" s="128"/>
      <c r="F127" s="128"/>
      <c r="G127" s="128"/>
      <c r="H127" s="128"/>
      <c r="I127" s="128"/>
      <c r="J127" s="126"/>
      <c r="K127" s="126"/>
      <c r="L127" s="126"/>
      <c r="M127" s="125"/>
      <c r="N127" s="126"/>
    </row>
    <row r="128" spans="1:14" x14ac:dyDescent="0.35">
      <c r="A128" s="126"/>
      <c r="B128" s="127"/>
      <c r="C128" s="126"/>
      <c r="D128" s="126"/>
      <c r="E128" s="128"/>
      <c r="F128" s="128"/>
      <c r="G128" s="128"/>
      <c r="H128" s="128"/>
      <c r="I128" s="128"/>
      <c r="J128" s="126"/>
      <c r="K128" s="126"/>
      <c r="L128" s="126"/>
      <c r="M128" s="125"/>
      <c r="N128" s="126"/>
    </row>
    <row r="129" spans="1:14" x14ac:dyDescent="0.35">
      <c r="A129" s="126"/>
      <c r="B129" s="127"/>
      <c r="C129" s="126"/>
      <c r="D129" s="126"/>
      <c r="E129" s="128"/>
      <c r="F129" s="128"/>
      <c r="G129" s="128"/>
      <c r="H129" s="128"/>
      <c r="I129" s="128"/>
      <c r="J129" s="126"/>
      <c r="K129" s="126"/>
      <c r="L129" s="126"/>
      <c r="M129" s="125"/>
      <c r="N129" s="126"/>
    </row>
    <row r="130" spans="1:14" x14ac:dyDescent="0.35">
      <c r="A130" s="126"/>
      <c r="B130" s="127"/>
      <c r="C130" s="126"/>
      <c r="D130" s="126"/>
      <c r="E130" s="128"/>
      <c r="F130" s="128"/>
      <c r="G130" s="128"/>
      <c r="H130" s="128"/>
      <c r="I130" s="128"/>
      <c r="J130" s="126"/>
      <c r="K130" s="126"/>
      <c r="L130" s="126"/>
      <c r="M130" s="125"/>
      <c r="N130" s="126"/>
    </row>
    <row r="131" spans="1:14" x14ac:dyDescent="0.35">
      <c r="A131" s="126"/>
      <c r="B131" s="127"/>
      <c r="C131" s="126"/>
      <c r="D131" s="126"/>
      <c r="E131" s="128"/>
      <c r="F131" s="128"/>
      <c r="G131" s="128"/>
      <c r="H131" s="128"/>
      <c r="I131" s="128"/>
      <c r="J131" s="126"/>
      <c r="K131" s="126"/>
      <c r="L131" s="126"/>
      <c r="M131" s="125"/>
      <c r="N131" s="126"/>
    </row>
    <row r="132" spans="1:14" x14ac:dyDescent="0.35">
      <c r="A132" s="126"/>
      <c r="B132" s="127"/>
      <c r="C132" s="126"/>
      <c r="D132" s="126"/>
      <c r="E132" s="128"/>
      <c r="F132" s="128"/>
      <c r="G132" s="128"/>
      <c r="H132" s="128"/>
      <c r="I132" s="128"/>
      <c r="J132" s="126"/>
      <c r="K132" s="126"/>
      <c r="L132" s="126"/>
      <c r="M132" s="125"/>
      <c r="N132" s="126"/>
    </row>
    <row r="133" spans="1:14" x14ac:dyDescent="0.35">
      <c r="A133" s="126"/>
      <c r="B133" s="127"/>
      <c r="C133" s="126"/>
      <c r="D133" s="126"/>
      <c r="E133" s="128"/>
      <c r="F133" s="128"/>
      <c r="G133" s="128"/>
      <c r="H133" s="128"/>
      <c r="I133" s="128"/>
      <c r="J133" s="126"/>
      <c r="K133" s="126"/>
      <c r="L133" s="126"/>
      <c r="M133" s="125"/>
      <c r="N133" s="126"/>
    </row>
    <row r="134" spans="1:14" x14ac:dyDescent="0.35">
      <c r="A134" s="126"/>
      <c r="B134" s="127"/>
      <c r="C134" s="126"/>
      <c r="D134" s="126"/>
      <c r="E134" s="128"/>
      <c r="F134" s="128"/>
      <c r="G134" s="128"/>
      <c r="H134" s="128"/>
      <c r="I134" s="128"/>
      <c r="J134" s="126"/>
      <c r="K134" s="126"/>
      <c r="L134" s="126"/>
      <c r="M134" s="125"/>
      <c r="N134" s="126"/>
    </row>
    <row r="135" spans="1:14" x14ac:dyDescent="0.35">
      <c r="A135" s="126"/>
      <c r="B135" s="127"/>
      <c r="C135" s="126"/>
      <c r="D135" s="126"/>
      <c r="E135" s="128"/>
      <c r="F135" s="128"/>
      <c r="G135" s="128"/>
      <c r="H135" s="128"/>
      <c r="I135" s="128"/>
      <c r="J135" s="126"/>
      <c r="K135" s="126"/>
      <c r="L135" s="126"/>
      <c r="M135" s="125"/>
      <c r="N135" s="126"/>
    </row>
    <row r="136" spans="1:14" x14ac:dyDescent="0.35">
      <c r="A136" s="126"/>
      <c r="B136" s="127"/>
      <c r="C136" s="126"/>
      <c r="D136" s="126"/>
      <c r="E136" s="128"/>
      <c r="F136" s="128"/>
      <c r="G136" s="128"/>
      <c r="H136" s="128"/>
      <c r="I136" s="128"/>
      <c r="J136" s="126"/>
      <c r="K136" s="126"/>
      <c r="L136" s="126"/>
      <c r="M136" s="125"/>
      <c r="N136" s="126"/>
    </row>
    <row r="137" spans="1:14" x14ac:dyDescent="0.35">
      <c r="A137" s="126"/>
      <c r="B137" s="127"/>
      <c r="C137" s="126"/>
      <c r="D137" s="126"/>
      <c r="E137" s="128"/>
      <c r="F137" s="128"/>
      <c r="G137" s="128"/>
      <c r="H137" s="128"/>
      <c r="I137" s="128"/>
      <c r="J137" s="126"/>
      <c r="K137" s="126"/>
      <c r="L137" s="126"/>
      <c r="M137" s="125"/>
      <c r="N137" s="126"/>
    </row>
    <row r="138" spans="1:14" x14ac:dyDescent="0.35">
      <c r="A138" s="126"/>
      <c r="B138" s="127"/>
      <c r="C138" s="126"/>
      <c r="D138" s="126"/>
      <c r="E138" s="128"/>
      <c r="F138" s="128"/>
      <c r="G138" s="128"/>
      <c r="H138" s="128"/>
      <c r="I138" s="128"/>
      <c r="J138" s="126"/>
      <c r="K138" s="126"/>
      <c r="L138" s="126"/>
      <c r="M138" s="125"/>
      <c r="N138" s="126"/>
    </row>
    <row r="139" spans="1:14" x14ac:dyDescent="0.35">
      <c r="A139" s="126"/>
      <c r="B139" s="127"/>
      <c r="C139" s="126"/>
      <c r="D139" s="126"/>
      <c r="E139" s="128"/>
      <c r="F139" s="128"/>
      <c r="G139" s="128"/>
      <c r="H139" s="128"/>
      <c r="I139" s="128"/>
      <c r="J139" s="126"/>
      <c r="K139" s="126"/>
      <c r="L139" s="126"/>
      <c r="M139" s="125"/>
      <c r="N139" s="126"/>
    </row>
    <row r="140" spans="1:14" x14ac:dyDescent="0.35">
      <c r="A140" s="126"/>
      <c r="B140" s="127"/>
      <c r="C140" s="126"/>
      <c r="D140" s="126"/>
      <c r="E140" s="128"/>
      <c r="F140" s="128"/>
      <c r="G140" s="128"/>
      <c r="H140" s="128"/>
      <c r="I140" s="128"/>
      <c r="J140" s="126"/>
      <c r="K140" s="126"/>
      <c r="L140" s="126"/>
      <c r="M140" s="125"/>
      <c r="N140" s="126"/>
    </row>
    <row r="141" spans="1:14" x14ac:dyDescent="0.35">
      <c r="A141" s="126"/>
      <c r="B141" s="127"/>
      <c r="C141" s="126"/>
      <c r="D141" s="126"/>
      <c r="E141" s="128"/>
      <c r="F141" s="128"/>
      <c r="G141" s="128"/>
      <c r="H141" s="128"/>
      <c r="I141" s="128"/>
      <c r="J141" s="126"/>
      <c r="K141" s="126"/>
      <c r="L141" s="126"/>
      <c r="M141" s="125"/>
      <c r="N141" s="126"/>
    </row>
    <row r="142" spans="1:14" x14ac:dyDescent="0.35">
      <c r="A142" s="126"/>
      <c r="B142" s="127"/>
      <c r="C142" s="126"/>
      <c r="D142" s="126"/>
      <c r="E142" s="128"/>
      <c r="F142" s="128"/>
      <c r="G142" s="128"/>
      <c r="H142" s="128"/>
      <c r="I142" s="128"/>
      <c r="J142" s="126"/>
      <c r="K142" s="126"/>
      <c r="L142" s="126"/>
      <c r="M142" s="125"/>
      <c r="N142" s="126"/>
    </row>
    <row r="143" spans="1:14" x14ac:dyDescent="0.35">
      <c r="A143" s="126"/>
      <c r="B143" s="127"/>
      <c r="C143" s="126"/>
      <c r="D143" s="126"/>
      <c r="E143" s="128"/>
      <c r="F143" s="128"/>
      <c r="G143" s="128"/>
      <c r="H143" s="128"/>
      <c r="I143" s="128"/>
      <c r="J143" s="126"/>
      <c r="K143" s="126"/>
      <c r="L143" s="126"/>
      <c r="M143" s="125"/>
      <c r="N143" s="126"/>
    </row>
    <row r="144" spans="1:14" x14ac:dyDescent="0.35">
      <c r="A144" s="126"/>
      <c r="B144" s="127"/>
      <c r="C144" s="126"/>
      <c r="D144" s="126"/>
      <c r="E144" s="128"/>
      <c r="F144" s="128"/>
      <c r="G144" s="128"/>
      <c r="H144" s="128"/>
      <c r="I144" s="128"/>
      <c r="J144" s="126"/>
      <c r="K144" s="126"/>
      <c r="L144" s="126"/>
      <c r="M144" s="125"/>
      <c r="N144" s="126"/>
    </row>
    <row r="145" spans="1:14" x14ac:dyDescent="0.35">
      <c r="A145" s="126"/>
      <c r="B145" s="127"/>
      <c r="C145" s="126"/>
      <c r="D145" s="126"/>
      <c r="E145" s="128"/>
      <c r="F145" s="128"/>
      <c r="G145" s="128"/>
      <c r="H145" s="128"/>
      <c r="I145" s="128"/>
      <c r="J145" s="126"/>
      <c r="K145" s="126"/>
      <c r="L145" s="126"/>
      <c r="M145" s="125"/>
      <c r="N145" s="126"/>
    </row>
    <row r="146" spans="1:14" x14ac:dyDescent="0.35">
      <c r="A146" s="126"/>
      <c r="B146" s="127"/>
      <c r="C146" s="126"/>
      <c r="D146" s="126"/>
      <c r="E146" s="128"/>
      <c r="F146" s="128"/>
      <c r="G146" s="128"/>
      <c r="H146" s="128"/>
      <c r="I146" s="128"/>
      <c r="J146" s="126"/>
      <c r="K146" s="126"/>
      <c r="L146" s="126"/>
      <c r="M146" s="125"/>
      <c r="N146" s="126"/>
    </row>
    <row r="147" spans="1:14" x14ac:dyDescent="0.35">
      <c r="A147" s="126"/>
      <c r="B147" s="127"/>
      <c r="C147" s="126"/>
      <c r="D147" s="126"/>
      <c r="E147" s="128"/>
      <c r="F147" s="128"/>
      <c r="G147" s="128"/>
      <c r="H147" s="128"/>
      <c r="I147" s="128"/>
      <c r="J147" s="126"/>
      <c r="K147" s="126"/>
      <c r="L147" s="126"/>
      <c r="M147" s="125"/>
      <c r="N147" s="126"/>
    </row>
    <row r="148" spans="1:14" x14ac:dyDescent="0.35">
      <c r="A148" s="126"/>
      <c r="B148" s="127"/>
      <c r="C148" s="126"/>
      <c r="D148" s="126"/>
      <c r="E148" s="128"/>
      <c r="F148" s="128"/>
      <c r="G148" s="128"/>
      <c r="H148" s="128"/>
      <c r="I148" s="128"/>
      <c r="J148" s="126"/>
      <c r="K148" s="126"/>
      <c r="L148" s="126"/>
      <c r="M148" s="125"/>
      <c r="N148" s="126"/>
    </row>
    <row r="149" spans="1:14" x14ac:dyDescent="0.35">
      <c r="A149" s="126"/>
      <c r="B149" s="127"/>
      <c r="C149" s="126"/>
      <c r="D149" s="126"/>
      <c r="E149" s="128"/>
      <c r="F149" s="128"/>
      <c r="G149" s="128"/>
      <c r="H149" s="128"/>
      <c r="I149" s="128"/>
      <c r="J149" s="126"/>
      <c r="K149" s="126"/>
      <c r="L149" s="126"/>
      <c r="M149" s="125"/>
      <c r="N149" s="126"/>
    </row>
    <row r="150" spans="1:14" x14ac:dyDescent="0.35">
      <c r="A150" s="126"/>
      <c r="B150" s="127"/>
      <c r="C150" s="126"/>
      <c r="D150" s="126"/>
      <c r="E150" s="128"/>
      <c r="F150" s="128"/>
      <c r="G150" s="128"/>
      <c r="H150" s="128"/>
      <c r="I150" s="128"/>
      <c r="J150" s="126"/>
      <c r="K150" s="126"/>
      <c r="L150" s="126"/>
      <c r="M150" s="125"/>
      <c r="N150" s="126"/>
    </row>
    <row r="151" spans="1:14" x14ac:dyDescent="0.35">
      <c r="A151" s="126"/>
      <c r="B151" s="127"/>
      <c r="C151" s="126"/>
      <c r="D151" s="126"/>
      <c r="E151" s="128"/>
      <c r="F151" s="128"/>
      <c r="G151" s="128"/>
      <c r="H151" s="128"/>
      <c r="I151" s="128"/>
      <c r="J151" s="126"/>
      <c r="K151" s="126"/>
      <c r="L151" s="126"/>
      <c r="M151" s="125"/>
      <c r="N151" s="126"/>
    </row>
    <row r="152" spans="1:14" x14ac:dyDescent="0.35">
      <c r="A152" s="126"/>
      <c r="B152" s="127"/>
      <c r="C152" s="126"/>
      <c r="D152" s="126"/>
      <c r="E152" s="128"/>
      <c r="F152" s="128"/>
      <c r="G152" s="128"/>
      <c r="H152" s="128"/>
      <c r="I152" s="128"/>
      <c r="J152" s="126"/>
      <c r="K152" s="126"/>
      <c r="L152" s="126"/>
      <c r="M152" s="125"/>
      <c r="N152" s="126"/>
    </row>
    <row r="153" spans="1:14" x14ac:dyDescent="0.35">
      <c r="A153" s="126"/>
      <c r="B153" s="127"/>
      <c r="C153" s="126"/>
      <c r="D153" s="126"/>
      <c r="E153" s="128"/>
      <c r="F153" s="128"/>
      <c r="G153" s="128"/>
      <c r="H153" s="128"/>
      <c r="I153" s="128"/>
      <c r="J153" s="126"/>
      <c r="K153" s="126"/>
      <c r="L153" s="126"/>
      <c r="M153" s="125"/>
      <c r="N153" s="126"/>
    </row>
    <row r="154" spans="1:14" x14ac:dyDescent="0.35">
      <c r="A154" s="126"/>
      <c r="B154" s="127"/>
      <c r="C154" s="126"/>
      <c r="D154" s="126"/>
      <c r="E154" s="128"/>
      <c r="F154" s="128"/>
      <c r="G154" s="128"/>
      <c r="H154" s="128"/>
      <c r="I154" s="128"/>
      <c r="J154" s="126"/>
      <c r="K154" s="126"/>
      <c r="L154" s="126"/>
      <c r="M154" s="125"/>
      <c r="N154" s="126"/>
    </row>
    <row r="155" spans="1:14" x14ac:dyDescent="0.35">
      <c r="A155" s="126"/>
      <c r="B155" s="127"/>
      <c r="C155" s="126"/>
      <c r="D155" s="126"/>
      <c r="E155" s="128"/>
      <c r="F155" s="128"/>
      <c r="G155" s="128"/>
      <c r="H155" s="128"/>
      <c r="I155" s="128"/>
      <c r="J155" s="126"/>
      <c r="K155" s="126"/>
      <c r="L155" s="126"/>
      <c r="M155" s="125"/>
      <c r="N155" s="126"/>
    </row>
    <row r="156" spans="1:14" x14ac:dyDescent="0.35">
      <c r="A156" s="126"/>
      <c r="B156" s="127"/>
      <c r="C156" s="126"/>
      <c r="D156" s="126"/>
      <c r="E156" s="128"/>
      <c r="F156" s="128"/>
      <c r="G156" s="128"/>
      <c r="H156" s="128"/>
      <c r="I156" s="128"/>
      <c r="J156" s="126"/>
      <c r="K156" s="126"/>
      <c r="L156" s="126"/>
      <c r="M156" s="125"/>
      <c r="N156" s="126"/>
    </row>
    <row r="157" spans="1:14" x14ac:dyDescent="0.35">
      <c r="A157" s="126"/>
      <c r="B157" s="127"/>
      <c r="C157" s="126"/>
      <c r="D157" s="126"/>
      <c r="E157" s="128"/>
      <c r="F157" s="128"/>
      <c r="G157" s="128"/>
      <c r="H157" s="128"/>
      <c r="I157" s="128"/>
      <c r="J157" s="126"/>
      <c r="K157" s="126"/>
      <c r="L157" s="126"/>
      <c r="M157" s="125"/>
      <c r="N157" s="126"/>
    </row>
    <row r="158" spans="1:14" x14ac:dyDescent="0.35">
      <c r="A158" s="126"/>
      <c r="B158" s="127"/>
      <c r="C158" s="126"/>
      <c r="D158" s="126"/>
      <c r="E158" s="128"/>
      <c r="F158" s="128"/>
      <c r="G158" s="128"/>
      <c r="H158" s="128"/>
      <c r="I158" s="128"/>
      <c r="J158" s="126"/>
      <c r="K158" s="126"/>
      <c r="L158" s="126"/>
      <c r="M158" s="125"/>
      <c r="N158" s="126"/>
    </row>
    <row r="159" spans="1:14" x14ac:dyDescent="0.35">
      <c r="A159" s="126"/>
      <c r="B159" s="127"/>
      <c r="C159" s="126"/>
      <c r="D159" s="126"/>
      <c r="E159" s="128"/>
      <c r="F159" s="128"/>
      <c r="G159" s="128"/>
      <c r="H159" s="128"/>
      <c r="I159" s="128"/>
      <c r="J159" s="126"/>
      <c r="K159" s="126"/>
      <c r="L159" s="126"/>
      <c r="M159" s="125"/>
      <c r="N159" s="126"/>
    </row>
    <row r="160" spans="1:14" x14ac:dyDescent="0.35">
      <c r="A160" s="126"/>
      <c r="B160" s="127"/>
      <c r="C160" s="126"/>
      <c r="D160" s="126"/>
      <c r="E160" s="128"/>
      <c r="F160" s="128"/>
      <c r="G160" s="128"/>
      <c r="H160" s="128"/>
      <c r="I160" s="128"/>
      <c r="J160" s="126"/>
      <c r="K160" s="126"/>
      <c r="L160" s="126"/>
      <c r="M160" s="125"/>
      <c r="N160" s="126"/>
    </row>
    <row r="161" spans="1:14" x14ac:dyDescent="0.35">
      <c r="A161" s="126"/>
      <c r="B161" s="127"/>
      <c r="C161" s="126"/>
      <c r="D161" s="126"/>
      <c r="E161" s="128"/>
      <c r="F161" s="128"/>
      <c r="G161" s="128"/>
      <c r="H161" s="128"/>
      <c r="I161" s="128"/>
      <c r="J161" s="126"/>
      <c r="K161" s="126"/>
      <c r="L161" s="126"/>
      <c r="M161" s="125"/>
      <c r="N161" s="126"/>
    </row>
    <row r="162" spans="1:14" x14ac:dyDescent="0.35">
      <c r="A162" s="126"/>
      <c r="B162" s="127"/>
      <c r="C162" s="126"/>
      <c r="D162" s="126"/>
      <c r="E162" s="128"/>
      <c r="F162" s="128"/>
      <c r="G162" s="128"/>
      <c r="H162" s="128"/>
      <c r="I162" s="128"/>
      <c r="J162" s="126"/>
      <c r="K162" s="126"/>
      <c r="L162" s="126"/>
      <c r="M162" s="125"/>
      <c r="N162" s="126"/>
    </row>
    <row r="163" spans="1:14" x14ac:dyDescent="0.35">
      <c r="A163" s="126"/>
      <c r="B163" s="127"/>
      <c r="C163" s="126"/>
      <c r="D163" s="126"/>
      <c r="E163" s="128"/>
      <c r="F163" s="128"/>
      <c r="G163" s="128"/>
      <c r="H163" s="128"/>
      <c r="I163" s="128"/>
      <c r="J163" s="126"/>
      <c r="K163" s="126"/>
      <c r="L163" s="126"/>
      <c r="M163" s="125"/>
      <c r="N163" s="126"/>
    </row>
    <row r="164" spans="1:14" x14ac:dyDescent="0.35">
      <c r="A164" s="126"/>
      <c r="B164" s="127"/>
      <c r="C164" s="126"/>
      <c r="D164" s="126"/>
      <c r="E164" s="128"/>
      <c r="F164" s="128"/>
      <c r="G164" s="128"/>
      <c r="H164" s="128"/>
      <c r="I164" s="128"/>
      <c r="J164" s="126"/>
      <c r="K164" s="126"/>
      <c r="L164" s="126"/>
      <c r="M164" s="125"/>
      <c r="N164" s="126"/>
    </row>
    <row r="165" spans="1:14" x14ac:dyDescent="0.35">
      <c r="A165" s="126"/>
      <c r="B165" s="127"/>
      <c r="C165" s="126"/>
      <c r="D165" s="126"/>
      <c r="E165" s="128"/>
      <c r="F165" s="128"/>
      <c r="G165" s="128"/>
      <c r="H165" s="128"/>
      <c r="I165" s="128"/>
      <c r="J165" s="126"/>
      <c r="K165" s="126"/>
      <c r="L165" s="126"/>
      <c r="M165" s="125"/>
      <c r="N165" s="126"/>
    </row>
    <row r="166" spans="1:14" x14ac:dyDescent="0.35">
      <c r="A166" s="126"/>
      <c r="B166" s="127"/>
      <c r="C166" s="126"/>
      <c r="D166" s="126"/>
      <c r="E166" s="128"/>
      <c r="F166" s="128"/>
      <c r="G166" s="128"/>
      <c r="H166" s="128"/>
      <c r="I166" s="128"/>
      <c r="J166" s="126"/>
      <c r="K166" s="126"/>
      <c r="L166" s="126"/>
      <c r="M166" s="125"/>
      <c r="N166" s="126"/>
    </row>
    <row r="167" spans="1:14" x14ac:dyDescent="0.35">
      <c r="A167" s="126"/>
      <c r="B167" s="127"/>
      <c r="C167" s="126"/>
      <c r="D167" s="126"/>
      <c r="E167" s="128"/>
      <c r="F167" s="128"/>
      <c r="G167" s="128"/>
      <c r="H167" s="128"/>
      <c r="I167" s="128"/>
      <c r="J167" s="126"/>
      <c r="K167" s="126"/>
      <c r="L167" s="126"/>
      <c r="M167" s="125"/>
      <c r="N167" s="126"/>
    </row>
    <row r="168" spans="1:14" x14ac:dyDescent="0.35">
      <c r="A168" s="126"/>
      <c r="B168" s="127"/>
      <c r="C168" s="126"/>
      <c r="D168" s="126"/>
      <c r="E168" s="128"/>
      <c r="F168" s="128"/>
      <c r="G168" s="128"/>
      <c r="H168" s="128"/>
      <c r="I168" s="128"/>
      <c r="J168" s="126"/>
      <c r="K168" s="126"/>
      <c r="L168" s="126"/>
      <c r="M168" s="125"/>
      <c r="N168" s="126"/>
    </row>
    <row r="169" spans="1:14" x14ac:dyDescent="0.35">
      <c r="A169" s="126"/>
      <c r="B169" s="127"/>
      <c r="C169" s="126"/>
      <c r="D169" s="126"/>
      <c r="E169" s="128"/>
      <c r="F169" s="128"/>
      <c r="G169" s="128"/>
      <c r="H169" s="128"/>
      <c r="I169" s="128"/>
      <c r="J169" s="126"/>
      <c r="K169" s="126"/>
      <c r="L169" s="126"/>
      <c r="M169" s="125"/>
      <c r="N169" s="126"/>
    </row>
    <row r="170" spans="1:14" x14ac:dyDescent="0.35">
      <c r="A170" s="126"/>
      <c r="B170" s="127"/>
      <c r="C170" s="126"/>
      <c r="D170" s="126"/>
      <c r="E170" s="128"/>
      <c r="F170" s="128"/>
      <c r="G170" s="128"/>
      <c r="H170" s="128"/>
      <c r="I170" s="128"/>
      <c r="J170" s="126"/>
      <c r="K170" s="126"/>
      <c r="L170" s="126"/>
      <c r="M170" s="125"/>
      <c r="N170" s="126"/>
    </row>
    <row r="171" spans="1:14" x14ac:dyDescent="0.35">
      <c r="A171" s="126"/>
      <c r="B171" s="127"/>
      <c r="C171" s="126"/>
      <c r="D171" s="126"/>
      <c r="E171" s="128"/>
      <c r="F171" s="128"/>
      <c r="G171" s="128"/>
      <c r="H171" s="128"/>
      <c r="I171" s="128"/>
      <c r="J171" s="126"/>
      <c r="K171" s="126"/>
      <c r="L171" s="126"/>
      <c r="M171" s="125"/>
      <c r="N171" s="126"/>
    </row>
    <row r="172" spans="1:14" x14ac:dyDescent="0.35">
      <c r="A172" s="126"/>
      <c r="B172" s="127"/>
      <c r="C172" s="126"/>
      <c r="D172" s="126"/>
      <c r="E172" s="128"/>
      <c r="F172" s="128"/>
      <c r="G172" s="128"/>
      <c r="H172" s="128"/>
      <c r="I172" s="128"/>
      <c r="J172" s="126"/>
      <c r="K172" s="126"/>
      <c r="L172" s="126"/>
      <c r="M172" s="125"/>
      <c r="N172" s="126"/>
    </row>
    <row r="173" spans="1:14" x14ac:dyDescent="0.35">
      <c r="A173" s="126"/>
      <c r="B173" s="127"/>
      <c r="C173" s="126"/>
      <c r="D173" s="126"/>
      <c r="E173" s="128"/>
      <c r="F173" s="128"/>
      <c r="G173" s="128"/>
      <c r="H173" s="128"/>
      <c r="I173" s="128"/>
      <c r="J173" s="126"/>
      <c r="K173" s="126"/>
      <c r="L173" s="126"/>
      <c r="M173" s="125"/>
      <c r="N173" s="126"/>
    </row>
    <row r="174" spans="1:14" x14ac:dyDescent="0.35">
      <c r="A174" s="126"/>
      <c r="B174" s="127"/>
      <c r="C174" s="126"/>
      <c r="D174" s="126"/>
      <c r="E174" s="128"/>
      <c r="F174" s="128"/>
      <c r="G174" s="128"/>
      <c r="H174" s="128"/>
      <c r="I174" s="128"/>
      <c r="J174" s="126"/>
      <c r="K174" s="126"/>
      <c r="L174" s="126"/>
      <c r="M174" s="125"/>
      <c r="N174" s="126"/>
    </row>
    <row r="175" spans="1:14" x14ac:dyDescent="0.35">
      <c r="A175" s="126"/>
      <c r="B175" s="127"/>
      <c r="C175" s="126"/>
      <c r="D175" s="126"/>
      <c r="E175" s="128"/>
      <c r="F175" s="128"/>
      <c r="G175" s="128"/>
      <c r="H175" s="128"/>
      <c r="I175" s="128"/>
      <c r="J175" s="126"/>
      <c r="K175" s="126"/>
      <c r="L175" s="126"/>
      <c r="M175" s="125"/>
      <c r="N175" s="126"/>
    </row>
    <row r="176" spans="1:14" x14ac:dyDescent="0.35">
      <c r="A176" s="126"/>
      <c r="B176" s="127"/>
      <c r="C176" s="126"/>
      <c r="D176" s="126"/>
      <c r="E176" s="128"/>
      <c r="F176" s="128"/>
      <c r="G176" s="128"/>
      <c r="H176" s="128"/>
      <c r="I176" s="128"/>
      <c r="J176" s="126"/>
      <c r="K176" s="126"/>
      <c r="L176" s="126"/>
      <c r="M176" s="125"/>
      <c r="N176" s="126"/>
    </row>
    <row r="177" spans="1:14" x14ac:dyDescent="0.35">
      <c r="A177" s="126"/>
      <c r="B177" s="127"/>
      <c r="C177" s="126"/>
      <c r="D177" s="126"/>
      <c r="E177" s="128"/>
      <c r="F177" s="128"/>
      <c r="G177" s="128"/>
      <c r="H177" s="128"/>
      <c r="I177" s="128"/>
      <c r="J177" s="126"/>
      <c r="K177" s="126"/>
      <c r="L177" s="126"/>
      <c r="M177" s="125"/>
      <c r="N177" s="126"/>
    </row>
    <row r="178" spans="1:14" x14ac:dyDescent="0.35">
      <c r="A178" s="126"/>
      <c r="B178" s="127"/>
      <c r="C178" s="126"/>
      <c r="D178" s="126"/>
      <c r="E178" s="128"/>
      <c r="F178" s="128"/>
      <c r="G178" s="128"/>
      <c r="H178" s="128"/>
      <c r="I178" s="128"/>
      <c r="J178" s="126"/>
      <c r="K178" s="126"/>
      <c r="L178" s="126"/>
      <c r="M178" s="125"/>
      <c r="N178" s="126"/>
    </row>
    <row r="179" spans="1:14" x14ac:dyDescent="0.35">
      <c r="A179" s="126"/>
      <c r="B179" s="127"/>
      <c r="C179" s="126"/>
      <c r="D179" s="126"/>
      <c r="E179" s="128"/>
      <c r="F179" s="128"/>
      <c r="G179" s="128"/>
      <c r="H179" s="128"/>
      <c r="I179" s="128"/>
      <c r="J179" s="126"/>
      <c r="K179" s="126"/>
      <c r="L179" s="126"/>
      <c r="M179" s="125"/>
      <c r="N179" s="126"/>
    </row>
    <row r="180" spans="1:14" x14ac:dyDescent="0.35">
      <c r="A180" s="126"/>
      <c r="B180" s="127"/>
      <c r="C180" s="126"/>
      <c r="D180" s="126"/>
      <c r="E180" s="128"/>
      <c r="F180" s="128"/>
      <c r="G180" s="128"/>
      <c r="H180" s="128"/>
      <c r="I180" s="128"/>
      <c r="J180" s="126"/>
      <c r="K180" s="126"/>
      <c r="L180" s="126"/>
      <c r="M180" s="125"/>
      <c r="N180" s="126"/>
    </row>
    <row r="181" spans="1:14" x14ac:dyDescent="0.35">
      <c r="A181" s="126"/>
      <c r="B181" s="127"/>
      <c r="C181" s="126"/>
      <c r="D181" s="126"/>
      <c r="E181" s="128"/>
      <c r="F181" s="128"/>
      <c r="G181" s="128"/>
      <c r="H181" s="128"/>
      <c r="I181" s="128"/>
      <c r="J181" s="126"/>
      <c r="K181" s="126"/>
      <c r="L181" s="126"/>
      <c r="M181" s="125"/>
      <c r="N181" s="126"/>
    </row>
    <row r="182" spans="1:14" x14ac:dyDescent="0.35">
      <c r="A182" s="126"/>
      <c r="B182" s="127"/>
      <c r="C182" s="126"/>
      <c r="D182" s="126"/>
      <c r="E182" s="128"/>
      <c r="F182" s="128"/>
      <c r="G182" s="128"/>
      <c r="H182" s="128"/>
      <c r="I182" s="128"/>
      <c r="J182" s="126"/>
      <c r="K182" s="126"/>
      <c r="L182" s="126"/>
      <c r="M182" s="125"/>
      <c r="N182" s="126"/>
    </row>
    <row r="183" spans="1:14" x14ac:dyDescent="0.35">
      <c r="A183" s="126"/>
      <c r="B183" s="127"/>
      <c r="C183" s="126"/>
      <c r="D183" s="126"/>
      <c r="E183" s="128"/>
      <c r="F183" s="128"/>
      <c r="G183" s="128"/>
      <c r="H183" s="128"/>
      <c r="I183" s="128"/>
      <c r="J183" s="126"/>
      <c r="K183" s="126"/>
      <c r="L183" s="126"/>
      <c r="M183" s="125"/>
      <c r="N183" s="126"/>
    </row>
    <row r="184" spans="1:14" x14ac:dyDescent="0.35">
      <c r="A184" s="126"/>
      <c r="B184" s="127"/>
      <c r="C184" s="126"/>
      <c r="D184" s="126"/>
      <c r="E184" s="128"/>
      <c r="F184" s="128"/>
      <c r="G184" s="128"/>
      <c r="H184" s="128"/>
      <c r="I184" s="128"/>
      <c r="J184" s="126"/>
      <c r="K184" s="126"/>
      <c r="L184" s="126"/>
      <c r="M184" s="125"/>
      <c r="N184" s="126"/>
    </row>
    <row r="185" spans="1:14" x14ac:dyDescent="0.35">
      <c r="A185" s="126"/>
      <c r="B185" s="127"/>
      <c r="C185" s="126"/>
      <c r="D185" s="126"/>
      <c r="E185" s="128"/>
      <c r="F185" s="128"/>
      <c r="G185" s="128"/>
      <c r="H185" s="128"/>
      <c r="I185" s="128"/>
      <c r="J185" s="126"/>
      <c r="K185" s="126"/>
      <c r="L185" s="126"/>
      <c r="M185" s="125"/>
      <c r="N185" s="126"/>
    </row>
    <row r="186" spans="1:14" x14ac:dyDescent="0.35">
      <c r="A186" s="126"/>
      <c r="B186" s="127"/>
      <c r="C186" s="126"/>
      <c r="D186" s="126"/>
      <c r="E186" s="128"/>
      <c r="F186" s="128"/>
      <c r="G186" s="128"/>
      <c r="H186" s="128"/>
      <c r="I186" s="128"/>
      <c r="J186" s="126"/>
      <c r="K186" s="126"/>
      <c r="L186" s="126"/>
      <c r="M186" s="125"/>
      <c r="N186" s="126"/>
    </row>
    <row r="187" spans="1:14" x14ac:dyDescent="0.35">
      <c r="A187" s="126"/>
      <c r="B187" s="127"/>
      <c r="C187" s="126"/>
      <c r="D187" s="126"/>
      <c r="E187" s="128"/>
      <c r="F187" s="128"/>
      <c r="G187" s="128"/>
      <c r="H187" s="128"/>
      <c r="I187" s="128"/>
      <c r="J187" s="126"/>
      <c r="K187" s="126"/>
      <c r="L187" s="126"/>
      <c r="M187" s="125"/>
      <c r="N187" s="126"/>
    </row>
    <row r="188" spans="1:14" x14ac:dyDescent="0.35">
      <c r="A188" s="126"/>
      <c r="B188" s="127"/>
      <c r="C188" s="126"/>
      <c r="D188" s="126"/>
      <c r="E188" s="128"/>
      <c r="F188" s="128"/>
      <c r="G188" s="128"/>
      <c r="H188" s="128"/>
      <c r="I188" s="128"/>
      <c r="J188" s="126"/>
      <c r="K188" s="126"/>
      <c r="L188" s="126"/>
      <c r="M188" s="125"/>
      <c r="N188" s="126"/>
    </row>
    <row r="189" spans="1:14" x14ac:dyDescent="0.35">
      <c r="A189" s="126"/>
      <c r="B189" s="127"/>
      <c r="C189" s="126"/>
      <c r="D189" s="126"/>
      <c r="E189" s="128"/>
      <c r="F189" s="128"/>
      <c r="G189" s="128"/>
      <c r="H189" s="128"/>
      <c r="I189" s="128"/>
      <c r="J189" s="126"/>
      <c r="K189" s="126"/>
      <c r="L189" s="126"/>
      <c r="M189" s="125"/>
      <c r="N189" s="126"/>
    </row>
    <row r="190" spans="1:14" x14ac:dyDescent="0.35">
      <c r="A190" s="126"/>
      <c r="B190" s="127"/>
      <c r="C190" s="126"/>
      <c r="D190" s="126"/>
      <c r="E190" s="128"/>
      <c r="F190" s="128"/>
      <c r="G190" s="128"/>
      <c r="H190" s="128"/>
      <c r="I190" s="128"/>
      <c r="J190" s="126"/>
      <c r="K190" s="126"/>
      <c r="L190" s="126"/>
      <c r="M190" s="125"/>
      <c r="N190" s="126"/>
    </row>
    <row r="191" spans="1:14" x14ac:dyDescent="0.35">
      <c r="A191" s="126"/>
      <c r="B191" s="127"/>
      <c r="C191" s="126"/>
      <c r="D191" s="126"/>
      <c r="E191" s="128"/>
      <c r="F191" s="128"/>
      <c r="G191" s="128"/>
      <c r="H191" s="128"/>
      <c r="I191" s="128"/>
      <c r="J191" s="126"/>
      <c r="K191" s="126"/>
      <c r="L191" s="126"/>
      <c r="M191" s="125"/>
      <c r="N191" s="126"/>
    </row>
    <row r="192" spans="1:14" x14ac:dyDescent="0.35">
      <c r="A192" s="126"/>
      <c r="B192" s="127"/>
      <c r="C192" s="126"/>
      <c r="D192" s="126"/>
      <c r="E192" s="128"/>
      <c r="F192" s="128"/>
      <c r="G192" s="128"/>
      <c r="H192" s="128"/>
      <c r="I192" s="128"/>
      <c r="J192" s="126"/>
      <c r="K192" s="126"/>
      <c r="L192" s="126"/>
      <c r="M192" s="125"/>
      <c r="N192" s="126"/>
    </row>
    <row r="193" spans="1:14" x14ac:dyDescent="0.35">
      <c r="A193" s="126"/>
      <c r="B193" s="127"/>
      <c r="C193" s="126"/>
      <c r="D193" s="126"/>
      <c r="E193" s="128"/>
      <c r="F193" s="128"/>
      <c r="G193" s="128"/>
      <c r="H193" s="128"/>
      <c r="I193" s="128"/>
      <c r="J193" s="126"/>
      <c r="K193" s="126"/>
      <c r="L193" s="126"/>
      <c r="M193" s="125"/>
      <c r="N193" s="126"/>
    </row>
    <row r="194" spans="1:14" x14ac:dyDescent="0.35">
      <c r="A194" s="126"/>
      <c r="B194" s="127"/>
      <c r="C194" s="126"/>
      <c r="D194" s="126"/>
      <c r="E194" s="128"/>
      <c r="F194" s="128"/>
      <c r="G194" s="128"/>
      <c r="H194" s="128"/>
      <c r="I194" s="128"/>
      <c r="J194" s="126"/>
      <c r="K194" s="126"/>
      <c r="L194" s="126"/>
      <c r="M194" s="125"/>
      <c r="N194" s="126"/>
    </row>
    <row r="195" spans="1:14" x14ac:dyDescent="0.35">
      <c r="A195" s="126"/>
      <c r="B195" s="127"/>
      <c r="C195" s="126"/>
      <c r="D195" s="126"/>
      <c r="E195" s="128"/>
      <c r="F195" s="128"/>
      <c r="G195" s="128"/>
      <c r="H195" s="128"/>
      <c r="I195" s="128"/>
      <c r="J195" s="126"/>
      <c r="K195" s="126"/>
      <c r="L195" s="126"/>
      <c r="M195" s="125"/>
      <c r="N195" s="126"/>
    </row>
    <row r="196" spans="1:14" x14ac:dyDescent="0.35">
      <c r="A196" s="126"/>
      <c r="B196" s="127"/>
      <c r="C196" s="126"/>
      <c r="D196" s="126"/>
      <c r="E196" s="128"/>
      <c r="F196" s="128"/>
      <c r="G196" s="128"/>
      <c r="H196" s="128"/>
      <c r="I196" s="128"/>
      <c r="J196" s="126"/>
      <c r="K196" s="126"/>
      <c r="L196" s="126"/>
      <c r="M196" s="125"/>
      <c r="N196" s="126"/>
    </row>
    <row r="197" spans="1:14" x14ac:dyDescent="0.35">
      <c r="A197" s="126"/>
      <c r="B197" s="127"/>
      <c r="C197" s="126"/>
      <c r="D197" s="126"/>
      <c r="E197" s="128"/>
      <c r="F197" s="128"/>
      <c r="G197" s="128"/>
      <c r="H197" s="128"/>
      <c r="I197" s="128"/>
      <c r="J197" s="126"/>
      <c r="K197" s="126"/>
      <c r="L197" s="126"/>
      <c r="M197" s="125"/>
      <c r="N197" s="126"/>
    </row>
    <row r="198" spans="1:14" x14ac:dyDescent="0.35">
      <c r="A198" s="126"/>
      <c r="B198" s="127"/>
      <c r="C198" s="126"/>
      <c r="D198" s="126"/>
      <c r="E198" s="128"/>
      <c r="F198" s="128"/>
      <c r="G198" s="128"/>
      <c r="H198" s="128"/>
      <c r="I198" s="128"/>
      <c r="J198" s="126"/>
      <c r="K198" s="126"/>
      <c r="L198" s="126"/>
      <c r="M198" s="125"/>
      <c r="N198" s="126"/>
    </row>
    <row r="199" spans="1:14" x14ac:dyDescent="0.35">
      <c r="A199" s="126"/>
      <c r="B199" s="127"/>
      <c r="C199" s="126"/>
      <c r="D199" s="126"/>
      <c r="E199" s="128"/>
      <c r="F199" s="128"/>
      <c r="G199" s="128"/>
      <c r="H199" s="128"/>
      <c r="I199" s="128"/>
      <c r="J199" s="126"/>
      <c r="K199" s="126"/>
      <c r="L199" s="126"/>
      <c r="M199" s="125"/>
      <c r="N199" s="126"/>
    </row>
    <row r="200" spans="1:14" x14ac:dyDescent="0.35">
      <c r="A200" s="126"/>
      <c r="B200" s="127"/>
      <c r="C200" s="126"/>
      <c r="D200" s="126"/>
      <c r="E200" s="128"/>
      <c r="F200" s="128"/>
      <c r="G200" s="128"/>
      <c r="H200" s="128"/>
      <c r="I200" s="128"/>
      <c r="J200" s="126"/>
      <c r="K200" s="126"/>
      <c r="L200" s="126"/>
      <c r="M200" s="125"/>
      <c r="N200" s="126"/>
    </row>
    <row r="201" spans="1:14" x14ac:dyDescent="0.35">
      <c r="A201" s="126"/>
      <c r="B201" s="127"/>
      <c r="C201" s="126"/>
      <c r="D201" s="126"/>
      <c r="E201" s="128"/>
      <c r="F201" s="128"/>
      <c r="G201" s="128"/>
      <c r="H201" s="128"/>
      <c r="I201" s="128"/>
      <c r="J201" s="126"/>
      <c r="K201" s="126"/>
      <c r="L201" s="126"/>
      <c r="M201" s="125"/>
      <c r="N201" s="126"/>
    </row>
    <row r="202" spans="1:14" x14ac:dyDescent="0.35">
      <c r="A202" s="126"/>
      <c r="B202" s="127"/>
      <c r="C202" s="126"/>
      <c r="D202" s="126"/>
      <c r="E202" s="128"/>
      <c r="F202" s="128"/>
      <c r="G202" s="128"/>
      <c r="H202" s="128"/>
      <c r="I202" s="128"/>
      <c r="J202" s="126"/>
      <c r="K202" s="126"/>
      <c r="L202" s="126"/>
      <c r="M202" s="125"/>
      <c r="N202" s="126"/>
    </row>
    <row r="203" spans="1:14" x14ac:dyDescent="0.35">
      <c r="A203" s="126"/>
      <c r="B203" s="127"/>
      <c r="C203" s="126"/>
      <c r="D203" s="126"/>
      <c r="E203" s="128"/>
      <c r="F203" s="128"/>
      <c r="G203" s="128"/>
      <c r="H203" s="128"/>
      <c r="I203" s="128"/>
      <c r="J203" s="126"/>
      <c r="K203" s="126"/>
      <c r="L203" s="126"/>
      <c r="M203" s="125"/>
      <c r="N203" s="126"/>
    </row>
    <row r="204" spans="1:14" x14ac:dyDescent="0.35">
      <c r="A204" s="126"/>
      <c r="B204" s="127"/>
      <c r="C204" s="126"/>
      <c r="D204" s="126"/>
      <c r="E204" s="128"/>
      <c r="F204" s="128"/>
      <c r="G204" s="128"/>
      <c r="H204" s="128"/>
      <c r="I204" s="128"/>
      <c r="J204" s="126"/>
      <c r="K204" s="126"/>
      <c r="L204" s="126"/>
      <c r="M204" s="125"/>
      <c r="N204" s="126"/>
    </row>
    <row r="205" spans="1:14" x14ac:dyDescent="0.35">
      <c r="A205" s="126"/>
      <c r="B205" s="127"/>
      <c r="C205" s="126"/>
      <c r="D205" s="126"/>
      <c r="E205" s="128"/>
      <c r="F205" s="128"/>
      <c r="G205" s="128"/>
      <c r="H205" s="128"/>
      <c r="I205" s="128"/>
      <c r="J205" s="126"/>
      <c r="K205" s="126"/>
      <c r="L205" s="126"/>
      <c r="M205" s="125"/>
      <c r="N205" s="126"/>
    </row>
    <row r="206" spans="1:14" x14ac:dyDescent="0.35">
      <c r="A206" s="126"/>
      <c r="B206" s="127"/>
      <c r="C206" s="126"/>
      <c r="D206" s="126"/>
      <c r="E206" s="128"/>
      <c r="F206" s="128"/>
      <c r="G206" s="128"/>
      <c r="H206" s="128"/>
      <c r="I206" s="128"/>
      <c r="J206" s="126"/>
      <c r="K206" s="126"/>
      <c r="L206" s="126"/>
      <c r="M206" s="125"/>
      <c r="N206" s="126"/>
    </row>
    <row r="207" spans="1:14" x14ac:dyDescent="0.35">
      <c r="A207" s="126"/>
      <c r="B207" s="127"/>
      <c r="C207" s="126"/>
      <c r="D207" s="126"/>
      <c r="E207" s="128"/>
      <c r="F207" s="128"/>
      <c r="G207" s="128"/>
      <c r="H207" s="128"/>
      <c r="I207" s="128"/>
      <c r="J207" s="126"/>
      <c r="K207" s="126"/>
      <c r="L207" s="126"/>
      <c r="M207" s="125"/>
      <c r="N207" s="126"/>
    </row>
    <row r="208" spans="1:14" x14ac:dyDescent="0.35">
      <c r="A208" s="126"/>
      <c r="B208" s="127"/>
      <c r="C208" s="126"/>
      <c r="D208" s="126"/>
      <c r="E208" s="128"/>
      <c r="F208" s="128"/>
      <c r="G208" s="128"/>
      <c r="H208" s="128"/>
      <c r="I208" s="128"/>
      <c r="J208" s="126"/>
      <c r="K208" s="126"/>
      <c r="L208" s="126"/>
      <c r="M208" s="125"/>
      <c r="N208" s="126"/>
    </row>
    <row r="209" spans="1:14" x14ac:dyDescent="0.35">
      <c r="A209" s="126"/>
      <c r="B209" s="127"/>
      <c r="C209" s="126"/>
      <c r="D209" s="126"/>
      <c r="E209" s="128"/>
      <c r="F209" s="128"/>
      <c r="G209" s="128"/>
      <c r="H209" s="128"/>
      <c r="I209" s="128"/>
      <c r="J209" s="126"/>
      <c r="K209" s="126"/>
      <c r="L209" s="126"/>
      <c r="M209" s="125"/>
      <c r="N209" s="126"/>
    </row>
    <row r="210" spans="1:14" x14ac:dyDescent="0.35">
      <c r="A210" s="126"/>
      <c r="B210" s="127"/>
      <c r="C210" s="126"/>
      <c r="D210" s="126"/>
      <c r="E210" s="128"/>
      <c r="F210" s="128"/>
      <c r="G210" s="128"/>
      <c r="H210" s="128"/>
      <c r="I210" s="128"/>
      <c r="J210" s="126"/>
      <c r="K210" s="126"/>
      <c r="L210" s="126"/>
      <c r="M210" s="125"/>
      <c r="N210" s="126"/>
    </row>
    <row r="211" spans="1:14" x14ac:dyDescent="0.35">
      <c r="A211" s="126"/>
      <c r="B211" s="127"/>
      <c r="C211" s="126"/>
      <c r="D211" s="126"/>
      <c r="E211" s="128"/>
      <c r="F211" s="128"/>
      <c r="G211" s="128"/>
      <c r="H211" s="128"/>
      <c r="I211" s="128"/>
      <c r="J211" s="126"/>
      <c r="K211" s="126"/>
      <c r="L211" s="126"/>
      <c r="M211" s="125"/>
      <c r="N211" s="126"/>
    </row>
    <row r="212" spans="1:14" x14ac:dyDescent="0.35">
      <c r="A212" s="126"/>
      <c r="B212" s="127"/>
      <c r="C212" s="126"/>
      <c r="D212" s="126"/>
      <c r="E212" s="128"/>
      <c r="F212" s="128"/>
      <c r="G212" s="128"/>
      <c r="H212" s="128"/>
      <c r="I212" s="128"/>
      <c r="J212" s="126"/>
      <c r="K212" s="126"/>
      <c r="L212" s="126"/>
      <c r="M212" s="125"/>
      <c r="N212" s="126"/>
    </row>
    <row r="213" spans="1:14" x14ac:dyDescent="0.35">
      <c r="A213" s="126"/>
      <c r="B213" s="127"/>
      <c r="C213" s="126"/>
      <c r="D213" s="126"/>
      <c r="E213" s="128"/>
      <c r="F213" s="128"/>
      <c r="G213" s="128"/>
      <c r="H213" s="128"/>
      <c r="I213" s="128"/>
      <c r="J213" s="126"/>
      <c r="K213" s="126"/>
      <c r="L213" s="126"/>
      <c r="M213" s="125"/>
      <c r="N213" s="126"/>
    </row>
    <row r="214" spans="1:14" x14ac:dyDescent="0.35">
      <c r="A214" s="126"/>
      <c r="B214" s="127"/>
      <c r="C214" s="126"/>
      <c r="D214" s="126"/>
      <c r="E214" s="128"/>
      <c r="F214" s="128"/>
      <c r="G214" s="128"/>
      <c r="H214" s="128"/>
      <c r="I214" s="128"/>
      <c r="J214" s="126"/>
      <c r="K214" s="126"/>
      <c r="L214" s="126"/>
      <c r="M214" s="125"/>
      <c r="N214" s="126"/>
    </row>
    <row r="215" spans="1:14" x14ac:dyDescent="0.35">
      <c r="A215" s="126"/>
      <c r="B215" s="127"/>
      <c r="C215" s="126"/>
      <c r="D215" s="126"/>
      <c r="E215" s="128"/>
      <c r="F215" s="128"/>
      <c r="G215" s="128"/>
      <c r="H215" s="128"/>
      <c r="I215" s="128"/>
      <c r="J215" s="126"/>
      <c r="K215" s="126"/>
      <c r="L215" s="126"/>
      <c r="M215" s="125"/>
      <c r="N215" s="126"/>
    </row>
    <row r="216" spans="1:14" x14ac:dyDescent="0.35">
      <c r="A216" s="126"/>
      <c r="B216" s="127"/>
      <c r="C216" s="126"/>
      <c r="D216" s="126"/>
      <c r="E216" s="128"/>
      <c r="F216" s="128"/>
      <c r="G216" s="128"/>
      <c r="H216" s="128"/>
      <c r="I216" s="128"/>
      <c r="J216" s="126"/>
      <c r="K216" s="126"/>
      <c r="L216" s="126"/>
      <c r="M216" s="125"/>
      <c r="N216" s="126"/>
    </row>
    <row r="217" spans="1:14" x14ac:dyDescent="0.35">
      <c r="A217" s="126"/>
      <c r="B217" s="127"/>
      <c r="C217" s="126"/>
      <c r="D217" s="126"/>
      <c r="E217" s="128"/>
      <c r="F217" s="128"/>
      <c r="G217" s="128"/>
      <c r="H217" s="128"/>
      <c r="I217" s="128"/>
      <c r="J217" s="126"/>
      <c r="K217" s="126"/>
      <c r="L217" s="126"/>
      <c r="M217" s="125"/>
      <c r="N217" s="126"/>
    </row>
    <row r="218" spans="1:14" x14ac:dyDescent="0.35">
      <c r="A218" s="126"/>
      <c r="B218" s="127"/>
      <c r="C218" s="126"/>
      <c r="D218" s="126"/>
      <c r="E218" s="128"/>
      <c r="F218" s="128"/>
      <c r="G218" s="128"/>
      <c r="H218" s="128"/>
      <c r="I218" s="128"/>
      <c r="J218" s="126"/>
      <c r="K218" s="126"/>
      <c r="L218" s="126"/>
      <c r="M218" s="125"/>
      <c r="N218" s="126"/>
    </row>
    <row r="219" spans="1:14" x14ac:dyDescent="0.35">
      <c r="A219" s="126"/>
      <c r="B219" s="127"/>
      <c r="C219" s="126"/>
      <c r="D219" s="126"/>
      <c r="E219" s="128"/>
      <c r="F219" s="128"/>
      <c r="G219" s="128"/>
      <c r="H219" s="128"/>
      <c r="I219" s="128"/>
      <c r="J219" s="126"/>
      <c r="K219" s="126"/>
      <c r="L219" s="126"/>
      <c r="M219" s="125"/>
      <c r="N219" s="126"/>
    </row>
    <row r="220" spans="1:14" x14ac:dyDescent="0.35">
      <c r="A220" s="126"/>
      <c r="B220" s="127"/>
      <c r="C220" s="126"/>
      <c r="D220" s="126"/>
      <c r="E220" s="128"/>
      <c r="F220" s="128"/>
      <c r="G220" s="128"/>
      <c r="H220" s="128"/>
      <c r="I220" s="128"/>
      <c r="J220" s="126"/>
      <c r="K220" s="126"/>
      <c r="L220" s="126"/>
      <c r="M220" s="125"/>
      <c r="N220" s="126"/>
    </row>
    <row r="221" spans="1:14" x14ac:dyDescent="0.35">
      <c r="A221" s="126"/>
      <c r="B221" s="127"/>
      <c r="C221" s="126"/>
      <c r="D221" s="126"/>
      <c r="E221" s="128"/>
      <c r="F221" s="128"/>
      <c r="G221" s="128"/>
      <c r="H221" s="128"/>
      <c r="I221" s="128"/>
      <c r="J221" s="126"/>
      <c r="K221" s="126"/>
      <c r="L221" s="126"/>
      <c r="M221" s="125"/>
      <c r="N221" s="126"/>
    </row>
    <row r="222" spans="1:14" x14ac:dyDescent="0.35">
      <c r="A222" s="126"/>
      <c r="B222" s="127"/>
      <c r="C222" s="126"/>
      <c r="D222" s="126"/>
      <c r="E222" s="128"/>
      <c r="F222" s="128"/>
      <c r="G222" s="128"/>
      <c r="H222" s="128"/>
      <c r="I222" s="128"/>
      <c r="J222" s="126"/>
      <c r="K222" s="126"/>
      <c r="L222" s="126"/>
      <c r="M222" s="125"/>
      <c r="N222" s="126"/>
    </row>
    <row r="223" spans="1:14" x14ac:dyDescent="0.35">
      <c r="A223" s="126"/>
      <c r="B223" s="127"/>
      <c r="C223" s="126"/>
      <c r="D223" s="126"/>
      <c r="E223" s="128"/>
      <c r="F223" s="128"/>
      <c r="G223" s="128"/>
      <c r="H223" s="128"/>
      <c r="I223" s="128"/>
      <c r="J223" s="126"/>
      <c r="K223" s="126"/>
      <c r="L223" s="126"/>
      <c r="M223" s="125"/>
      <c r="N223" s="126"/>
    </row>
    <row r="224" spans="1:14" x14ac:dyDescent="0.35">
      <c r="A224" s="126"/>
      <c r="B224" s="127"/>
      <c r="C224" s="126"/>
      <c r="D224" s="126"/>
      <c r="E224" s="128"/>
      <c r="F224" s="128"/>
      <c r="G224" s="128"/>
      <c r="H224" s="128"/>
      <c r="I224" s="128"/>
      <c r="J224" s="126"/>
      <c r="K224" s="126"/>
      <c r="L224" s="126"/>
      <c r="M224" s="125"/>
      <c r="N224" s="126"/>
    </row>
    <row r="225" spans="1:14" x14ac:dyDescent="0.35">
      <c r="A225" s="126"/>
      <c r="B225" s="127"/>
      <c r="C225" s="126"/>
      <c r="D225" s="126"/>
      <c r="E225" s="128"/>
      <c r="F225" s="128"/>
      <c r="G225" s="128"/>
      <c r="H225" s="128"/>
      <c r="I225" s="128"/>
      <c r="J225" s="126"/>
      <c r="K225" s="126"/>
      <c r="L225" s="126"/>
      <c r="M225" s="125"/>
      <c r="N225" s="126"/>
    </row>
    <row r="226" spans="1:14" x14ac:dyDescent="0.35">
      <c r="A226" s="126"/>
      <c r="B226" s="127"/>
      <c r="C226" s="126"/>
      <c r="D226" s="126"/>
      <c r="E226" s="128"/>
      <c r="F226" s="128"/>
      <c r="G226" s="128"/>
      <c r="H226" s="128"/>
      <c r="I226" s="128"/>
      <c r="J226" s="126"/>
      <c r="K226" s="126"/>
      <c r="L226" s="126"/>
      <c r="M226" s="125"/>
      <c r="N226" s="126"/>
    </row>
    <row r="227" spans="1:14" x14ac:dyDescent="0.35">
      <c r="A227" s="126"/>
      <c r="B227" s="127"/>
      <c r="C227" s="126"/>
      <c r="D227" s="126"/>
      <c r="E227" s="128"/>
      <c r="F227" s="128"/>
      <c r="G227" s="128"/>
      <c r="H227" s="128"/>
      <c r="I227" s="128"/>
      <c r="J227" s="126"/>
      <c r="K227" s="126"/>
      <c r="L227" s="126"/>
      <c r="M227" s="125"/>
      <c r="N227" s="126"/>
    </row>
    <row r="228" spans="1:14" x14ac:dyDescent="0.35">
      <c r="A228" s="126"/>
      <c r="B228" s="127"/>
      <c r="C228" s="126"/>
      <c r="D228" s="126"/>
      <c r="E228" s="128"/>
      <c r="F228" s="128"/>
      <c r="G228" s="128"/>
      <c r="H228" s="128"/>
      <c r="I228" s="128"/>
      <c r="J228" s="126"/>
      <c r="K228" s="126"/>
      <c r="L228" s="126"/>
      <c r="M228" s="125"/>
      <c r="N228" s="126"/>
    </row>
    <row r="229" spans="1:14" x14ac:dyDescent="0.35">
      <c r="A229" s="126"/>
      <c r="B229" s="127"/>
      <c r="C229" s="126"/>
      <c r="D229" s="126"/>
      <c r="E229" s="128"/>
      <c r="F229" s="128"/>
      <c r="G229" s="128"/>
      <c r="H229" s="128"/>
      <c r="I229" s="128"/>
      <c r="J229" s="126"/>
      <c r="K229" s="126"/>
      <c r="L229" s="126"/>
      <c r="M229" s="125"/>
      <c r="N229" s="126"/>
    </row>
    <row r="230" spans="1:14" x14ac:dyDescent="0.35">
      <c r="A230" s="126"/>
      <c r="B230" s="127"/>
      <c r="C230" s="126"/>
      <c r="D230" s="126"/>
      <c r="E230" s="128"/>
      <c r="F230" s="128"/>
      <c r="G230" s="128"/>
      <c r="H230" s="128"/>
      <c r="I230" s="128"/>
      <c r="J230" s="126"/>
      <c r="K230" s="126"/>
      <c r="L230" s="126"/>
      <c r="M230" s="125"/>
      <c r="N230" s="126"/>
    </row>
    <row r="231" spans="1:14" x14ac:dyDescent="0.35">
      <c r="A231" s="126"/>
      <c r="B231" s="127"/>
      <c r="C231" s="126"/>
      <c r="D231" s="126"/>
      <c r="E231" s="128"/>
      <c r="F231" s="128"/>
      <c r="G231" s="128"/>
      <c r="H231" s="128"/>
      <c r="I231" s="128"/>
      <c r="J231" s="126"/>
      <c r="K231" s="126"/>
      <c r="L231" s="126"/>
      <c r="M231" s="125"/>
      <c r="N231" s="126"/>
    </row>
    <row r="232" spans="1:14" x14ac:dyDescent="0.35">
      <c r="A232" s="126"/>
      <c r="B232" s="127"/>
      <c r="C232" s="126"/>
      <c r="D232" s="126"/>
      <c r="E232" s="128"/>
      <c r="F232" s="128"/>
      <c r="G232" s="128"/>
      <c r="H232" s="128"/>
      <c r="I232" s="128"/>
      <c r="J232" s="126"/>
      <c r="K232" s="126"/>
      <c r="L232" s="126"/>
      <c r="M232" s="125"/>
      <c r="N232" s="126"/>
    </row>
    <row r="233" spans="1:14" x14ac:dyDescent="0.35">
      <c r="A233" s="126"/>
      <c r="B233" s="127"/>
      <c r="C233" s="126"/>
      <c r="D233" s="126"/>
      <c r="E233" s="128"/>
      <c r="F233" s="128"/>
      <c r="G233" s="128"/>
      <c r="H233" s="128"/>
      <c r="I233" s="128"/>
      <c r="J233" s="126"/>
      <c r="K233" s="126"/>
      <c r="L233" s="126"/>
      <c r="M233" s="125"/>
      <c r="N233" s="126"/>
    </row>
    <row r="234" spans="1:14" x14ac:dyDescent="0.35">
      <c r="A234" s="126"/>
      <c r="B234" s="127"/>
      <c r="C234" s="126"/>
      <c r="D234" s="126"/>
      <c r="E234" s="128"/>
      <c r="F234" s="128"/>
      <c r="G234" s="128"/>
      <c r="H234" s="128"/>
      <c r="I234" s="128"/>
      <c r="J234" s="126"/>
      <c r="K234" s="126"/>
      <c r="L234" s="126"/>
      <c r="M234" s="125"/>
      <c r="N234" s="126"/>
    </row>
    <row r="235" spans="1:14" x14ac:dyDescent="0.35">
      <c r="A235" s="126"/>
      <c r="B235" s="127"/>
      <c r="C235" s="126"/>
      <c r="D235" s="126"/>
      <c r="E235" s="128"/>
      <c r="F235" s="128"/>
      <c r="G235" s="128"/>
      <c r="H235" s="128"/>
      <c r="I235" s="128"/>
      <c r="J235" s="126"/>
      <c r="K235" s="126"/>
      <c r="L235" s="126"/>
      <c r="M235" s="125"/>
      <c r="N235" s="126"/>
    </row>
    <row r="236" spans="1:14" x14ac:dyDescent="0.35">
      <c r="A236" s="126"/>
      <c r="B236" s="127"/>
      <c r="C236" s="126"/>
      <c r="D236" s="126"/>
      <c r="E236" s="128"/>
      <c r="F236" s="128"/>
      <c r="G236" s="128"/>
      <c r="H236" s="128"/>
      <c r="I236" s="128"/>
      <c r="J236" s="126"/>
      <c r="K236" s="126"/>
      <c r="L236" s="126"/>
      <c r="M236" s="125"/>
      <c r="N236" s="126"/>
    </row>
    <row r="237" spans="1:14" x14ac:dyDescent="0.35">
      <c r="A237" s="126"/>
      <c r="B237" s="127"/>
      <c r="C237" s="126"/>
      <c r="D237" s="126"/>
      <c r="E237" s="128"/>
      <c r="F237" s="128"/>
      <c r="G237" s="128"/>
      <c r="H237" s="128"/>
      <c r="I237" s="128"/>
      <c r="J237" s="126"/>
      <c r="K237" s="126"/>
      <c r="L237" s="126"/>
      <c r="M237" s="125"/>
      <c r="N237" s="126"/>
    </row>
    <row r="238" spans="1:14" x14ac:dyDescent="0.35">
      <c r="A238" s="126"/>
      <c r="B238" s="127"/>
      <c r="C238" s="126"/>
      <c r="D238" s="126"/>
      <c r="E238" s="128"/>
      <c r="F238" s="128"/>
      <c r="G238" s="128"/>
      <c r="H238" s="128"/>
      <c r="I238" s="128"/>
      <c r="J238" s="126"/>
      <c r="K238" s="126"/>
      <c r="L238" s="126"/>
      <c r="M238" s="125"/>
      <c r="N238" s="126"/>
    </row>
    <row r="239" spans="1:14" x14ac:dyDescent="0.35">
      <c r="A239" s="126"/>
      <c r="B239" s="127"/>
      <c r="C239" s="126"/>
      <c r="D239" s="126"/>
      <c r="E239" s="128"/>
      <c r="F239" s="128"/>
      <c r="G239" s="128"/>
      <c r="H239" s="128"/>
      <c r="I239" s="128"/>
      <c r="J239" s="126"/>
      <c r="K239" s="126"/>
      <c r="L239" s="126"/>
      <c r="M239" s="125"/>
      <c r="N239" s="126"/>
    </row>
    <row r="240" spans="1:14" x14ac:dyDescent="0.35">
      <c r="A240" s="126"/>
      <c r="B240" s="127"/>
      <c r="C240" s="126"/>
      <c r="D240" s="126"/>
      <c r="E240" s="128"/>
      <c r="F240" s="128"/>
      <c r="G240" s="128"/>
      <c r="H240" s="128"/>
      <c r="I240" s="128"/>
      <c r="J240" s="126"/>
      <c r="K240" s="126"/>
      <c r="L240" s="126"/>
      <c r="M240" s="125"/>
      <c r="N240" s="126"/>
    </row>
    <row r="241" spans="1:14" x14ac:dyDescent="0.35">
      <c r="A241" s="126"/>
      <c r="B241" s="127"/>
      <c r="C241" s="126"/>
      <c r="D241" s="126"/>
      <c r="E241" s="128"/>
      <c r="F241" s="128"/>
      <c r="G241" s="128"/>
      <c r="H241" s="128"/>
      <c r="I241" s="128"/>
      <c r="J241" s="126"/>
      <c r="K241" s="126"/>
      <c r="L241" s="126"/>
      <c r="M241" s="125"/>
      <c r="N241" s="126"/>
    </row>
    <row r="242" spans="1:14" x14ac:dyDescent="0.35">
      <c r="A242" s="126"/>
      <c r="B242" s="127"/>
      <c r="C242" s="126"/>
      <c r="D242" s="126"/>
      <c r="E242" s="128"/>
      <c r="F242" s="128"/>
      <c r="G242" s="128"/>
      <c r="H242" s="128"/>
      <c r="I242" s="128"/>
      <c r="J242" s="126"/>
      <c r="K242" s="126"/>
      <c r="L242" s="126"/>
      <c r="M242" s="125"/>
      <c r="N242" s="126"/>
    </row>
    <row r="243" spans="1:14" x14ac:dyDescent="0.35">
      <c r="A243" s="126"/>
      <c r="B243" s="127"/>
      <c r="C243" s="126"/>
      <c r="D243" s="126"/>
      <c r="E243" s="128"/>
      <c r="F243" s="128"/>
      <c r="G243" s="128"/>
      <c r="H243" s="128"/>
      <c r="I243" s="128"/>
      <c r="J243" s="126"/>
      <c r="K243" s="126"/>
      <c r="L243" s="126"/>
      <c r="M243" s="125"/>
      <c r="N243" s="126"/>
    </row>
    <row r="244" spans="1:14" x14ac:dyDescent="0.35">
      <c r="A244" s="126"/>
      <c r="B244" s="127"/>
      <c r="C244" s="126"/>
      <c r="D244" s="126"/>
      <c r="E244" s="128"/>
      <c r="F244" s="128"/>
      <c r="G244" s="128"/>
      <c r="H244" s="128"/>
      <c r="I244" s="128"/>
      <c r="J244" s="126"/>
      <c r="K244" s="126"/>
      <c r="L244" s="126"/>
      <c r="M244" s="125"/>
      <c r="N244" s="126"/>
    </row>
    <row r="245" spans="1:14" x14ac:dyDescent="0.35">
      <c r="A245" s="126"/>
      <c r="B245" s="127"/>
      <c r="C245" s="126"/>
      <c r="D245" s="126"/>
      <c r="E245" s="128"/>
      <c r="F245" s="128"/>
      <c r="G245" s="128"/>
      <c r="H245" s="128"/>
      <c r="I245" s="128"/>
      <c r="J245" s="126"/>
      <c r="K245" s="126"/>
      <c r="L245" s="126"/>
      <c r="M245" s="125"/>
      <c r="N245" s="126"/>
    </row>
    <row r="246" spans="1:14" x14ac:dyDescent="0.35">
      <c r="A246" s="126"/>
      <c r="B246" s="127"/>
      <c r="C246" s="126"/>
      <c r="D246" s="126"/>
      <c r="E246" s="128"/>
      <c r="F246" s="128"/>
      <c r="G246" s="128"/>
      <c r="H246" s="128"/>
      <c r="I246" s="128"/>
      <c r="J246" s="126"/>
      <c r="K246" s="126"/>
      <c r="L246" s="126"/>
      <c r="M246" s="125"/>
      <c r="N246" s="126"/>
    </row>
    <row r="247" spans="1:14" x14ac:dyDescent="0.35">
      <c r="A247" s="126"/>
      <c r="B247" s="127"/>
      <c r="C247" s="126"/>
      <c r="D247" s="126"/>
      <c r="E247" s="128"/>
      <c r="F247" s="128"/>
      <c r="G247" s="128"/>
      <c r="H247" s="128"/>
      <c r="I247" s="128"/>
      <c r="J247" s="126"/>
      <c r="K247" s="126"/>
      <c r="L247" s="126"/>
      <c r="M247" s="125"/>
      <c r="N247" s="126"/>
    </row>
    <row r="248" spans="1:14" x14ac:dyDescent="0.35">
      <c r="A248" s="126"/>
      <c r="B248" s="127"/>
      <c r="C248" s="126"/>
      <c r="D248" s="126"/>
      <c r="E248" s="128"/>
      <c r="F248" s="128"/>
      <c r="G248" s="128"/>
      <c r="H248" s="128"/>
      <c r="I248" s="128"/>
      <c r="J248" s="126"/>
      <c r="K248" s="126"/>
      <c r="L248" s="126"/>
      <c r="M248" s="125"/>
      <c r="N248" s="126"/>
    </row>
    <row r="249" spans="1:14" x14ac:dyDescent="0.35">
      <c r="A249" s="126"/>
      <c r="B249" s="127"/>
      <c r="C249" s="126"/>
      <c r="D249" s="126"/>
      <c r="E249" s="128"/>
      <c r="F249" s="128"/>
      <c r="G249" s="128"/>
      <c r="H249" s="128"/>
      <c r="I249" s="128"/>
      <c r="J249" s="126"/>
      <c r="K249" s="126"/>
      <c r="L249" s="126"/>
      <c r="M249" s="125"/>
      <c r="N249" s="126"/>
    </row>
    <row r="250" spans="1:14" x14ac:dyDescent="0.35">
      <c r="A250" s="126"/>
      <c r="B250" s="127"/>
      <c r="C250" s="126"/>
      <c r="D250" s="126"/>
      <c r="E250" s="128"/>
      <c r="F250" s="128"/>
      <c r="G250" s="128"/>
      <c r="H250" s="128"/>
      <c r="I250" s="128"/>
      <c r="J250" s="126"/>
      <c r="K250" s="126"/>
      <c r="L250" s="126"/>
      <c r="M250" s="125"/>
      <c r="N250" s="126"/>
    </row>
    <row r="251" spans="1:14" x14ac:dyDescent="0.35">
      <c r="A251" s="126"/>
      <c r="B251" s="127"/>
      <c r="C251" s="126"/>
      <c r="D251" s="126"/>
      <c r="E251" s="128"/>
      <c r="F251" s="128"/>
      <c r="G251" s="128"/>
      <c r="H251" s="128"/>
      <c r="I251" s="128"/>
      <c r="J251" s="126"/>
      <c r="K251" s="126"/>
      <c r="L251" s="126"/>
      <c r="M251" s="125"/>
      <c r="N251" s="126"/>
    </row>
    <row r="252" spans="1:14" x14ac:dyDescent="0.35">
      <c r="A252" s="126"/>
      <c r="B252" s="127"/>
      <c r="C252" s="126"/>
      <c r="D252" s="126"/>
      <c r="E252" s="128"/>
      <c r="F252" s="128"/>
      <c r="G252" s="128"/>
      <c r="H252" s="128"/>
      <c r="I252" s="128"/>
      <c r="J252" s="126"/>
      <c r="K252" s="126"/>
      <c r="L252" s="126"/>
      <c r="M252" s="125"/>
      <c r="N252" s="126"/>
    </row>
    <row r="253" spans="1:14" x14ac:dyDescent="0.35">
      <c r="A253" s="126"/>
      <c r="B253" s="127"/>
      <c r="C253" s="126"/>
      <c r="D253" s="126"/>
      <c r="E253" s="128"/>
      <c r="F253" s="128"/>
      <c r="G253" s="128"/>
      <c r="H253" s="128"/>
      <c r="I253" s="128"/>
      <c r="J253" s="126"/>
      <c r="K253" s="126"/>
      <c r="L253" s="126"/>
      <c r="M253" s="125"/>
      <c r="N253" s="126"/>
    </row>
    <row r="254" spans="1:14" x14ac:dyDescent="0.35">
      <c r="A254" s="126"/>
      <c r="B254" s="127"/>
      <c r="C254" s="126"/>
      <c r="D254" s="126"/>
      <c r="E254" s="128"/>
      <c r="F254" s="128"/>
      <c r="G254" s="128"/>
      <c r="H254" s="128"/>
      <c r="I254" s="128"/>
      <c r="J254" s="126"/>
      <c r="K254" s="126"/>
      <c r="L254" s="126"/>
      <c r="M254" s="125"/>
      <c r="N254" s="126"/>
    </row>
    <row r="255" spans="1:14" x14ac:dyDescent="0.35">
      <c r="A255" s="126"/>
      <c r="B255" s="127"/>
      <c r="C255" s="126"/>
      <c r="D255" s="126"/>
      <c r="E255" s="128"/>
      <c r="F255" s="128"/>
      <c r="G255" s="128"/>
      <c r="H255" s="128"/>
      <c r="I255" s="128"/>
      <c r="J255" s="126"/>
      <c r="K255" s="126"/>
      <c r="L255" s="126"/>
      <c r="M255" s="125"/>
      <c r="N255" s="126"/>
    </row>
    <row r="256" spans="1:14" x14ac:dyDescent="0.35">
      <c r="A256" s="126"/>
      <c r="B256" s="127"/>
      <c r="C256" s="126"/>
      <c r="D256" s="126"/>
      <c r="E256" s="128"/>
      <c r="F256" s="128"/>
      <c r="G256" s="128"/>
      <c r="H256" s="128"/>
      <c r="I256" s="128"/>
      <c r="J256" s="126"/>
      <c r="K256" s="126"/>
      <c r="L256" s="126"/>
      <c r="M256" s="125"/>
      <c r="N256" s="126"/>
    </row>
    <row r="257" spans="1:14" x14ac:dyDescent="0.35">
      <c r="A257" s="126"/>
      <c r="B257" s="127"/>
      <c r="C257" s="126"/>
      <c r="D257" s="126"/>
      <c r="E257" s="128"/>
      <c r="F257" s="128"/>
      <c r="G257" s="128"/>
      <c r="H257" s="128"/>
      <c r="I257" s="128"/>
      <c r="J257" s="126"/>
      <c r="K257" s="126"/>
      <c r="L257" s="126"/>
      <c r="M257" s="125"/>
      <c r="N257" s="126"/>
    </row>
    <row r="258" spans="1:14" x14ac:dyDescent="0.35">
      <c r="A258" s="126"/>
      <c r="B258" s="127"/>
      <c r="C258" s="126"/>
      <c r="D258" s="126"/>
      <c r="E258" s="128"/>
      <c r="F258" s="128"/>
      <c r="G258" s="128"/>
      <c r="H258" s="128"/>
      <c r="I258" s="128"/>
      <c r="J258" s="126"/>
      <c r="K258" s="126"/>
      <c r="L258" s="126"/>
      <c r="M258" s="125"/>
      <c r="N258" s="126"/>
    </row>
    <row r="259" spans="1:14" x14ac:dyDescent="0.35">
      <c r="A259" s="126"/>
      <c r="B259" s="127"/>
      <c r="C259" s="126"/>
      <c r="D259" s="126"/>
      <c r="E259" s="128"/>
      <c r="F259" s="128"/>
      <c r="G259" s="128"/>
      <c r="H259" s="128"/>
      <c r="I259" s="128"/>
      <c r="J259" s="126"/>
      <c r="K259" s="126"/>
      <c r="L259" s="126"/>
      <c r="M259" s="125"/>
      <c r="N259" s="126"/>
    </row>
    <row r="260" spans="1:14" x14ac:dyDescent="0.35">
      <c r="A260" s="126"/>
      <c r="B260" s="127"/>
      <c r="C260" s="126"/>
      <c r="D260" s="126"/>
      <c r="E260" s="128"/>
      <c r="F260" s="128"/>
      <c r="G260" s="128"/>
      <c r="H260" s="128"/>
      <c r="I260" s="128"/>
      <c r="J260" s="126"/>
      <c r="K260" s="126"/>
      <c r="L260" s="126"/>
      <c r="M260" s="125"/>
      <c r="N260" s="126"/>
    </row>
    <row r="261" spans="1:14" x14ac:dyDescent="0.35">
      <c r="A261" s="126"/>
      <c r="B261" s="127"/>
      <c r="C261" s="126"/>
      <c r="D261" s="126"/>
      <c r="E261" s="128"/>
      <c r="F261" s="128"/>
      <c r="G261" s="128"/>
      <c r="H261" s="128"/>
      <c r="I261" s="128"/>
      <c r="J261" s="126"/>
      <c r="K261" s="126"/>
      <c r="L261" s="126"/>
      <c r="M261" s="125"/>
      <c r="N261" s="126"/>
    </row>
    <row r="262" spans="1:14" x14ac:dyDescent="0.35">
      <c r="A262" s="126"/>
      <c r="B262" s="127"/>
      <c r="C262" s="126"/>
      <c r="D262" s="126"/>
      <c r="E262" s="128"/>
      <c r="F262" s="128"/>
      <c r="G262" s="128"/>
      <c r="H262" s="128"/>
      <c r="I262" s="128"/>
      <c r="J262" s="126"/>
      <c r="K262" s="126"/>
      <c r="L262" s="126"/>
      <c r="M262" s="125"/>
      <c r="N262" s="126"/>
    </row>
    <row r="263" spans="1:14" x14ac:dyDescent="0.35">
      <c r="A263" s="126"/>
      <c r="B263" s="127"/>
      <c r="C263" s="126"/>
      <c r="D263" s="126"/>
      <c r="E263" s="128"/>
      <c r="F263" s="128"/>
      <c r="G263" s="128"/>
      <c r="H263" s="128"/>
      <c r="I263" s="128"/>
      <c r="J263" s="126"/>
      <c r="K263" s="126"/>
      <c r="L263" s="126"/>
      <c r="M263" s="125"/>
      <c r="N263" s="126"/>
    </row>
    <row r="264" spans="1:14" x14ac:dyDescent="0.35">
      <c r="A264" s="126"/>
      <c r="B264" s="127"/>
      <c r="C264" s="126"/>
      <c r="D264" s="126"/>
      <c r="E264" s="128"/>
      <c r="F264" s="128"/>
      <c r="G264" s="128"/>
      <c r="H264" s="128"/>
      <c r="I264" s="128"/>
      <c r="J264" s="126"/>
      <c r="K264" s="126"/>
      <c r="L264" s="126"/>
      <c r="M264" s="125"/>
      <c r="N264" s="126"/>
    </row>
    <row r="265" spans="1:14" x14ac:dyDescent="0.35">
      <c r="A265" s="126"/>
      <c r="B265" s="127"/>
      <c r="C265" s="126"/>
      <c r="D265" s="126"/>
      <c r="E265" s="128"/>
      <c r="F265" s="128"/>
      <c r="G265" s="128"/>
      <c r="H265" s="128"/>
      <c r="I265" s="128"/>
      <c r="J265" s="126"/>
      <c r="K265" s="126"/>
      <c r="L265" s="126"/>
      <c r="M265" s="125"/>
      <c r="N265" s="126"/>
    </row>
    <row r="266" spans="1:14" x14ac:dyDescent="0.35">
      <c r="A266" s="126"/>
      <c r="B266" s="127"/>
      <c r="C266" s="126"/>
      <c r="D266" s="126"/>
      <c r="E266" s="128"/>
      <c r="F266" s="128"/>
      <c r="G266" s="128"/>
      <c r="H266" s="128"/>
      <c r="I266" s="128"/>
      <c r="J266" s="126"/>
      <c r="K266" s="126"/>
      <c r="L266" s="126"/>
      <c r="M266" s="125"/>
      <c r="N266" s="126"/>
    </row>
    <row r="267" spans="1:14" x14ac:dyDescent="0.35">
      <c r="A267" s="126"/>
      <c r="B267" s="127"/>
      <c r="C267" s="126"/>
      <c r="D267" s="126"/>
      <c r="E267" s="128"/>
      <c r="F267" s="128"/>
      <c r="G267" s="128"/>
      <c r="H267" s="128"/>
      <c r="I267" s="128"/>
      <c r="J267" s="126"/>
      <c r="K267" s="126"/>
      <c r="L267" s="126"/>
      <c r="M267" s="125"/>
      <c r="N267" s="126"/>
    </row>
    <row r="268" spans="1:14" x14ac:dyDescent="0.35">
      <c r="A268" s="126"/>
      <c r="B268" s="127"/>
      <c r="C268" s="126"/>
      <c r="D268" s="126"/>
      <c r="E268" s="128"/>
      <c r="F268" s="128"/>
      <c r="G268" s="128"/>
      <c r="H268" s="128"/>
      <c r="I268" s="128"/>
      <c r="J268" s="126"/>
      <c r="K268" s="126"/>
      <c r="L268" s="126"/>
      <c r="M268" s="125"/>
      <c r="N268" s="126"/>
    </row>
    <row r="269" spans="1:14" x14ac:dyDescent="0.35">
      <c r="A269" s="126"/>
      <c r="B269" s="127"/>
      <c r="C269" s="126"/>
      <c r="D269" s="126"/>
      <c r="E269" s="128"/>
      <c r="F269" s="128"/>
      <c r="G269" s="128"/>
      <c r="H269" s="128"/>
      <c r="I269" s="128"/>
      <c r="J269" s="126"/>
      <c r="K269" s="126"/>
      <c r="L269" s="126"/>
      <c r="M269" s="125"/>
      <c r="N269" s="126"/>
    </row>
    <row r="270" spans="1:14" x14ac:dyDescent="0.35">
      <c r="A270" s="126"/>
      <c r="B270" s="127"/>
      <c r="C270" s="126"/>
      <c r="D270" s="126"/>
      <c r="E270" s="128"/>
      <c r="F270" s="128"/>
      <c r="G270" s="128"/>
      <c r="H270" s="128"/>
      <c r="I270" s="128"/>
      <c r="J270" s="126"/>
      <c r="K270" s="126"/>
      <c r="L270" s="126"/>
      <c r="M270" s="125"/>
      <c r="N270" s="126"/>
    </row>
    <row r="271" spans="1:14" x14ac:dyDescent="0.35">
      <c r="A271" s="126"/>
      <c r="B271" s="127"/>
      <c r="C271" s="126"/>
      <c r="D271" s="126"/>
      <c r="E271" s="128"/>
      <c r="F271" s="128"/>
      <c r="G271" s="128"/>
      <c r="H271" s="128"/>
      <c r="I271" s="128"/>
      <c r="J271" s="126"/>
      <c r="K271" s="126"/>
      <c r="L271" s="126"/>
      <c r="M271" s="125"/>
      <c r="N271" s="126"/>
    </row>
    <row r="272" spans="1:14" x14ac:dyDescent="0.35">
      <c r="A272" s="126"/>
      <c r="B272" s="127"/>
      <c r="C272" s="126"/>
      <c r="D272" s="126"/>
      <c r="E272" s="128"/>
      <c r="F272" s="128"/>
      <c r="G272" s="128"/>
      <c r="H272" s="128"/>
      <c r="I272" s="128"/>
      <c r="J272" s="126"/>
      <c r="K272" s="126"/>
      <c r="L272" s="126"/>
      <c r="M272" s="125"/>
      <c r="N272" s="126"/>
    </row>
    <row r="273" spans="1:14" x14ac:dyDescent="0.35">
      <c r="A273" s="126"/>
      <c r="B273" s="127"/>
      <c r="C273" s="126"/>
      <c r="D273" s="126"/>
      <c r="E273" s="128"/>
      <c r="F273" s="128"/>
      <c r="G273" s="128"/>
      <c r="H273" s="128"/>
      <c r="I273" s="128"/>
      <c r="J273" s="126"/>
      <c r="K273" s="126"/>
      <c r="L273" s="126"/>
      <c r="M273" s="125"/>
      <c r="N273" s="126"/>
    </row>
    <row r="274" spans="1:14" x14ac:dyDescent="0.35">
      <c r="A274" s="126"/>
      <c r="B274" s="127"/>
      <c r="C274" s="126"/>
      <c r="D274" s="126"/>
      <c r="E274" s="128"/>
      <c r="F274" s="128"/>
      <c r="G274" s="128"/>
      <c r="H274" s="128"/>
      <c r="I274" s="128"/>
      <c r="J274" s="126"/>
      <c r="K274" s="126"/>
      <c r="L274" s="126"/>
      <c r="M274" s="125"/>
      <c r="N274" s="126"/>
    </row>
    <row r="275" spans="1:14" x14ac:dyDescent="0.35">
      <c r="A275" s="126"/>
      <c r="B275" s="127"/>
      <c r="C275" s="126"/>
      <c r="D275" s="126"/>
      <c r="E275" s="128"/>
      <c r="F275" s="128"/>
      <c r="G275" s="128"/>
      <c r="H275" s="128"/>
      <c r="I275" s="128"/>
      <c r="J275" s="126"/>
      <c r="K275" s="126"/>
      <c r="L275" s="126"/>
      <c r="M275" s="125"/>
      <c r="N275" s="126"/>
    </row>
    <row r="276" spans="1:14" x14ac:dyDescent="0.35">
      <c r="A276" s="126"/>
      <c r="B276" s="127"/>
      <c r="C276" s="126"/>
      <c r="D276" s="126"/>
      <c r="E276" s="128"/>
      <c r="F276" s="128"/>
      <c r="G276" s="128"/>
      <c r="H276" s="128"/>
      <c r="I276" s="128"/>
      <c r="J276" s="126"/>
      <c r="K276" s="126"/>
      <c r="L276" s="126"/>
      <c r="M276" s="125"/>
      <c r="N276" s="126"/>
    </row>
    <row r="277" spans="1:14" x14ac:dyDescent="0.35">
      <c r="A277" s="126"/>
      <c r="B277" s="127"/>
      <c r="C277" s="126"/>
      <c r="D277" s="126"/>
      <c r="E277" s="128"/>
      <c r="F277" s="128"/>
      <c r="G277" s="128"/>
      <c r="H277" s="128"/>
      <c r="I277" s="128"/>
      <c r="J277" s="126"/>
      <c r="K277" s="126"/>
      <c r="L277" s="126"/>
      <c r="M277" s="125"/>
      <c r="N277" s="126"/>
    </row>
    <row r="278" spans="1:14" x14ac:dyDescent="0.35">
      <c r="A278" s="126"/>
      <c r="B278" s="127"/>
      <c r="C278" s="126"/>
      <c r="D278" s="126"/>
      <c r="E278" s="128"/>
      <c r="F278" s="128"/>
      <c r="G278" s="128"/>
      <c r="H278" s="128"/>
      <c r="I278" s="128"/>
      <c r="J278" s="126"/>
      <c r="K278" s="126"/>
      <c r="L278" s="126"/>
      <c r="M278" s="125"/>
      <c r="N278" s="126"/>
    </row>
    <row r="279" spans="1:14" x14ac:dyDescent="0.35">
      <c r="A279" s="126"/>
      <c r="B279" s="127"/>
      <c r="C279" s="126"/>
      <c r="D279" s="126"/>
      <c r="E279" s="128"/>
      <c r="F279" s="128"/>
      <c r="G279" s="128"/>
      <c r="H279" s="128"/>
      <c r="I279" s="128"/>
      <c r="J279" s="126"/>
      <c r="K279" s="126"/>
      <c r="L279" s="126"/>
      <c r="M279" s="125"/>
      <c r="N279" s="126"/>
    </row>
    <row r="280" spans="1:14" x14ac:dyDescent="0.35">
      <c r="A280" s="126"/>
      <c r="B280" s="127"/>
      <c r="C280" s="126"/>
      <c r="D280" s="126"/>
      <c r="E280" s="128"/>
      <c r="F280" s="128"/>
      <c r="G280" s="128"/>
      <c r="H280" s="128"/>
      <c r="I280" s="128"/>
      <c r="J280" s="126"/>
      <c r="K280" s="126"/>
      <c r="L280" s="126"/>
      <c r="M280" s="125"/>
      <c r="N280" s="126"/>
    </row>
    <row r="281" spans="1:14" x14ac:dyDescent="0.35">
      <c r="A281" s="126"/>
      <c r="B281" s="127"/>
      <c r="C281" s="126"/>
      <c r="D281" s="126"/>
      <c r="E281" s="128"/>
      <c r="F281" s="128"/>
      <c r="G281" s="128"/>
      <c r="H281" s="128"/>
      <c r="I281" s="128"/>
      <c r="J281" s="126"/>
      <c r="K281" s="126"/>
      <c r="L281" s="126"/>
      <c r="M281" s="125"/>
      <c r="N281" s="126"/>
    </row>
    <row r="282" spans="1:14" x14ac:dyDescent="0.35">
      <c r="A282" s="126"/>
      <c r="B282" s="127"/>
      <c r="C282" s="126"/>
      <c r="D282" s="126"/>
      <c r="E282" s="128"/>
      <c r="F282" s="128"/>
      <c r="G282" s="128"/>
      <c r="H282" s="128"/>
      <c r="I282" s="128"/>
      <c r="J282" s="126"/>
      <c r="K282" s="126"/>
      <c r="L282" s="126"/>
      <c r="M282" s="125"/>
      <c r="N282" s="126"/>
    </row>
    <row r="283" spans="1:14" x14ac:dyDescent="0.35">
      <c r="A283" s="126"/>
      <c r="B283" s="127"/>
      <c r="C283" s="126"/>
      <c r="D283" s="126"/>
      <c r="E283" s="128"/>
      <c r="F283" s="128"/>
      <c r="G283" s="128"/>
      <c r="H283" s="128"/>
      <c r="I283" s="128"/>
      <c r="J283" s="126"/>
      <c r="K283" s="126"/>
      <c r="L283" s="126"/>
      <c r="M283" s="125"/>
      <c r="N283" s="126"/>
    </row>
    <row r="284" spans="1:14" x14ac:dyDescent="0.35">
      <c r="A284" s="126"/>
      <c r="B284" s="127"/>
      <c r="C284" s="126"/>
      <c r="D284" s="126"/>
      <c r="E284" s="128"/>
      <c r="F284" s="128"/>
      <c r="G284" s="128"/>
      <c r="H284" s="128"/>
      <c r="I284" s="128"/>
      <c r="J284" s="126"/>
      <c r="K284" s="126"/>
      <c r="L284" s="126"/>
      <c r="M284" s="125"/>
      <c r="N284" s="126"/>
    </row>
    <row r="285" spans="1:14" x14ac:dyDescent="0.35">
      <c r="A285" s="126"/>
      <c r="B285" s="127"/>
      <c r="C285" s="126"/>
      <c r="D285" s="126"/>
      <c r="E285" s="128"/>
      <c r="F285" s="128"/>
      <c r="G285" s="128"/>
      <c r="H285" s="128"/>
      <c r="I285" s="128"/>
      <c r="J285" s="126"/>
      <c r="K285" s="126"/>
      <c r="L285" s="126"/>
      <c r="M285" s="125"/>
      <c r="N285" s="126"/>
    </row>
    <row r="286" spans="1:14" x14ac:dyDescent="0.35">
      <c r="A286" s="126"/>
      <c r="B286" s="127"/>
      <c r="C286" s="126"/>
      <c r="D286" s="126"/>
      <c r="E286" s="128"/>
      <c r="F286" s="128"/>
      <c r="G286" s="128"/>
      <c r="H286" s="128"/>
      <c r="I286" s="128"/>
      <c r="J286" s="126"/>
      <c r="K286" s="126"/>
      <c r="L286" s="126"/>
      <c r="M286" s="125"/>
      <c r="N286" s="126"/>
    </row>
    <row r="287" spans="1:14" x14ac:dyDescent="0.35">
      <c r="A287" s="126"/>
      <c r="B287" s="127"/>
      <c r="C287" s="126"/>
      <c r="D287" s="126"/>
      <c r="E287" s="128"/>
      <c r="F287" s="128"/>
      <c r="G287" s="128"/>
      <c r="H287" s="128"/>
      <c r="I287" s="128"/>
      <c r="J287" s="126"/>
      <c r="K287" s="126"/>
      <c r="L287" s="126"/>
      <c r="M287" s="125"/>
      <c r="N287" s="126"/>
    </row>
    <row r="288" spans="1:14" x14ac:dyDescent="0.35">
      <c r="A288" s="126"/>
      <c r="B288" s="127"/>
      <c r="C288" s="126"/>
      <c r="D288" s="126"/>
      <c r="E288" s="128"/>
      <c r="F288" s="128"/>
      <c r="G288" s="128"/>
      <c r="H288" s="128"/>
      <c r="I288" s="128"/>
      <c r="J288" s="126"/>
      <c r="K288" s="126"/>
      <c r="L288" s="126"/>
      <c r="M288" s="125"/>
      <c r="N288" s="126"/>
    </row>
    <row r="289" spans="1:14" x14ac:dyDescent="0.35">
      <c r="A289" s="126"/>
      <c r="B289" s="127"/>
      <c r="C289" s="126"/>
      <c r="D289" s="126"/>
      <c r="E289" s="128"/>
      <c r="F289" s="128"/>
      <c r="G289" s="128"/>
      <c r="H289" s="128"/>
      <c r="I289" s="128"/>
      <c r="J289" s="126"/>
      <c r="K289" s="126"/>
      <c r="L289" s="126"/>
      <c r="M289" s="125"/>
      <c r="N289" s="126"/>
    </row>
    <row r="290" spans="1:14" x14ac:dyDescent="0.35">
      <c r="A290" s="126"/>
      <c r="B290" s="127"/>
      <c r="C290" s="126"/>
      <c r="D290" s="126"/>
      <c r="E290" s="128"/>
      <c r="F290" s="128"/>
      <c r="G290" s="128"/>
      <c r="H290" s="128"/>
      <c r="I290" s="128"/>
      <c r="J290" s="126"/>
      <c r="K290" s="126"/>
      <c r="L290" s="126"/>
      <c r="M290" s="125"/>
      <c r="N290" s="126"/>
    </row>
    <row r="291" spans="1:14" x14ac:dyDescent="0.35">
      <c r="A291" s="126"/>
      <c r="B291" s="127"/>
      <c r="C291" s="126"/>
      <c r="D291" s="126"/>
      <c r="E291" s="128"/>
      <c r="F291" s="128"/>
      <c r="G291" s="128"/>
      <c r="H291" s="128"/>
      <c r="I291" s="128"/>
      <c r="J291" s="126"/>
      <c r="K291" s="126"/>
      <c r="L291" s="126"/>
      <c r="M291" s="125"/>
      <c r="N291" s="126"/>
    </row>
    <row r="292" spans="1:14" x14ac:dyDescent="0.35">
      <c r="A292" s="126"/>
      <c r="B292" s="127"/>
      <c r="C292" s="126"/>
      <c r="D292" s="126"/>
      <c r="E292" s="128"/>
      <c r="F292" s="128"/>
      <c r="G292" s="128"/>
      <c r="H292" s="128"/>
      <c r="I292" s="128"/>
      <c r="J292" s="126"/>
      <c r="K292" s="126"/>
      <c r="L292" s="126"/>
      <c r="M292" s="125"/>
      <c r="N292" s="126"/>
    </row>
    <row r="293" spans="1:14" x14ac:dyDescent="0.35">
      <c r="A293" s="126"/>
      <c r="B293" s="127"/>
      <c r="C293" s="126"/>
      <c r="D293" s="126"/>
      <c r="E293" s="128"/>
      <c r="F293" s="128"/>
      <c r="G293" s="128"/>
      <c r="H293" s="128"/>
      <c r="I293" s="128"/>
      <c r="J293" s="126"/>
      <c r="K293" s="126"/>
      <c r="L293" s="126"/>
      <c r="M293" s="125"/>
      <c r="N293" s="126"/>
    </row>
    <row r="294" spans="1:14" x14ac:dyDescent="0.35">
      <c r="A294" s="126"/>
      <c r="B294" s="127"/>
      <c r="C294" s="126"/>
      <c r="D294" s="126"/>
      <c r="E294" s="128"/>
      <c r="F294" s="128"/>
      <c r="G294" s="128"/>
      <c r="H294" s="128"/>
      <c r="I294" s="128"/>
      <c r="J294" s="126"/>
      <c r="K294" s="126"/>
      <c r="L294" s="126"/>
      <c r="M294" s="125"/>
      <c r="N294" s="126"/>
    </row>
    <row r="295" spans="1:14" x14ac:dyDescent="0.35">
      <c r="A295" s="126"/>
      <c r="B295" s="127"/>
      <c r="C295" s="126"/>
      <c r="D295" s="126"/>
      <c r="E295" s="128"/>
      <c r="F295" s="128"/>
      <c r="G295" s="128"/>
      <c r="H295" s="128"/>
      <c r="I295" s="128"/>
      <c r="J295" s="126"/>
      <c r="K295" s="126"/>
      <c r="L295" s="126"/>
      <c r="M295" s="125"/>
      <c r="N295" s="126"/>
    </row>
    <row r="296" spans="1:14" x14ac:dyDescent="0.35">
      <c r="A296" s="126"/>
      <c r="B296" s="127"/>
      <c r="C296" s="126"/>
      <c r="D296" s="126"/>
      <c r="E296" s="128"/>
      <c r="F296" s="128"/>
      <c r="G296" s="128"/>
      <c r="H296" s="128"/>
      <c r="I296" s="128"/>
      <c r="J296" s="126"/>
      <c r="K296" s="126"/>
      <c r="L296" s="126"/>
      <c r="M296" s="125"/>
      <c r="N296" s="126"/>
    </row>
    <row r="297" spans="1:14" x14ac:dyDescent="0.35">
      <c r="A297" s="126"/>
      <c r="B297" s="127"/>
      <c r="C297" s="126"/>
      <c r="D297" s="126"/>
      <c r="E297" s="128"/>
      <c r="F297" s="128"/>
      <c r="G297" s="128"/>
      <c r="H297" s="128"/>
      <c r="I297" s="128"/>
      <c r="J297" s="126"/>
      <c r="K297" s="126"/>
      <c r="L297" s="126"/>
      <c r="M297" s="125"/>
      <c r="N297" s="126"/>
    </row>
    <row r="298" spans="1:14" x14ac:dyDescent="0.35">
      <c r="A298" s="126"/>
      <c r="B298" s="127"/>
      <c r="C298" s="126"/>
      <c r="D298" s="126"/>
      <c r="E298" s="128"/>
      <c r="F298" s="128"/>
      <c r="G298" s="128"/>
      <c r="H298" s="128"/>
      <c r="I298" s="128"/>
      <c r="J298" s="126"/>
      <c r="K298" s="126"/>
      <c r="L298" s="126"/>
      <c r="M298" s="125"/>
      <c r="N298" s="126"/>
    </row>
    <row r="299" spans="1:14" x14ac:dyDescent="0.35">
      <c r="A299" s="126"/>
      <c r="B299" s="127"/>
      <c r="C299" s="126"/>
      <c r="D299" s="126"/>
      <c r="E299" s="128"/>
      <c r="F299" s="128"/>
      <c r="G299" s="128"/>
      <c r="H299" s="128"/>
      <c r="I299" s="128"/>
      <c r="J299" s="126"/>
      <c r="K299" s="126"/>
      <c r="L299" s="126"/>
      <c r="M299" s="125"/>
      <c r="N299" s="126"/>
    </row>
    <row r="300" spans="1:14" x14ac:dyDescent="0.35">
      <c r="A300" s="126"/>
      <c r="B300" s="127"/>
      <c r="C300" s="126"/>
      <c r="D300" s="126"/>
      <c r="E300" s="128"/>
      <c r="F300" s="128"/>
      <c r="G300" s="128"/>
      <c r="H300" s="128"/>
      <c r="I300" s="128"/>
      <c r="J300" s="126"/>
      <c r="K300" s="126"/>
      <c r="L300" s="126"/>
      <c r="M300" s="125"/>
      <c r="N300" s="126"/>
    </row>
    <row r="301" spans="1:14" x14ac:dyDescent="0.35">
      <c r="A301" s="126"/>
      <c r="B301" s="127"/>
      <c r="C301" s="126"/>
      <c r="D301" s="126"/>
      <c r="E301" s="128"/>
      <c r="F301" s="128"/>
      <c r="G301" s="128"/>
      <c r="H301" s="128"/>
      <c r="I301" s="128"/>
      <c r="J301" s="126"/>
      <c r="K301" s="126"/>
      <c r="L301" s="126"/>
      <c r="M301" s="125"/>
      <c r="N301" s="126"/>
    </row>
    <row r="302" spans="1:14" x14ac:dyDescent="0.35">
      <c r="A302" s="126"/>
      <c r="B302" s="127"/>
      <c r="C302" s="126"/>
      <c r="D302" s="126"/>
      <c r="E302" s="128"/>
      <c r="F302" s="128"/>
      <c r="G302" s="128"/>
      <c r="H302" s="128"/>
      <c r="I302" s="128"/>
      <c r="J302" s="126"/>
      <c r="K302" s="126"/>
      <c r="L302" s="126"/>
      <c r="M302" s="125"/>
      <c r="N302" s="126"/>
    </row>
    <row r="303" spans="1:14" x14ac:dyDescent="0.35">
      <c r="A303" s="126"/>
      <c r="B303" s="127"/>
      <c r="C303" s="126"/>
      <c r="D303" s="126"/>
      <c r="E303" s="128"/>
      <c r="F303" s="128"/>
      <c r="G303" s="128"/>
      <c r="H303" s="128"/>
      <c r="I303" s="128"/>
      <c r="J303" s="126"/>
      <c r="K303" s="126"/>
      <c r="L303" s="126"/>
      <c r="M303" s="125"/>
      <c r="N303" s="126"/>
    </row>
    <row r="304" spans="1:14" x14ac:dyDescent="0.35">
      <c r="A304" s="126"/>
      <c r="B304" s="127"/>
      <c r="C304" s="126"/>
      <c r="D304" s="126"/>
      <c r="E304" s="128"/>
      <c r="F304" s="128"/>
      <c r="G304" s="128"/>
      <c r="H304" s="128"/>
      <c r="I304" s="128"/>
      <c r="J304" s="126"/>
      <c r="K304" s="126"/>
      <c r="L304" s="126"/>
      <c r="M304" s="125"/>
      <c r="N304" s="126"/>
    </row>
    <row r="305" spans="1:14" x14ac:dyDescent="0.35">
      <c r="A305" s="126"/>
      <c r="B305" s="127"/>
      <c r="C305" s="126"/>
      <c r="D305" s="126"/>
      <c r="E305" s="128"/>
      <c r="F305" s="128"/>
      <c r="G305" s="128"/>
      <c r="H305" s="128"/>
      <c r="I305" s="128"/>
      <c r="J305" s="126"/>
      <c r="K305" s="126"/>
      <c r="L305" s="126"/>
      <c r="M305" s="125"/>
      <c r="N305" s="126"/>
    </row>
    <row r="306" spans="1:14" x14ac:dyDescent="0.35">
      <c r="A306" s="126"/>
      <c r="B306" s="127"/>
      <c r="C306" s="126"/>
      <c r="D306" s="126"/>
      <c r="E306" s="128"/>
      <c r="F306" s="128"/>
      <c r="G306" s="128"/>
      <c r="H306" s="128"/>
      <c r="I306" s="128"/>
      <c r="J306" s="126"/>
      <c r="K306" s="126"/>
      <c r="L306" s="126"/>
      <c r="M306" s="125"/>
      <c r="N306" s="126"/>
    </row>
    <row r="307" spans="1:14" x14ac:dyDescent="0.35">
      <c r="A307" s="126"/>
      <c r="B307" s="127"/>
      <c r="C307" s="126"/>
      <c r="D307" s="126"/>
      <c r="E307" s="128"/>
      <c r="F307" s="128"/>
      <c r="G307" s="128"/>
      <c r="H307" s="128"/>
      <c r="I307" s="128"/>
      <c r="J307" s="126"/>
      <c r="K307" s="126"/>
      <c r="L307" s="126"/>
      <c r="M307" s="125"/>
      <c r="N307" s="126"/>
    </row>
    <row r="308" spans="1:14" x14ac:dyDescent="0.35">
      <c r="A308" s="126"/>
      <c r="B308" s="127"/>
      <c r="C308" s="126"/>
      <c r="D308" s="126"/>
      <c r="E308" s="128"/>
      <c r="F308" s="128"/>
      <c r="G308" s="128"/>
      <c r="H308" s="128"/>
      <c r="I308" s="128"/>
      <c r="J308" s="126"/>
      <c r="K308" s="126"/>
      <c r="L308" s="126"/>
      <c r="M308" s="125"/>
      <c r="N308" s="126"/>
    </row>
    <row r="309" spans="1:14" x14ac:dyDescent="0.35">
      <c r="A309" s="126"/>
      <c r="B309" s="127"/>
      <c r="C309" s="126"/>
      <c r="D309" s="126"/>
      <c r="E309" s="128"/>
      <c r="F309" s="128"/>
      <c r="G309" s="128"/>
      <c r="H309" s="128"/>
      <c r="I309" s="128"/>
      <c r="J309" s="126"/>
      <c r="K309" s="126"/>
      <c r="L309" s="126"/>
      <c r="M309" s="125"/>
      <c r="N309" s="126"/>
    </row>
    <row r="310" spans="1:14" x14ac:dyDescent="0.35">
      <c r="A310" s="126"/>
      <c r="B310" s="127"/>
      <c r="C310" s="126"/>
      <c r="D310" s="126"/>
      <c r="E310" s="128"/>
      <c r="F310" s="128"/>
      <c r="G310" s="128"/>
      <c r="H310" s="128"/>
      <c r="I310" s="128"/>
      <c r="J310" s="126"/>
      <c r="K310" s="126"/>
      <c r="L310" s="126"/>
      <c r="M310" s="125"/>
      <c r="N310" s="126"/>
    </row>
    <row r="311" spans="1:14" x14ac:dyDescent="0.35">
      <c r="A311" s="126"/>
      <c r="B311" s="127"/>
      <c r="C311" s="126"/>
      <c r="D311" s="126"/>
      <c r="E311" s="128"/>
      <c r="F311" s="128"/>
      <c r="G311" s="128"/>
      <c r="H311" s="128"/>
      <c r="I311" s="128"/>
      <c r="J311" s="126"/>
      <c r="K311" s="126"/>
      <c r="L311" s="126"/>
      <c r="M311" s="125"/>
      <c r="N311" s="126"/>
    </row>
    <row r="312" spans="1:14" x14ac:dyDescent="0.35">
      <c r="A312" s="126"/>
      <c r="B312" s="127"/>
      <c r="C312" s="126"/>
      <c r="D312" s="126"/>
      <c r="E312" s="128"/>
      <c r="F312" s="128"/>
      <c r="G312" s="128"/>
      <c r="H312" s="128"/>
      <c r="I312" s="128"/>
      <c r="J312" s="126"/>
      <c r="K312" s="126"/>
      <c r="L312" s="126"/>
      <c r="M312" s="125"/>
      <c r="N312" s="126"/>
    </row>
    <row r="313" spans="1:14" x14ac:dyDescent="0.35">
      <c r="A313" s="126"/>
      <c r="B313" s="127"/>
      <c r="C313" s="126"/>
      <c r="D313" s="126"/>
      <c r="E313" s="128"/>
      <c r="F313" s="128"/>
      <c r="G313" s="128"/>
      <c r="H313" s="128"/>
      <c r="I313" s="128"/>
      <c r="J313" s="126"/>
      <c r="K313" s="126"/>
      <c r="L313" s="126"/>
      <c r="M313" s="125"/>
      <c r="N313" s="126"/>
    </row>
    <row r="314" spans="1:14" x14ac:dyDescent="0.35">
      <c r="A314" s="126"/>
      <c r="B314" s="127"/>
      <c r="C314" s="126"/>
      <c r="D314" s="126"/>
      <c r="E314" s="128"/>
      <c r="F314" s="128"/>
      <c r="G314" s="128"/>
      <c r="H314" s="128"/>
      <c r="I314" s="128"/>
      <c r="J314" s="126"/>
      <c r="K314" s="126"/>
      <c r="L314" s="126"/>
      <c r="M314" s="125"/>
      <c r="N314" s="126"/>
    </row>
    <row r="315" spans="1:14" x14ac:dyDescent="0.35">
      <c r="A315" s="126"/>
      <c r="B315" s="127"/>
      <c r="C315" s="126"/>
      <c r="D315" s="126"/>
      <c r="E315" s="128"/>
      <c r="F315" s="128"/>
      <c r="G315" s="128"/>
      <c r="H315" s="128"/>
      <c r="I315" s="128"/>
      <c r="J315" s="126"/>
      <c r="K315" s="126"/>
      <c r="L315" s="126"/>
      <c r="M315" s="125"/>
      <c r="N315" s="126"/>
    </row>
    <row r="316" spans="1:14" x14ac:dyDescent="0.35">
      <c r="A316" s="126"/>
      <c r="B316" s="127"/>
      <c r="C316" s="126"/>
      <c r="D316" s="126"/>
      <c r="E316" s="128"/>
      <c r="F316" s="128"/>
      <c r="G316" s="128"/>
      <c r="H316" s="128"/>
      <c r="I316" s="128"/>
      <c r="J316" s="126"/>
      <c r="K316" s="126"/>
      <c r="L316" s="126"/>
      <c r="M316" s="125"/>
      <c r="N316" s="126"/>
    </row>
    <row r="317" spans="1:14" x14ac:dyDescent="0.35">
      <c r="A317" s="126"/>
      <c r="B317" s="127"/>
      <c r="C317" s="126"/>
      <c r="D317" s="126"/>
      <c r="E317" s="128"/>
      <c r="F317" s="128"/>
      <c r="G317" s="128"/>
      <c r="H317" s="128"/>
      <c r="I317" s="128"/>
      <c r="J317" s="126"/>
      <c r="K317" s="126"/>
      <c r="L317" s="126"/>
      <c r="M317" s="125"/>
      <c r="N317" s="126"/>
    </row>
    <row r="318" spans="1:14" x14ac:dyDescent="0.35">
      <c r="A318" s="126"/>
      <c r="B318" s="127"/>
      <c r="C318" s="126"/>
      <c r="D318" s="126"/>
      <c r="E318" s="128"/>
      <c r="F318" s="128"/>
      <c r="G318" s="128"/>
      <c r="H318" s="128"/>
      <c r="I318" s="128"/>
      <c r="J318" s="126"/>
      <c r="K318" s="126"/>
      <c r="L318" s="126"/>
      <c r="M318" s="125"/>
      <c r="N318" s="126"/>
    </row>
    <row r="319" spans="1:14" x14ac:dyDescent="0.35">
      <c r="A319" s="126"/>
      <c r="B319" s="127"/>
      <c r="C319" s="126"/>
      <c r="D319" s="126"/>
      <c r="E319" s="128"/>
      <c r="F319" s="128"/>
      <c r="G319" s="128"/>
      <c r="H319" s="128"/>
      <c r="I319" s="128"/>
      <c r="J319" s="126"/>
      <c r="K319" s="126"/>
      <c r="L319" s="126"/>
      <c r="M319" s="125"/>
      <c r="N319" s="126"/>
    </row>
    <row r="320" spans="1:14" x14ac:dyDescent="0.35">
      <c r="A320" s="126"/>
      <c r="B320" s="127"/>
      <c r="C320" s="126"/>
      <c r="D320" s="126"/>
      <c r="E320" s="128"/>
      <c r="F320" s="128"/>
      <c r="G320" s="128"/>
      <c r="H320" s="128"/>
      <c r="I320" s="128"/>
      <c r="J320" s="126"/>
      <c r="K320" s="126"/>
      <c r="L320" s="126"/>
      <c r="M320" s="125"/>
      <c r="N320" s="126"/>
    </row>
    <row r="321" spans="1:14" x14ac:dyDescent="0.35">
      <c r="A321" s="126"/>
      <c r="B321" s="127"/>
      <c r="C321" s="126"/>
      <c r="D321" s="126"/>
      <c r="E321" s="128"/>
      <c r="F321" s="128"/>
      <c r="G321" s="128"/>
      <c r="H321" s="128"/>
      <c r="I321" s="128"/>
      <c r="J321" s="126"/>
      <c r="K321" s="126"/>
      <c r="L321" s="126"/>
      <c r="M321" s="125"/>
      <c r="N321" s="126"/>
    </row>
    <row r="322" spans="1:14" x14ac:dyDescent="0.35">
      <c r="A322" s="126"/>
      <c r="B322" s="127"/>
      <c r="C322" s="126"/>
      <c r="D322" s="126"/>
      <c r="E322" s="128"/>
      <c r="F322" s="128"/>
      <c r="G322" s="128"/>
      <c r="H322" s="128"/>
      <c r="I322" s="128"/>
      <c r="J322" s="126"/>
      <c r="K322" s="126"/>
      <c r="L322" s="126"/>
      <c r="M322" s="125"/>
      <c r="N322" s="126"/>
    </row>
    <row r="323" spans="1:14" x14ac:dyDescent="0.35">
      <c r="A323" s="126"/>
      <c r="B323" s="127"/>
      <c r="C323" s="126"/>
      <c r="D323" s="126"/>
      <c r="E323" s="128"/>
      <c r="F323" s="128"/>
      <c r="G323" s="128"/>
      <c r="H323" s="128"/>
      <c r="I323" s="128"/>
      <c r="J323" s="126"/>
      <c r="K323" s="126"/>
      <c r="L323" s="126"/>
      <c r="M323" s="125"/>
      <c r="N323" s="126"/>
    </row>
    <row r="324" spans="1:14" x14ac:dyDescent="0.35">
      <c r="A324" s="126"/>
      <c r="B324" s="127"/>
      <c r="C324" s="126"/>
      <c r="D324" s="126"/>
      <c r="E324" s="128"/>
      <c r="F324" s="128"/>
      <c r="G324" s="128"/>
      <c r="H324" s="128"/>
      <c r="I324" s="128"/>
      <c r="J324" s="126"/>
      <c r="K324" s="126"/>
      <c r="L324" s="126"/>
      <c r="M324" s="125"/>
      <c r="N324" s="126"/>
    </row>
    <row r="325" spans="1:14" x14ac:dyDescent="0.35">
      <c r="A325" s="126"/>
      <c r="B325" s="127"/>
      <c r="C325" s="126"/>
      <c r="D325" s="126"/>
      <c r="E325" s="128"/>
      <c r="F325" s="128"/>
      <c r="G325" s="128"/>
      <c r="H325" s="128"/>
      <c r="I325" s="128"/>
      <c r="J325" s="126"/>
      <c r="K325" s="126"/>
      <c r="L325" s="126"/>
      <c r="M325" s="125"/>
      <c r="N325" s="126"/>
    </row>
    <row r="326" spans="1:14" x14ac:dyDescent="0.35">
      <c r="A326" s="126"/>
      <c r="B326" s="127"/>
      <c r="C326" s="126"/>
      <c r="D326" s="126"/>
      <c r="E326" s="128"/>
      <c r="F326" s="128"/>
      <c r="G326" s="128"/>
      <c r="H326" s="128"/>
      <c r="I326" s="128"/>
      <c r="J326" s="126"/>
      <c r="K326" s="126"/>
      <c r="L326" s="126"/>
      <c r="M326" s="125"/>
      <c r="N326" s="126"/>
    </row>
    <row r="327" spans="1:14" x14ac:dyDescent="0.35">
      <c r="A327" s="126"/>
      <c r="B327" s="127"/>
      <c r="C327" s="126"/>
      <c r="D327" s="126"/>
      <c r="E327" s="128"/>
      <c r="F327" s="128"/>
      <c r="G327" s="128"/>
      <c r="H327" s="128"/>
      <c r="I327" s="128"/>
      <c r="J327" s="126"/>
      <c r="K327" s="126"/>
      <c r="L327" s="126"/>
      <c r="M327" s="125"/>
      <c r="N327" s="126"/>
    </row>
    <row r="328" spans="1:14" x14ac:dyDescent="0.35">
      <c r="A328" s="126"/>
      <c r="B328" s="127"/>
      <c r="C328" s="126"/>
      <c r="D328" s="126"/>
      <c r="E328" s="128"/>
      <c r="F328" s="128"/>
      <c r="G328" s="128"/>
      <c r="H328" s="128"/>
      <c r="I328" s="128"/>
      <c r="J328" s="126"/>
      <c r="K328" s="126"/>
      <c r="L328" s="126"/>
      <c r="M328" s="125"/>
      <c r="N328" s="126"/>
    </row>
    <row r="329" spans="1:14" x14ac:dyDescent="0.35">
      <c r="A329" s="126"/>
      <c r="B329" s="127"/>
      <c r="C329" s="126"/>
      <c r="D329" s="126"/>
      <c r="E329" s="128"/>
      <c r="F329" s="128"/>
      <c r="G329" s="128"/>
      <c r="H329" s="128"/>
      <c r="I329" s="128"/>
      <c r="J329" s="126"/>
      <c r="K329" s="126"/>
      <c r="L329" s="126"/>
      <c r="M329" s="125"/>
      <c r="N329" s="126"/>
    </row>
    <row r="330" spans="1:14" x14ac:dyDescent="0.35">
      <c r="A330" s="126"/>
      <c r="B330" s="127"/>
      <c r="C330" s="126"/>
      <c r="D330" s="126"/>
      <c r="E330" s="128"/>
      <c r="F330" s="128"/>
      <c r="G330" s="128"/>
      <c r="H330" s="128"/>
      <c r="I330" s="128"/>
      <c r="J330" s="126"/>
      <c r="K330" s="126"/>
      <c r="L330" s="126"/>
      <c r="M330" s="125"/>
      <c r="N330" s="126"/>
    </row>
    <row r="331" spans="1:14" x14ac:dyDescent="0.35">
      <c r="A331" s="126"/>
      <c r="B331" s="127"/>
      <c r="C331" s="126"/>
      <c r="D331" s="126"/>
      <c r="E331" s="128"/>
      <c r="F331" s="128"/>
      <c r="G331" s="128"/>
      <c r="H331" s="128"/>
      <c r="I331" s="128"/>
      <c r="J331" s="126"/>
      <c r="K331" s="126"/>
      <c r="L331" s="126"/>
      <c r="M331" s="125"/>
      <c r="N331" s="126"/>
    </row>
    <row r="332" spans="1:14" x14ac:dyDescent="0.35">
      <c r="A332" s="126"/>
      <c r="B332" s="127"/>
      <c r="C332" s="126"/>
      <c r="D332" s="126"/>
      <c r="E332" s="128"/>
      <c r="F332" s="128"/>
      <c r="G332" s="128"/>
      <c r="H332" s="128"/>
      <c r="I332" s="128"/>
      <c r="J332" s="126"/>
      <c r="K332" s="126"/>
      <c r="L332" s="126"/>
      <c r="M332" s="125"/>
      <c r="N332" s="126"/>
    </row>
    <row r="333" spans="1:14" x14ac:dyDescent="0.35">
      <c r="A333" s="126"/>
      <c r="B333" s="127"/>
      <c r="C333" s="126"/>
      <c r="D333" s="126"/>
      <c r="E333" s="128"/>
      <c r="F333" s="128"/>
      <c r="G333" s="128"/>
      <c r="H333" s="128"/>
      <c r="I333" s="128"/>
      <c r="J333" s="126"/>
      <c r="K333" s="126"/>
      <c r="L333" s="126"/>
      <c r="M333" s="125"/>
      <c r="N333" s="126"/>
    </row>
    <row r="334" spans="1:14" x14ac:dyDescent="0.35">
      <c r="A334" s="126"/>
      <c r="B334" s="127"/>
      <c r="C334" s="126"/>
      <c r="D334" s="126"/>
      <c r="E334" s="128"/>
      <c r="F334" s="128"/>
      <c r="G334" s="128"/>
      <c r="H334" s="128"/>
      <c r="I334" s="128"/>
      <c r="J334" s="126"/>
      <c r="K334" s="126"/>
      <c r="L334" s="126"/>
      <c r="M334" s="125"/>
      <c r="N334" s="126"/>
    </row>
    <row r="335" spans="1:14" x14ac:dyDescent="0.35">
      <c r="A335" s="126"/>
      <c r="B335" s="127"/>
      <c r="C335" s="126"/>
      <c r="D335" s="126"/>
      <c r="E335" s="128"/>
      <c r="F335" s="128"/>
      <c r="G335" s="128"/>
      <c r="H335" s="128"/>
      <c r="I335" s="128"/>
      <c r="J335" s="126"/>
      <c r="K335" s="126"/>
      <c r="L335" s="126"/>
      <c r="M335" s="125"/>
      <c r="N335" s="126"/>
    </row>
    <row r="336" spans="1:14" x14ac:dyDescent="0.35">
      <c r="A336" s="126"/>
      <c r="B336" s="127"/>
      <c r="C336" s="126"/>
      <c r="D336" s="126"/>
      <c r="E336" s="128"/>
      <c r="F336" s="128"/>
      <c r="G336" s="128"/>
      <c r="H336" s="128"/>
      <c r="I336" s="128"/>
      <c r="J336" s="126"/>
      <c r="K336" s="126"/>
      <c r="L336" s="126"/>
      <c r="M336" s="125"/>
      <c r="N336" s="126"/>
    </row>
    <row r="337" spans="1:14" x14ac:dyDescent="0.35">
      <c r="A337" s="126"/>
      <c r="B337" s="127"/>
      <c r="C337" s="126"/>
      <c r="D337" s="126"/>
      <c r="E337" s="128"/>
      <c r="F337" s="128"/>
      <c r="G337" s="128"/>
      <c r="H337" s="128"/>
      <c r="I337" s="128"/>
      <c r="J337" s="126"/>
      <c r="K337" s="126"/>
      <c r="L337" s="126"/>
      <c r="M337" s="125"/>
      <c r="N337" s="126"/>
    </row>
    <row r="338" spans="1:14" x14ac:dyDescent="0.35">
      <c r="A338" s="126"/>
      <c r="B338" s="127"/>
      <c r="C338" s="126"/>
      <c r="D338" s="126"/>
      <c r="E338" s="128"/>
      <c r="F338" s="128"/>
      <c r="G338" s="128"/>
      <c r="H338" s="128"/>
      <c r="I338" s="128"/>
      <c r="J338" s="126"/>
      <c r="K338" s="126"/>
      <c r="L338" s="126"/>
      <c r="M338" s="125"/>
      <c r="N338" s="126"/>
    </row>
    <row r="339" spans="1:14" x14ac:dyDescent="0.35">
      <c r="A339" s="126"/>
      <c r="B339" s="127"/>
      <c r="C339" s="126"/>
      <c r="D339" s="126"/>
      <c r="E339" s="128"/>
      <c r="F339" s="128"/>
      <c r="G339" s="128"/>
      <c r="H339" s="128"/>
      <c r="I339" s="128"/>
      <c r="J339" s="126"/>
      <c r="K339" s="126"/>
      <c r="L339" s="126"/>
      <c r="M339" s="125"/>
      <c r="N339" s="126"/>
    </row>
    <row r="340" spans="1:14" x14ac:dyDescent="0.35">
      <c r="A340" s="126"/>
      <c r="B340" s="127"/>
      <c r="C340" s="126"/>
      <c r="D340" s="126"/>
      <c r="E340" s="128"/>
      <c r="F340" s="128"/>
      <c r="G340" s="128"/>
      <c r="H340" s="128"/>
      <c r="I340" s="128"/>
      <c r="J340" s="126"/>
      <c r="K340" s="126"/>
      <c r="L340" s="126"/>
      <c r="M340" s="125"/>
      <c r="N340" s="126"/>
    </row>
    <row r="341" spans="1:14" x14ac:dyDescent="0.35">
      <c r="A341" s="126"/>
      <c r="B341" s="127"/>
      <c r="C341" s="126"/>
      <c r="D341" s="126"/>
      <c r="E341" s="128"/>
      <c r="F341" s="128"/>
      <c r="G341" s="128"/>
      <c r="H341" s="128"/>
      <c r="I341" s="128"/>
      <c r="J341" s="126"/>
      <c r="K341" s="126"/>
      <c r="L341" s="126"/>
      <c r="M341" s="125"/>
      <c r="N341" s="126"/>
    </row>
    <row r="342" spans="1:14" x14ac:dyDescent="0.35">
      <c r="A342" s="126"/>
      <c r="B342" s="127"/>
      <c r="C342" s="126"/>
      <c r="D342" s="126"/>
      <c r="E342" s="128"/>
      <c r="F342" s="128"/>
      <c r="G342" s="128"/>
      <c r="H342" s="128"/>
      <c r="I342" s="128"/>
      <c r="J342" s="126"/>
      <c r="K342" s="126"/>
      <c r="L342" s="126"/>
      <c r="M342" s="125"/>
      <c r="N342" s="126"/>
    </row>
    <row r="343" spans="1:14" x14ac:dyDescent="0.35">
      <c r="A343" s="126"/>
      <c r="B343" s="127"/>
      <c r="C343" s="126"/>
      <c r="D343" s="126"/>
      <c r="E343" s="128"/>
      <c r="F343" s="128"/>
      <c r="G343" s="128"/>
      <c r="H343" s="128"/>
      <c r="I343" s="128"/>
      <c r="J343" s="126"/>
      <c r="K343" s="126"/>
      <c r="L343" s="126"/>
      <c r="M343" s="125"/>
      <c r="N343" s="126"/>
    </row>
    <row r="344" spans="1:14" x14ac:dyDescent="0.35">
      <c r="A344" s="126"/>
      <c r="B344" s="127"/>
      <c r="C344" s="126"/>
      <c r="D344" s="126"/>
      <c r="E344" s="128"/>
      <c r="F344" s="128"/>
      <c r="G344" s="128"/>
      <c r="H344" s="128"/>
      <c r="I344" s="128"/>
      <c r="J344" s="126"/>
      <c r="K344" s="126"/>
      <c r="L344" s="126"/>
      <c r="M344" s="125"/>
      <c r="N344" s="126"/>
    </row>
    <row r="345" spans="1:14" x14ac:dyDescent="0.35">
      <c r="A345" s="126"/>
      <c r="B345" s="127"/>
      <c r="C345" s="126"/>
      <c r="D345" s="126"/>
      <c r="E345" s="128"/>
      <c r="F345" s="128"/>
      <c r="G345" s="128"/>
      <c r="H345" s="128"/>
      <c r="I345" s="128"/>
      <c r="J345" s="126"/>
      <c r="K345" s="126"/>
      <c r="L345" s="126"/>
      <c r="M345" s="125"/>
      <c r="N345" s="126"/>
    </row>
    <row r="346" spans="1:14" x14ac:dyDescent="0.35">
      <c r="A346" s="126"/>
      <c r="B346" s="127"/>
      <c r="C346" s="126"/>
      <c r="D346" s="126"/>
      <c r="E346" s="128"/>
      <c r="F346" s="128"/>
      <c r="G346" s="128"/>
      <c r="H346" s="128"/>
      <c r="I346" s="128"/>
      <c r="J346" s="126"/>
      <c r="K346" s="126"/>
      <c r="L346" s="126"/>
      <c r="M346" s="125"/>
      <c r="N346" s="126"/>
    </row>
    <row r="347" spans="1:14" x14ac:dyDescent="0.35">
      <c r="A347" s="126"/>
      <c r="B347" s="127"/>
      <c r="C347" s="126"/>
      <c r="D347" s="126"/>
      <c r="E347" s="128"/>
      <c r="F347" s="128"/>
      <c r="G347" s="128"/>
      <c r="H347" s="128"/>
      <c r="I347" s="128"/>
      <c r="J347" s="126"/>
      <c r="K347" s="126"/>
      <c r="L347" s="126"/>
      <c r="M347" s="125"/>
      <c r="N347" s="126"/>
    </row>
    <row r="348" spans="1:14" x14ac:dyDescent="0.35">
      <c r="A348" s="126"/>
      <c r="B348" s="127"/>
      <c r="C348" s="126"/>
      <c r="D348" s="126"/>
      <c r="E348" s="128"/>
      <c r="F348" s="128"/>
      <c r="G348" s="128"/>
      <c r="H348" s="128"/>
      <c r="I348" s="128"/>
      <c r="J348" s="126"/>
      <c r="K348" s="126"/>
      <c r="L348" s="126"/>
      <c r="M348" s="125"/>
      <c r="N348" s="126"/>
    </row>
    <row r="349" spans="1:14" x14ac:dyDescent="0.35">
      <c r="A349" s="126"/>
      <c r="B349" s="127"/>
      <c r="C349" s="126"/>
      <c r="D349" s="126"/>
      <c r="E349" s="128"/>
      <c r="F349" s="128"/>
      <c r="G349" s="128"/>
      <c r="H349" s="128"/>
      <c r="I349" s="128"/>
      <c r="J349" s="126"/>
      <c r="K349" s="126"/>
      <c r="L349" s="126"/>
      <c r="M349" s="125"/>
      <c r="N349" s="126"/>
    </row>
    <row r="350" spans="1:14" x14ac:dyDescent="0.35">
      <c r="A350" s="126"/>
      <c r="B350" s="127"/>
      <c r="C350" s="126"/>
      <c r="D350" s="126"/>
      <c r="E350" s="128"/>
      <c r="F350" s="128"/>
      <c r="G350" s="128"/>
      <c r="H350" s="128"/>
      <c r="I350" s="128"/>
      <c r="J350" s="126"/>
      <c r="K350" s="126"/>
      <c r="L350" s="126"/>
      <c r="M350" s="125"/>
      <c r="N350" s="126"/>
    </row>
    <row r="351" spans="1:14" x14ac:dyDescent="0.35">
      <c r="A351" s="126"/>
      <c r="B351" s="127"/>
      <c r="C351" s="126"/>
      <c r="D351" s="126"/>
      <c r="E351" s="128"/>
      <c r="F351" s="128"/>
      <c r="G351" s="128"/>
      <c r="H351" s="128"/>
      <c r="I351" s="128"/>
      <c r="J351" s="126"/>
      <c r="K351" s="126"/>
      <c r="L351" s="126"/>
      <c r="M351" s="125"/>
      <c r="N351" s="126"/>
    </row>
    <row r="352" spans="1:14" x14ac:dyDescent="0.35">
      <c r="A352" s="126"/>
      <c r="B352" s="127"/>
      <c r="C352" s="126"/>
      <c r="D352" s="126"/>
      <c r="E352" s="128"/>
      <c r="F352" s="128"/>
      <c r="G352" s="128"/>
      <c r="H352" s="128"/>
      <c r="I352" s="128"/>
      <c r="J352" s="126"/>
      <c r="K352" s="126"/>
      <c r="L352" s="126"/>
      <c r="M352" s="125"/>
      <c r="N352" s="126"/>
    </row>
    <row r="353" spans="1:14" x14ac:dyDescent="0.35">
      <c r="A353" s="126"/>
      <c r="B353" s="127"/>
      <c r="C353" s="126"/>
      <c r="D353" s="126"/>
      <c r="E353" s="128"/>
      <c r="F353" s="128"/>
      <c r="G353" s="128"/>
      <c r="H353" s="128"/>
      <c r="I353" s="128"/>
      <c r="J353" s="126"/>
      <c r="K353" s="126"/>
      <c r="L353" s="126"/>
      <c r="M353" s="125"/>
      <c r="N353" s="126"/>
    </row>
    <row r="354" spans="1:14" x14ac:dyDescent="0.35">
      <c r="A354" s="126"/>
      <c r="B354" s="127"/>
      <c r="C354" s="126"/>
      <c r="D354" s="126"/>
      <c r="E354" s="128"/>
      <c r="F354" s="128"/>
      <c r="G354" s="128"/>
      <c r="H354" s="128"/>
      <c r="I354" s="128"/>
      <c r="J354" s="126"/>
      <c r="K354" s="126"/>
      <c r="L354" s="126"/>
      <c r="M354" s="125"/>
      <c r="N354" s="126"/>
    </row>
    <row r="355" spans="1:14" x14ac:dyDescent="0.35">
      <c r="A355" s="126"/>
      <c r="B355" s="127"/>
      <c r="C355" s="126"/>
      <c r="D355" s="126"/>
      <c r="E355" s="128"/>
      <c r="F355" s="128"/>
      <c r="G355" s="128"/>
      <c r="H355" s="128"/>
      <c r="I355" s="128"/>
      <c r="J355" s="126"/>
      <c r="K355" s="126"/>
      <c r="L355" s="126"/>
      <c r="M355" s="125"/>
      <c r="N355" s="126"/>
    </row>
    <row r="356" spans="1:14" x14ac:dyDescent="0.35">
      <c r="A356" s="126"/>
      <c r="B356" s="127"/>
      <c r="C356" s="126"/>
      <c r="D356" s="126"/>
      <c r="E356" s="128"/>
      <c r="F356" s="128"/>
      <c r="G356" s="128"/>
      <c r="H356" s="128"/>
      <c r="I356" s="128"/>
      <c r="J356" s="126"/>
      <c r="K356" s="126"/>
      <c r="L356" s="126"/>
      <c r="M356" s="125"/>
      <c r="N356" s="126"/>
    </row>
    <row r="357" spans="1:14" x14ac:dyDescent="0.35">
      <c r="A357" s="126"/>
      <c r="B357" s="127"/>
      <c r="C357" s="126"/>
      <c r="D357" s="126"/>
      <c r="E357" s="128"/>
      <c r="F357" s="128"/>
      <c r="G357" s="128"/>
      <c r="H357" s="128"/>
      <c r="I357" s="128"/>
      <c r="J357" s="126"/>
      <c r="K357" s="126"/>
      <c r="L357" s="126"/>
      <c r="M357" s="125"/>
      <c r="N357" s="126"/>
    </row>
    <row r="358" spans="1:14" x14ac:dyDescent="0.35">
      <c r="A358" s="126"/>
      <c r="B358" s="127"/>
      <c r="C358" s="126"/>
      <c r="D358" s="126"/>
      <c r="E358" s="128"/>
      <c r="F358" s="128"/>
      <c r="G358" s="128"/>
      <c r="H358" s="128"/>
      <c r="I358" s="128"/>
      <c r="J358" s="126"/>
      <c r="K358" s="126"/>
      <c r="L358" s="126"/>
      <c r="M358" s="125"/>
      <c r="N358" s="126"/>
    </row>
    <row r="359" spans="1:14" x14ac:dyDescent="0.35">
      <c r="A359" s="126"/>
      <c r="B359" s="127"/>
      <c r="C359" s="126"/>
      <c r="D359" s="126"/>
      <c r="E359" s="128"/>
      <c r="F359" s="128"/>
      <c r="G359" s="128"/>
      <c r="H359" s="128"/>
      <c r="I359" s="128"/>
      <c r="J359" s="126"/>
      <c r="K359" s="126"/>
      <c r="L359" s="126"/>
      <c r="M359" s="125"/>
      <c r="N359" s="126"/>
    </row>
    <row r="360" spans="1:14" x14ac:dyDescent="0.35">
      <c r="A360" s="126"/>
      <c r="B360" s="127"/>
      <c r="C360" s="126"/>
      <c r="D360" s="126"/>
      <c r="E360" s="128"/>
      <c r="F360" s="128"/>
      <c r="G360" s="128"/>
      <c r="H360" s="128"/>
      <c r="I360" s="128"/>
      <c r="J360" s="126"/>
      <c r="K360" s="126"/>
      <c r="L360" s="126"/>
      <c r="M360" s="125"/>
      <c r="N360" s="126"/>
    </row>
    <row r="361" spans="1:14" x14ac:dyDescent="0.35">
      <c r="A361" s="126"/>
      <c r="B361" s="127"/>
      <c r="C361" s="126"/>
      <c r="D361" s="126"/>
      <c r="E361" s="128"/>
      <c r="F361" s="128"/>
      <c r="G361" s="128"/>
      <c r="H361" s="128"/>
      <c r="I361" s="128"/>
      <c r="J361" s="126"/>
      <c r="K361" s="126"/>
      <c r="L361" s="126"/>
      <c r="M361" s="125"/>
      <c r="N361" s="126"/>
    </row>
    <row r="362" spans="1:14" x14ac:dyDescent="0.35">
      <c r="A362" s="126"/>
      <c r="B362" s="127"/>
      <c r="C362" s="126"/>
      <c r="D362" s="126"/>
      <c r="E362" s="128"/>
      <c r="F362" s="128"/>
      <c r="G362" s="128"/>
      <c r="H362" s="128"/>
      <c r="I362" s="128"/>
      <c r="J362" s="126"/>
      <c r="K362" s="126"/>
      <c r="L362" s="126"/>
      <c r="M362" s="125"/>
      <c r="N362" s="126"/>
    </row>
    <row r="363" spans="1:14" x14ac:dyDescent="0.35">
      <c r="A363" s="126"/>
      <c r="B363" s="127"/>
      <c r="C363" s="126"/>
      <c r="D363" s="126"/>
      <c r="E363" s="128"/>
      <c r="F363" s="128"/>
      <c r="G363" s="128"/>
      <c r="H363" s="128"/>
      <c r="I363" s="128"/>
      <c r="J363" s="126"/>
      <c r="K363" s="126"/>
      <c r="L363" s="126"/>
      <c r="M363" s="125"/>
      <c r="N363" s="126"/>
    </row>
    <row r="364" spans="1:14" x14ac:dyDescent="0.35">
      <c r="A364" s="126"/>
      <c r="B364" s="127"/>
      <c r="C364" s="126"/>
      <c r="D364" s="126"/>
      <c r="E364" s="128"/>
      <c r="F364" s="128"/>
      <c r="G364" s="128"/>
      <c r="H364" s="128"/>
      <c r="I364" s="128"/>
      <c r="J364" s="126"/>
      <c r="K364" s="126"/>
      <c r="L364" s="126"/>
      <c r="M364" s="125"/>
      <c r="N364" s="126"/>
    </row>
    <row r="365" spans="1:14" x14ac:dyDescent="0.35">
      <c r="A365" s="126"/>
      <c r="B365" s="127"/>
      <c r="C365" s="126"/>
      <c r="D365" s="126"/>
      <c r="E365" s="128"/>
      <c r="F365" s="128"/>
      <c r="G365" s="128"/>
      <c r="H365" s="128"/>
      <c r="I365" s="128"/>
      <c r="J365" s="126"/>
      <c r="K365" s="126"/>
      <c r="L365" s="126"/>
      <c r="M365" s="125"/>
      <c r="N365" s="126"/>
    </row>
    <row r="366" spans="1:14" x14ac:dyDescent="0.35">
      <c r="A366" s="126"/>
      <c r="B366" s="127"/>
      <c r="C366" s="126"/>
      <c r="D366" s="126"/>
      <c r="E366" s="128"/>
      <c r="F366" s="128"/>
      <c r="G366" s="128"/>
      <c r="H366" s="128"/>
      <c r="I366" s="128"/>
      <c r="J366" s="126"/>
      <c r="K366" s="126"/>
      <c r="L366" s="126"/>
      <c r="M366" s="125"/>
      <c r="N366" s="126"/>
    </row>
    <row r="367" spans="1:14" x14ac:dyDescent="0.35">
      <c r="A367" s="126"/>
      <c r="B367" s="127"/>
      <c r="C367" s="126"/>
      <c r="D367" s="126"/>
      <c r="E367" s="128"/>
      <c r="F367" s="128"/>
      <c r="G367" s="128"/>
      <c r="H367" s="128"/>
      <c r="I367" s="128"/>
      <c r="J367" s="126"/>
      <c r="K367" s="126"/>
      <c r="L367" s="126"/>
      <c r="M367" s="125"/>
      <c r="N367" s="126"/>
    </row>
    <row r="368" spans="1:14" x14ac:dyDescent="0.35">
      <c r="A368" s="126"/>
      <c r="B368" s="127"/>
      <c r="C368" s="126"/>
      <c r="D368" s="126"/>
      <c r="E368" s="128"/>
      <c r="F368" s="128"/>
      <c r="G368" s="128"/>
      <c r="H368" s="128"/>
      <c r="I368" s="128"/>
      <c r="J368" s="126"/>
      <c r="K368" s="126"/>
      <c r="L368" s="126"/>
      <c r="M368" s="125"/>
      <c r="N368" s="126"/>
    </row>
    <row r="369" spans="1:14" x14ac:dyDescent="0.35">
      <c r="A369" s="126"/>
      <c r="B369" s="127"/>
      <c r="C369" s="126"/>
      <c r="D369" s="126"/>
      <c r="E369" s="128"/>
      <c r="F369" s="128"/>
      <c r="G369" s="128"/>
      <c r="H369" s="128"/>
      <c r="I369" s="128"/>
      <c r="J369" s="126"/>
      <c r="K369" s="126"/>
      <c r="L369" s="126"/>
      <c r="M369" s="125"/>
      <c r="N369" s="126"/>
    </row>
    <row r="370" spans="1:14" x14ac:dyDescent="0.35">
      <c r="A370" s="126"/>
      <c r="B370" s="127"/>
      <c r="C370" s="126"/>
      <c r="D370" s="126"/>
      <c r="E370" s="128"/>
      <c r="F370" s="128"/>
      <c r="G370" s="128"/>
      <c r="H370" s="128"/>
      <c r="I370" s="128"/>
      <c r="J370" s="126"/>
      <c r="K370" s="126"/>
      <c r="L370" s="126"/>
      <c r="M370" s="125"/>
      <c r="N370" s="126"/>
    </row>
    <row r="371" spans="1:14" x14ac:dyDescent="0.35">
      <c r="A371" s="126"/>
      <c r="B371" s="127"/>
      <c r="C371" s="126"/>
      <c r="D371" s="126"/>
      <c r="E371" s="128"/>
      <c r="F371" s="128"/>
      <c r="G371" s="128"/>
      <c r="H371" s="128"/>
      <c r="I371" s="128"/>
      <c r="J371" s="126"/>
      <c r="K371" s="126"/>
      <c r="L371" s="126"/>
      <c r="M371" s="125"/>
      <c r="N371" s="126"/>
    </row>
    <row r="372" spans="1:14" x14ac:dyDescent="0.35">
      <c r="A372" s="126"/>
      <c r="B372" s="127"/>
      <c r="C372" s="126"/>
      <c r="D372" s="126"/>
      <c r="E372" s="128"/>
      <c r="F372" s="128"/>
      <c r="G372" s="128"/>
      <c r="H372" s="128"/>
      <c r="I372" s="128"/>
      <c r="J372" s="126"/>
      <c r="K372" s="126"/>
      <c r="L372" s="126"/>
      <c r="M372" s="125"/>
      <c r="N372" s="126"/>
    </row>
    <row r="373" spans="1:14" x14ac:dyDescent="0.35">
      <c r="A373" s="126"/>
      <c r="B373" s="127"/>
      <c r="C373" s="126"/>
      <c r="D373" s="126"/>
      <c r="E373" s="128"/>
      <c r="F373" s="128"/>
      <c r="G373" s="128"/>
      <c r="H373" s="128"/>
      <c r="I373" s="128"/>
      <c r="J373" s="126"/>
      <c r="K373" s="126"/>
      <c r="L373" s="126"/>
      <c r="M373" s="125"/>
      <c r="N373" s="126"/>
    </row>
    <row r="374" spans="1:14" x14ac:dyDescent="0.35">
      <c r="A374" s="126"/>
      <c r="B374" s="127"/>
      <c r="C374" s="126"/>
      <c r="D374" s="126"/>
      <c r="E374" s="128"/>
      <c r="F374" s="128"/>
      <c r="G374" s="128"/>
      <c r="H374" s="128"/>
      <c r="I374" s="128"/>
      <c r="J374" s="126"/>
      <c r="K374" s="126"/>
      <c r="L374" s="126"/>
      <c r="M374" s="125"/>
      <c r="N374" s="126"/>
    </row>
    <row r="375" spans="1:14" x14ac:dyDescent="0.35">
      <c r="A375" s="126"/>
      <c r="B375" s="127"/>
      <c r="C375" s="126"/>
      <c r="D375" s="126"/>
      <c r="E375" s="128"/>
      <c r="F375" s="128"/>
      <c r="G375" s="128"/>
      <c r="H375" s="128"/>
      <c r="I375" s="128"/>
      <c r="J375" s="126"/>
      <c r="K375" s="126"/>
      <c r="L375" s="126"/>
      <c r="M375" s="125"/>
      <c r="N375" s="126"/>
    </row>
    <row r="376" spans="1:14" x14ac:dyDescent="0.35">
      <c r="A376" s="126"/>
      <c r="B376" s="127"/>
      <c r="C376" s="126"/>
      <c r="D376" s="126"/>
      <c r="E376" s="128"/>
      <c r="F376" s="128"/>
      <c r="G376" s="128"/>
      <c r="H376" s="128"/>
      <c r="I376" s="128"/>
      <c r="J376" s="126"/>
      <c r="K376" s="126"/>
      <c r="L376" s="126"/>
      <c r="M376" s="125"/>
      <c r="N376" s="126"/>
    </row>
    <row r="377" spans="1:14" x14ac:dyDescent="0.35">
      <c r="A377" s="126"/>
      <c r="B377" s="127"/>
      <c r="C377" s="126"/>
      <c r="D377" s="126"/>
      <c r="E377" s="128"/>
      <c r="F377" s="128"/>
      <c r="G377" s="128"/>
      <c r="H377" s="128"/>
      <c r="I377" s="128"/>
      <c r="J377" s="126"/>
      <c r="K377" s="126"/>
      <c r="L377" s="126"/>
      <c r="M377" s="125"/>
      <c r="N377" s="126"/>
    </row>
    <row r="378" spans="1:14" x14ac:dyDescent="0.35">
      <c r="A378" s="126"/>
      <c r="B378" s="127"/>
      <c r="C378" s="126"/>
      <c r="D378" s="126"/>
      <c r="E378" s="128"/>
      <c r="F378" s="128"/>
      <c r="G378" s="128"/>
      <c r="H378" s="128"/>
      <c r="I378" s="128"/>
      <c r="J378" s="126"/>
      <c r="K378" s="126"/>
      <c r="L378" s="126"/>
      <c r="M378" s="125"/>
      <c r="N378" s="126"/>
    </row>
    <row r="379" spans="1:14" x14ac:dyDescent="0.35">
      <c r="A379" s="126"/>
      <c r="B379" s="127"/>
      <c r="C379" s="126"/>
      <c r="D379" s="126"/>
      <c r="E379" s="128"/>
      <c r="F379" s="128"/>
      <c r="G379" s="128"/>
      <c r="H379" s="128"/>
      <c r="I379" s="128"/>
      <c r="J379" s="126"/>
      <c r="K379" s="126"/>
      <c r="L379" s="126"/>
      <c r="M379" s="125"/>
      <c r="N379" s="126"/>
    </row>
    <row r="380" spans="1:14" x14ac:dyDescent="0.35">
      <c r="A380" s="126"/>
      <c r="B380" s="127"/>
      <c r="C380" s="126"/>
      <c r="D380" s="126"/>
      <c r="E380" s="128"/>
      <c r="F380" s="128"/>
      <c r="G380" s="128"/>
      <c r="H380" s="128"/>
      <c r="I380" s="128"/>
      <c r="J380" s="126"/>
      <c r="K380" s="126"/>
      <c r="L380" s="126"/>
      <c r="M380" s="125"/>
      <c r="N380" s="126"/>
    </row>
    <row r="381" spans="1:14" x14ac:dyDescent="0.35">
      <c r="A381" s="126"/>
      <c r="B381" s="127"/>
      <c r="C381" s="126"/>
      <c r="D381" s="126"/>
      <c r="E381" s="128"/>
      <c r="F381" s="128"/>
      <c r="G381" s="128"/>
      <c r="H381" s="128"/>
      <c r="I381" s="128"/>
      <c r="J381" s="126"/>
      <c r="K381" s="126"/>
      <c r="L381" s="126"/>
      <c r="M381" s="125"/>
      <c r="N381" s="126"/>
    </row>
    <row r="382" spans="1:14" x14ac:dyDescent="0.35">
      <c r="A382" s="126"/>
      <c r="B382" s="127"/>
      <c r="C382" s="126"/>
      <c r="D382" s="126"/>
      <c r="E382" s="128"/>
      <c r="F382" s="128"/>
      <c r="G382" s="128"/>
      <c r="H382" s="128"/>
      <c r="I382" s="128"/>
      <c r="J382" s="126"/>
      <c r="K382" s="126"/>
      <c r="L382" s="126"/>
      <c r="M382" s="125"/>
      <c r="N382" s="126"/>
    </row>
    <row r="383" spans="1:14" x14ac:dyDescent="0.35">
      <c r="A383" s="126"/>
      <c r="B383" s="127"/>
      <c r="C383" s="126"/>
      <c r="D383" s="126"/>
      <c r="E383" s="128"/>
      <c r="F383" s="128"/>
      <c r="G383" s="128"/>
      <c r="H383" s="128"/>
      <c r="I383" s="128"/>
      <c r="J383" s="126"/>
      <c r="K383" s="126"/>
      <c r="L383" s="126"/>
      <c r="M383" s="125"/>
      <c r="N383" s="126"/>
    </row>
    <row r="384" spans="1:14" x14ac:dyDescent="0.35">
      <c r="A384" s="126"/>
      <c r="B384" s="127"/>
      <c r="C384" s="126"/>
      <c r="D384" s="126"/>
      <c r="E384" s="128"/>
      <c r="F384" s="128"/>
      <c r="G384" s="128"/>
      <c r="H384" s="128"/>
      <c r="I384" s="128"/>
      <c r="J384" s="126"/>
      <c r="K384" s="126"/>
      <c r="L384" s="126"/>
      <c r="M384" s="125"/>
      <c r="N384" s="126"/>
    </row>
    <row r="385" spans="1:14" x14ac:dyDescent="0.35">
      <c r="A385" s="126"/>
      <c r="B385" s="127"/>
      <c r="C385" s="126"/>
      <c r="D385" s="126"/>
      <c r="E385" s="128"/>
      <c r="F385" s="128"/>
      <c r="G385" s="128"/>
      <c r="H385" s="128"/>
      <c r="I385" s="128"/>
      <c r="J385" s="126"/>
      <c r="K385" s="126"/>
      <c r="L385" s="126"/>
      <c r="M385" s="125"/>
      <c r="N385" s="126"/>
    </row>
    <row r="386" spans="1:14" x14ac:dyDescent="0.35">
      <c r="A386" s="126"/>
      <c r="B386" s="127"/>
      <c r="C386" s="126"/>
      <c r="D386" s="126"/>
      <c r="E386" s="128"/>
      <c r="F386" s="128"/>
      <c r="G386" s="128"/>
      <c r="H386" s="128"/>
      <c r="I386" s="128"/>
      <c r="J386" s="126"/>
      <c r="K386" s="126"/>
      <c r="L386" s="126"/>
      <c r="M386" s="125"/>
      <c r="N386" s="126"/>
    </row>
    <row r="387" spans="1:14" x14ac:dyDescent="0.35">
      <c r="A387" s="126"/>
      <c r="B387" s="127"/>
      <c r="C387" s="126"/>
      <c r="D387" s="126"/>
      <c r="E387" s="128"/>
      <c r="F387" s="128"/>
      <c r="G387" s="128"/>
      <c r="H387" s="128"/>
      <c r="I387" s="128"/>
      <c r="J387" s="126"/>
      <c r="K387" s="126"/>
      <c r="L387" s="126"/>
      <c r="M387" s="125"/>
      <c r="N387" s="126"/>
    </row>
    <row r="388" spans="1:14" x14ac:dyDescent="0.35">
      <c r="A388" s="126"/>
      <c r="B388" s="127"/>
      <c r="C388" s="126"/>
      <c r="D388" s="126"/>
      <c r="E388" s="128"/>
      <c r="F388" s="128"/>
      <c r="G388" s="128"/>
      <c r="H388" s="128"/>
      <c r="I388" s="128"/>
      <c r="J388" s="126"/>
      <c r="K388" s="126"/>
      <c r="L388" s="126"/>
      <c r="M388" s="125"/>
      <c r="N388" s="126"/>
    </row>
    <row r="389" spans="1:14" x14ac:dyDescent="0.35">
      <c r="A389" s="126"/>
      <c r="B389" s="127"/>
      <c r="C389" s="126"/>
      <c r="D389" s="126"/>
      <c r="E389" s="128"/>
      <c r="F389" s="128"/>
      <c r="G389" s="128"/>
      <c r="H389" s="128"/>
      <c r="I389" s="128"/>
      <c r="J389" s="126"/>
      <c r="K389" s="126"/>
      <c r="L389" s="126"/>
      <c r="M389" s="125"/>
      <c r="N389" s="126"/>
    </row>
    <row r="390" spans="1:14" x14ac:dyDescent="0.35">
      <c r="A390" s="126"/>
      <c r="B390" s="127"/>
      <c r="C390" s="126"/>
      <c r="D390" s="126"/>
      <c r="E390" s="128"/>
      <c r="F390" s="128"/>
      <c r="G390" s="128"/>
      <c r="H390" s="128"/>
      <c r="I390" s="128"/>
      <c r="J390" s="126"/>
      <c r="K390" s="126"/>
      <c r="L390" s="126"/>
      <c r="M390" s="125"/>
      <c r="N390" s="126"/>
    </row>
    <row r="391" spans="1:14" x14ac:dyDescent="0.35">
      <c r="A391" s="126"/>
      <c r="B391" s="127"/>
      <c r="C391" s="126"/>
      <c r="D391" s="126"/>
      <c r="E391" s="128"/>
      <c r="F391" s="128"/>
      <c r="G391" s="128"/>
      <c r="H391" s="128"/>
      <c r="I391" s="128"/>
      <c r="J391" s="126"/>
      <c r="K391" s="126"/>
      <c r="L391" s="126"/>
      <c r="M391" s="125"/>
      <c r="N391" s="126"/>
    </row>
    <row r="392" spans="1:14" x14ac:dyDescent="0.35">
      <c r="A392" s="126"/>
      <c r="B392" s="127"/>
      <c r="C392" s="126"/>
      <c r="D392" s="126"/>
      <c r="E392" s="128"/>
      <c r="F392" s="128"/>
      <c r="G392" s="128"/>
      <c r="H392" s="128"/>
      <c r="I392" s="128"/>
      <c r="J392" s="126"/>
      <c r="K392" s="126"/>
      <c r="L392" s="126"/>
      <c r="M392" s="125"/>
      <c r="N392" s="126"/>
    </row>
    <row r="393" spans="1:14" x14ac:dyDescent="0.35">
      <c r="A393" s="126"/>
      <c r="B393" s="127"/>
      <c r="C393" s="126"/>
      <c r="D393" s="126"/>
      <c r="E393" s="128"/>
      <c r="F393" s="128"/>
      <c r="G393" s="128"/>
      <c r="H393" s="128"/>
      <c r="I393" s="128"/>
      <c r="J393" s="126"/>
      <c r="K393" s="126"/>
      <c r="L393" s="126"/>
      <c r="M393" s="125"/>
      <c r="N393" s="126"/>
    </row>
    <row r="394" spans="1:14" x14ac:dyDescent="0.35">
      <c r="A394" s="126"/>
      <c r="B394" s="127"/>
      <c r="C394" s="126"/>
      <c r="D394" s="126"/>
      <c r="E394" s="128"/>
      <c r="F394" s="128"/>
      <c r="G394" s="128"/>
      <c r="H394" s="128"/>
      <c r="I394" s="128"/>
      <c r="J394" s="126"/>
      <c r="K394" s="126"/>
      <c r="L394" s="126"/>
      <c r="M394" s="125"/>
      <c r="N394" s="126"/>
    </row>
    <row r="395" spans="1:14" x14ac:dyDescent="0.35">
      <c r="A395" s="126"/>
      <c r="B395" s="127"/>
      <c r="C395" s="126"/>
      <c r="D395" s="126"/>
      <c r="E395" s="128"/>
      <c r="F395" s="128"/>
      <c r="G395" s="128"/>
      <c r="H395" s="128"/>
      <c r="I395" s="128"/>
      <c r="J395" s="126"/>
      <c r="K395" s="126"/>
      <c r="L395" s="126"/>
      <c r="M395" s="125"/>
      <c r="N395" s="126"/>
    </row>
    <row r="396" spans="1:14" x14ac:dyDescent="0.35">
      <c r="A396" s="126"/>
      <c r="B396" s="127"/>
      <c r="C396" s="126"/>
      <c r="D396" s="126"/>
      <c r="E396" s="128"/>
      <c r="F396" s="128"/>
      <c r="G396" s="128"/>
      <c r="H396" s="128"/>
      <c r="I396" s="128"/>
      <c r="J396" s="126"/>
      <c r="K396" s="126"/>
      <c r="L396" s="126"/>
      <c r="M396" s="125"/>
      <c r="N396" s="126"/>
    </row>
    <row r="397" spans="1:14" x14ac:dyDescent="0.35">
      <c r="A397" s="126"/>
      <c r="B397" s="127"/>
      <c r="C397" s="126"/>
      <c r="D397" s="126"/>
      <c r="E397" s="128"/>
      <c r="F397" s="128"/>
      <c r="G397" s="128"/>
      <c r="H397" s="128"/>
      <c r="I397" s="128"/>
      <c r="J397" s="126"/>
      <c r="K397" s="126"/>
      <c r="L397" s="126"/>
      <c r="M397" s="125"/>
      <c r="N397" s="126"/>
    </row>
    <row r="398" spans="1:14" x14ac:dyDescent="0.35">
      <c r="A398" s="126"/>
      <c r="B398" s="127"/>
      <c r="C398" s="126"/>
      <c r="D398" s="126"/>
      <c r="E398" s="128"/>
      <c r="F398" s="128"/>
      <c r="G398" s="128"/>
      <c r="H398" s="128"/>
      <c r="I398" s="128"/>
      <c r="J398" s="126"/>
      <c r="K398" s="126"/>
      <c r="L398" s="126"/>
      <c r="M398" s="125"/>
      <c r="N398" s="126"/>
    </row>
    <row r="399" spans="1:14" x14ac:dyDescent="0.35">
      <c r="A399" s="126"/>
      <c r="B399" s="127"/>
      <c r="C399" s="126"/>
      <c r="D399" s="126"/>
      <c r="E399" s="128"/>
      <c r="F399" s="128"/>
      <c r="G399" s="128"/>
      <c r="H399" s="128"/>
      <c r="I399" s="128"/>
      <c r="J399" s="126"/>
      <c r="K399" s="126"/>
      <c r="L399" s="126"/>
      <c r="M399" s="125"/>
      <c r="N399" s="126"/>
    </row>
    <row r="400" spans="1:14" x14ac:dyDescent="0.35">
      <c r="A400" s="126"/>
      <c r="B400" s="127"/>
      <c r="C400" s="126"/>
      <c r="D400" s="126"/>
      <c r="E400" s="128"/>
      <c r="F400" s="128"/>
      <c r="G400" s="128"/>
      <c r="H400" s="128"/>
      <c r="I400" s="128"/>
      <c r="J400" s="126"/>
      <c r="K400" s="126"/>
      <c r="L400" s="126"/>
      <c r="M400" s="125"/>
      <c r="N400" s="126"/>
    </row>
    <row r="401" spans="1:14" x14ac:dyDescent="0.35">
      <c r="A401" s="126"/>
      <c r="B401" s="127"/>
      <c r="C401" s="126"/>
      <c r="D401" s="126"/>
      <c r="E401" s="128"/>
      <c r="F401" s="128"/>
      <c r="G401" s="128"/>
      <c r="H401" s="128"/>
      <c r="I401" s="128"/>
      <c r="J401" s="126"/>
      <c r="K401" s="126"/>
      <c r="L401" s="126"/>
      <c r="M401" s="125"/>
      <c r="N401" s="126"/>
    </row>
    <row r="402" spans="1:14" x14ac:dyDescent="0.35">
      <c r="A402" s="126"/>
      <c r="B402" s="127"/>
      <c r="C402" s="126"/>
      <c r="D402" s="126"/>
      <c r="E402" s="128"/>
      <c r="F402" s="128"/>
      <c r="G402" s="128"/>
      <c r="H402" s="128"/>
      <c r="I402" s="128"/>
      <c r="J402" s="126"/>
      <c r="K402" s="126"/>
      <c r="L402" s="126"/>
      <c r="M402" s="125"/>
      <c r="N402" s="126"/>
    </row>
    <row r="403" spans="1:14" x14ac:dyDescent="0.35">
      <c r="A403" s="126"/>
      <c r="B403" s="127"/>
      <c r="C403" s="126"/>
      <c r="D403" s="126"/>
      <c r="E403" s="128"/>
      <c r="F403" s="128"/>
      <c r="G403" s="128"/>
      <c r="H403" s="128"/>
      <c r="I403" s="128"/>
      <c r="J403" s="126"/>
      <c r="K403" s="126"/>
      <c r="L403" s="126"/>
      <c r="M403" s="125"/>
      <c r="N403" s="126"/>
    </row>
    <row r="404" spans="1:14" x14ac:dyDescent="0.35">
      <c r="A404" s="126"/>
      <c r="B404" s="127"/>
      <c r="C404" s="126"/>
      <c r="D404" s="126"/>
      <c r="E404" s="128"/>
      <c r="F404" s="128"/>
      <c r="G404" s="128"/>
      <c r="H404" s="128"/>
      <c r="I404" s="128"/>
      <c r="J404" s="126"/>
      <c r="K404" s="126"/>
      <c r="L404" s="126"/>
      <c r="M404" s="125"/>
      <c r="N404" s="126"/>
    </row>
    <row r="405" spans="1:14" x14ac:dyDescent="0.35">
      <c r="A405" s="126"/>
      <c r="B405" s="127"/>
      <c r="C405" s="126"/>
      <c r="D405" s="126"/>
      <c r="E405" s="128"/>
      <c r="F405" s="128"/>
      <c r="G405" s="128"/>
      <c r="H405" s="128"/>
      <c r="I405" s="128"/>
      <c r="J405" s="126"/>
      <c r="K405" s="126"/>
      <c r="L405" s="126"/>
      <c r="M405" s="125"/>
      <c r="N405" s="126"/>
    </row>
    <row r="406" spans="1:14" x14ac:dyDescent="0.35">
      <c r="A406" s="126"/>
      <c r="B406" s="127"/>
      <c r="C406" s="126"/>
      <c r="D406" s="126"/>
      <c r="E406" s="128"/>
      <c r="F406" s="128"/>
      <c r="G406" s="128"/>
      <c r="H406" s="128"/>
      <c r="I406" s="128"/>
      <c r="J406" s="126"/>
      <c r="K406" s="126"/>
      <c r="L406" s="126"/>
      <c r="M406" s="125"/>
      <c r="N406" s="126"/>
    </row>
    <row r="407" spans="1:14" x14ac:dyDescent="0.35">
      <c r="A407" s="126"/>
      <c r="B407" s="127"/>
      <c r="C407" s="126"/>
      <c r="D407" s="126"/>
      <c r="E407" s="128"/>
      <c r="F407" s="128"/>
      <c r="G407" s="128"/>
      <c r="H407" s="128"/>
      <c r="I407" s="128"/>
      <c r="J407" s="126"/>
      <c r="K407" s="126"/>
      <c r="L407" s="126"/>
      <c r="M407" s="125"/>
      <c r="N407" s="126"/>
    </row>
    <row r="408" spans="1:14" x14ac:dyDescent="0.35">
      <c r="A408" s="126"/>
      <c r="B408" s="127"/>
      <c r="C408" s="126"/>
      <c r="D408" s="126"/>
      <c r="E408" s="128"/>
      <c r="F408" s="128"/>
      <c r="G408" s="128"/>
      <c r="H408" s="128"/>
      <c r="I408" s="128"/>
      <c r="J408" s="126"/>
      <c r="K408" s="126"/>
      <c r="L408" s="126"/>
      <c r="M408" s="125"/>
      <c r="N408" s="126"/>
    </row>
    <row r="409" spans="1:14" x14ac:dyDescent="0.35">
      <c r="A409" s="126"/>
      <c r="B409" s="127"/>
      <c r="C409" s="126"/>
      <c r="D409" s="126"/>
      <c r="E409" s="128"/>
      <c r="F409" s="128"/>
      <c r="G409" s="128"/>
      <c r="H409" s="128"/>
      <c r="I409" s="128"/>
      <c r="J409" s="126"/>
      <c r="K409" s="126"/>
      <c r="L409" s="126"/>
      <c r="M409" s="125"/>
      <c r="N409" s="126"/>
    </row>
    <row r="410" spans="1:14" x14ac:dyDescent="0.35">
      <c r="A410" s="126"/>
      <c r="B410" s="127"/>
      <c r="C410" s="126"/>
      <c r="D410" s="126"/>
      <c r="E410" s="128"/>
      <c r="F410" s="128"/>
      <c r="G410" s="128"/>
      <c r="H410" s="128"/>
      <c r="I410" s="128"/>
      <c r="J410" s="126"/>
      <c r="K410" s="126"/>
      <c r="L410" s="126"/>
      <c r="M410" s="125"/>
      <c r="N410" s="126"/>
    </row>
    <row r="411" spans="1:14" x14ac:dyDescent="0.35">
      <c r="A411" s="126"/>
      <c r="B411" s="127"/>
      <c r="C411" s="126"/>
      <c r="D411" s="126"/>
      <c r="E411" s="128"/>
      <c r="F411" s="128"/>
      <c r="G411" s="128"/>
      <c r="H411" s="128"/>
      <c r="I411" s="128"/>
      <c r="J411" s="126"/>
      <c r="K411" s="126"/>
      <c r="L411" s="126"/>
      <c r="M411" s="125"/>
      <c r="N411" s="126"/>
    </row>
    <row r="412" spans="1:14" x14ac:dyDescent="0.35">
      <c r="A412" s="126"/>
      <c r="B412" s="127"/>
      <c r="C412" s="126"/>
      <c r="D412" s="126"/>
      <c r="E412" s="128"/>
      <c r="F412" s="128"/>
      <c r="G412" s="128"/>
      <c r="H412" s="128"/>
      <c r="I412" s="128"/>
      <c r="J412" s="126"/>
      <c r="K412" s="126"/>
      <c r="L412" s="126"/>
      <c r="M412" s="125"/>
      <c r="N412" s="126"/>
    </row>
    <row r="413" spans="1:14" x14ac:dyDescent="0.35">
      <c r="A413" s="126"/>
      <c r="B413" s="127"/>
      <c r="C413" s="126"/>
      <c r="D413" s="126"/>
      <c r="E413" s="128"/>
      <c r="F413" s="128"/>
      <c r="G413" s="128"/>
      <c r="H413" s="128"/>
      <c r="I413" s="128"/>
      <c r="J413" s="126"/>
      <c r="K413" s="126"/>
      <c r="L413" s="126"/>
      <c r="M413" s="125"/>
      <c r="N413" s="126"/>
    </row>
    <row r="414" spans="1:14" x14ac:dyDescent="0.35">
      <c r="A414" s="126"/>
      <c r="B414" s="127"/>
      <c r="C414" s="126"/>
      <c r="D414" s="126"/>
      <c r="E414" s="128"/>
      <c r="F414" s="128"/>
      <c r="G414" s="128"/>
      <c r="H414" s="128"/>
      <c r="I414" s="128"/>
      <c r="J414" s="126"/>
      <c r="K414" s="126"/>
      <c r="L414" s="126"/>
      <c r="M414" s="125"/>
      <c r="N414" s="126"/>
    </row>
    <row r="415" spans="1:14" x14ac:dyDescent="0.35">
      <c r="A415" s="126"/>
      <c r="B415" s="127"/>
      <c r="C415" s="126"/>
      <c r="D415" s="126"/>
      <c r="E415" s="128"/>
      <c r="F415" s="128"/>
      <c r="G415" s="128"/>
      <c r="H415" s="128"/>
      <c r="I415" s="128"/>
      <c r="J415" s="126"/>
      <c r="K415" s="126"/>
      <c r="L415" s="126"/>
      <c r="M415" s="125"/>
      <c r="N415" s="126"/>
    </row>
    <row r="416" spans="1:14" x14ac:dyDescent="0.35">
      <c r="A416" s="126"/>
      <c r="B416" s="127"/>
      <c r="C416" s="126"/>
      <c r="D416" s="126"/>
      <c r="E416" s="128"/>
      <c r="F416" s="128"/>
      <c r="G416" s="128"/>
      <c r="H416" s="128"/>
      <c r="I416" s="128"/>
      <c r="J416" s="126"/>
      <c r="K416" s="126"/>
      <c r="L416" s="126"/>
      <c r="M416" s="125"/>
      <c r="N416" s="126"/>
    </row>
    <row r="417" spans="1:14" x14ac:dyDescent="0.35">
      <c r="A417" s="126"/>
      <c r="B417" s="127"/>
      <c r="C417" s="126"/>
      <c r="D417" s="126"/>
      <c r="E417" s="128"/>
      <c r="F417" s="128"/>
      <c r="G417" s="128"/>
      <c r="H417" s="128"/>
      <c r="I417" s="128"/>
      <c r="J417" s="126"/>
      <c r="K417" s="126"/>
      <c r="L417" s="126"/>
      <c r="M417" s="125"/>
      <c r="N417" s="126"/>
    </row>
    <row r="418" spans="1:14" x14ac:dyDescent="0.35">
      <c r="A418" s="126"/>
      <c r="B418" s="127"/>
      <c r="C418" s="126"/>
      <c r="D418" s="126"/>
      <c r="E418" s="128"/>
      <c r="F418" s="128"/>
      <c r="G418" s="128"/>
      <c r="H418" s="128"/>
      <c r="I418" s="128"/>
      <c r="J418" s="126"/>
      <c r="K418" s="126"/>
      <c r="L418" s="126"/>
      <c r="M418" s="125"/>
      <c r="N418" s="126"/>
    </row>
    <row r="419" spans="1:14" x14ac:dyDescent="0.35">
      <c r="A419" s="126"/>
      <c r="B419" s="127"/>
      <c r="C419" s="126"/>
      <c r="D419" s="126"/>
      <c r="E419" s="128"/>
      <c r="F419" s="128"/>
      <c r="G419" s="128"/>
      <c r="H419" s="128"/>
      <c r="I419" s="128"/>
      <c r="J419" s="126"/>
      <c r="K419" s="126"/>
      <c r="L419" s="126"/>
      <c r="M419" s="125"/>
      <c r="N419" s="126"/>
    </row>
    <row r="420" spans="1:14" x14ac:dyDescent="0.35">
      <c r="A420" s="126"/>
      <c r="B420" s="127"/>
      <c r="C420" s="126"/>
      <c r="D420" s="126"/>
      <c r="E420" s="128"/>
      <c r="F420" s="128"/>
      <c r="G420" s="128"/>
      <c r="H420" s="128"/>
      <c r="I420" s="128"/>
      <c r="J420" s="126"/>
      <c r="K420" s="126"/>
      <c r="L420" s="126"/>
      <c r="M420" s="125"/>
      <c r="N420" s="126"/>
    </row>
    <row r="421" spans="1:14" x14ac:dyDescent="0.35">
      <c r="A421" s="126"/>
      <c r="B421" s="127"/>
      <c r="C421" s="126"/>
      <c r="D421" s="126"/>
      <c r="E421" s="128"/>
      <c r="F421" s="128"/>
      <c r="G421" s="128"/>
      <c r="H421" s="128"/>
      <c r="I421" s="128"/>
      <c r="J421" s="126"/>
      <c r="K421" s="126"/>
      <c r="L421" s="126"/>
      <c r="M421" s="125"/>
      <c r="N421" s="126"/>
    </row>
    <row r="422" spans="1:14" x14ac:dyDescent="0.35">
      <c r="A422" s="126"/>
      <c r="B422" s="127"/>
      <c r="C422" s="126"/>
      <c r="D422" s="126"/>
      <c r="E422" s="128"/>
      <c r="F422" s="128"/>
      <c r="G422" s="128"/>
      <c r="H422" s="128"/>
      <c r="I422" s="128"/>
      <c r="J422" s="126"/>
      <c r="K422" s="126"/>
      <c r="L422" s="126"/>
      <c r="M422" s="125"/>
      <c r="N422" s="126"/>
    </row>
    <row r="423" spans="1:14" x14ac:dyDescent="0.35">
      <c r="A423" s="126"/>
      <c r="B423" s="127"/>
      <c r="C423" s="126"/>
      <c r="D423" s="126"/>
      <c r="E423" s="128"/>
      <c r="F423" s="128"/>
      <c r="G423" s="128"/>
      <c r="H423" s="128"/>
      <c r="I423" s="128"/>
      <c r="J423" s="126"/>
      <c r="K423" s="126"/>
      <c r="L423" s="126"/>
      <c r="M423" s="125"/>
      <c r="N423" s="126"/>
    </row>
    <row r="424" spans="1:14" x14ac:dyDescent="0.35">
      <c r="A424" s="126"/>
      <c r="B424" s="127"/>
      <c r="C424" s="126"/>
      <c r="D424" s="126"/>
      <c r="E424" s="128"/>
      <c r="F424" s="128"/>
      <c r="G424" s="128"/>
      <c r="H424" s="128"/>
      <c r="I424" s="128"/>
      <c r="J424" s="126"/>
      <c r="K424" s="126"/>
      <c r="L424" s="126"/>
      <c r="M424" s="125"/>
      <c r="N424" s="126"/>
    </row>
    <row r="425" spans="1:14" x14ac:dyDescent="0.35">
      <c r="A425" s="126"/>
      <c r="B425" s="127"/>
      <c r="C425" s="126"/>
      <c r="D425" s="126"/>
      <c r="E425" s="128"/>
      <c r="F425" s="128"/>
      <c r="G425" s="128"/>
      <c r="H425" s="128"/>
      <c r="I425" s="128"/>
      <c r="J425" s="126"/>
      <c r="K425" s="126"/>
      <c r="L425" s="126"/>
      <c r="M425" s="125"/>
      <c r="N425" s="126"/>
    </row>
    <row r="426" spans="1:14" x14ac:dyDescent="0.35">
      <c r="A426" s="126"/>
      <c r="B426" s="127"/>
      <c r="C426" s="126"/>
      <c r="D426" s="126"/>
      <c r="E426" s="128"/>
      <c r="F426" s="128"/>
      <c r="G426" s="128"/>
      <c r="H426" s="128"/>
      <c r="I426" s="128"/>
      <c r="J426" s="126"/>
      <c r="K426" s="126"/>
      <c r="L426" s="126"/>
      <c r="M426" s="125"/>
      <c r="N426" s="126"/>
    </row>
    <row r="427" spans="1:14" x14ac:dyDescent="0.35">
      <c r="A427" s="126"/>
      <c r="B427" s="127"/>
      <c r="C427" s="126"/>
      <c r="D427" s="126"/>
      <c r="E427" s="128"/>
      <c r="F427" s="128"/>
      <c r="G427" s="128"/>
      <c r="H427" s="128"/>
      <c r="I427" s="128"/>
      <c r="J427" s="126"/>
      <c r="K427" s="126"/>
      <c r="L427" s="126"/>
      <c r="M427" s="125"/>
      <c r="N427" s="126"/>
    </row>
    <row r="428" spans="1:14" x14ac:dyDescent="0.35">
      <c r="A428" s="126"/>
      <c r="B428" s="127"/>
      <c r="C428" s="126"/>
      <c r="D428" s="126"/>
      <c r="E428" s="128"/>
      <c r="F428" s="128"/>
      <c r="G428" s="128"/>
      <c r="H428" s="128"/>
      <c r="I428" s="128"/>
      <c r="J428" s="126"/>
      <c r="K428" s="126"/>
      <c r="L428" s="126"/>
      <c r="M428" s="125"/>
      <c r="N428" s="126"/>
    </row>
    <row r="429" spans="1:14" x14ac:dyDescent="0.35">
      <c r="A429" s="126"/>
      <c r="B429" s="127"/>
      <c r="C429" s="126"/>
      <c r="D429" s="126"/>
      <c r="E429" s="128"/>
      <c r="F429" s="128"/>
      <c r="G429" s="128"/>
      <c r="H429" s="128"/>
      <c r="I429" s="128"/>
      <c r="J429" s="126"/>
      <c r="K429" s="126"/>
      <c r="L429" s="126"/>
      <c r="M429" s="125"/>
      <c r="N429" s="126"/>
    </row>
    <row r="430" spans="1:14" x14ac:dyDescent="0.35">
      <c r="A430" s="126"/>
      <c r="B430" s="127"/>
      <c r="C430" s="126"/>
      <c r="D430" s="126"/>
      <c r="E430" s="128"/>
      <c r="F430" s="128"/>
      <c r="G430" s="128"/>
      <c r="H430" s="128"/>
      <c r="I430" s="128"/>
      <c r="J430" s="126"/>
      <c r="K430" s="126"/>
      <c r="L430" s="126"/>
      <c r="M430" s="125"/>
      <c r="N430" s="126"/>
    </row>
    <row r="431" spans="1:14" x14ac:dyDescent="0.35">
      <c r="A431" s="126"/>
      <c r="B431" s="127"/>
      <c r="C431" s="126"/>
      <c r="D431" s="126"/>
      <c r="E431" s="128"/>
      <c r="F431" s="128"/>
      <c r="G431" s="128"/>
      <c r="H431" s="128"/>
      <c r="I431" s="128"/>
      <c r="J431" s="126"/>
      <c r="K431" s="126"/>
      <c r="L431" s="126"/>
      <c r="M431" s="125"/>
      <c r="N431" s="126"/>
    </row>
    <row r="432" spans="1:14" x14ac:dyDescent="0.35">
      <c r="A432" s="126"/>
      <c r="B432" s="127"/>
      <c r="C432" s="126"/>
      <c r="D432" s="126"/>
      <c r="E432" s="128"/>
      <c r="F432" s="128"/>
      <c r="G432" s="128"/>
      <c r="H432" s="128"/>
      <c r="I432" s="128"/>
      <c r="J432" s="126"/>
      <c r="K432" s="126"/>
      <c r="L432" s="126"/>
      <c r="M432" s="125"/>
      <c r="N432" s="126"/>
    </row>
    <row r="433" spans="1:14" x14ac:dyDescent="0.35">
      <c r="A433" s="126"/>
      <c r="B433" s="127"/>
      <c r="C433" s="126"/>
      <c r="D433" s="126"/>
      <c r="E433" s="128"/>
      <c r="F433" s="128"/>
      <c r="G433" s="128"/>
      <c r="H433" s="128"/>
      <c r="I433" s="128"/>
      <c r="J433" s="126"/>
      <c r="K433" s="126"/>
      <c r="L433" s="126"/>
      <c r="M433" s="125"/>
      <c r="N433" s="126"/>
    </row>
    <row r="434" spans="1:14" x14ac:dyDescent="0.35">
      <c r="A434" s="126"/>
      <c r="B434" s="127"/>
      <c r="C434" s="126"/>
      <c r="D434" s="126"/>
      <c r="E434" s="128"/>
      <c r="F434" s="128"/>
      <c r="G434" s="128"/>
      <c r="H434" s="128"/>
      <c r="I434" s="128"/>
      <c r="J434" s="126"/>
      <c r="K434" s="126"/>
      <c r="L434" s="126"/>
      <c r="M434" s="125"/>
      <c r="N434" s="126"/>
    </row>
    <row r="435" spans="1:14" x14ac:dyDescent="0.35">
      <c r="A435" s="126"/>
      <c r="B435" s="127"/>
      <c r="C435" s="126"/>
      <c r="D435" s="126"/>
      <c r="E435" s="128"/>
      <c r="F435" s="128"/>
      <c r="G435" s="128"/>
      <c r="H435" s="128"/>
      <c r="I435" s="128"/>
      <c r="J435" s="126"/>
      <c r="K435" s="126"/>
      <c r="L435" s="126"/>
      <c r="M435" s="125"/>
      <c r="N435" s="126"/>
    </row>
    <row r="436" spans="1:14" x14ac:dyDescent="0.35">
      <c r="A436" s="126"/>
      <c r="B436" s="127"/>
      <c r="C436" s="126"/>
      <c r="D436" s="126"/>
      <c r="E436" s="128"/>
      <c r="F436" s="128"/>
      <c r="G436" s="128"/>
      <c r="H436" s="128"/>
      <c r="I436" s="128"/>
      <c r="J436" s="126"/>
      <c r="K436" s="126"/>
      <c r="L436" s="126"/>
      <c r="M436" s="125"/>
      <c r="N436" s="126"/>
    </row>
    <row r="437" spans="1:14" x14ac:dyDescent="0.35">
      <c r="A437" s="126"/>
      <c r="B437" s="127"/>
      <c r="C437" s="126"/>
      <c r="D437" s="126"/>
      <c r="E437" s="128"/>
      <c r="F437" s="128"/>
      <c r="G437" s="128"/>
      <c r="H437" s="128"/>
      <c r="I437" s="128"/>
      <c r="J437" s="126"/>
      <c r="K437" s="126"/>
      <c r="L437" s="126"/>
      <c r="M437" s="125"/>
      <c r="N437" s="126"/>
    </row>
    <row r="438" spans="1:14" x14ac:dyDescent="0.35">
      <c r="A438" s="126"/>
      <c r="B438" s="127"/>
      <c r="C438" s="126"/>
      <c r="D438" s="126"/>
      <c r="E438" s="128"/>
      <c r="F438" s="128"/>
      <c r="G438" s="128"/>
      <c r="H438" s="128"/>
      <c r="I438" s="128"/>
      <c r="J438" s="126"/>
      <c r="K438" s="126"/>
      <c r="L438" s="126"/>
      <c r="M438" s="125"/>
      <c r="N438" s="126"/>
    </row>
    <row r="439" spans="1:14" x14ac:dyDescent="0.35">
      <c r="A439" s="126"/>
      <c r="B439" s="127"/>
      <c r="C439" s="126"/>
      <c r="D439" s="126"/>
      <c r="E439" s="128"/>
      <c r="F439" s="128"/>
      <c r="G439" s="128"/>
      <c r="H439" s="128"/>
      <c r="I439" s="128"/>
      <c r="J439" s="126"/>
      <c r="K439" s="126"/>
      <c r="L439" s="126"/>
      <c r="M439" s="125"/>
      <c r="N439" s="126"/>
    </row>
    <row r="440" spans="1:14" x14ac:dyDescent="0.35">
      <c r="A440" s="126"/>
      <c r="B440" s="127"/>
      <c r="C440" s="126"/>
      <c r="D440" s="126"/>
      <c r="E440" s="128"/>
      <c r="F440" s="128"/>
      <c r="G440" s="128"/>
      <c r="H440" s="128"/>
      <c r="I440" s="128"/>
      <c r="J440" s="126"/>
      <c r="K440" s="126"/>
      <c r="L440" s="126"/>
      <c r="M440" s="125"/>
      <c r="N440" s="126"/>
    </row>
    <row r="441" spans="1:14" x14ac:dyDescent="0.35">
      <c r="A441" s="126"/>
      <c r="B441" s="127"/>
      <c r="C441" s="126"/>
      <c r="D441" s="126"/>
      <c r="E441" s="128"/>
      <c r="F441" s="128"/>
      <c r="G441" s="128"/>
      <c r="H441" s="128"/>
      <c r="I441" s="128"/>
      <c r="J441" s="126"/>
      <c r="K441" s="126"/>
      <c r="L441" s="126"/>
      <c r="M441" s="125"/>
      <c r="N441" s="126"/>
    </row>
    <row r="442" spans="1:14" x14ac:dyDescent="0.35">
      <c r="A442" s="126"/>
      <c r="B442" s="127"/>
      <c r="C442" s="126"/>
      <c r="D442" s="126"/>
      <c r="E442" s="128"/>
      <c r="F442" s="128"/>
      <c r="G442" s="128"/>
      <c r="H442" s="128"/>
      <c r="I442" s="128"/>
      <c r="J442" s="126"/>
      <c r="K442" s="126"/>
      <c r="L442" s="126"/>
      <c r="M442" s="125"/>
      <c r="N442" s="126"/>
    </row>
    <row r="443" spans="1:14" x14ac:dyDescent="0.35">
      <c r="A443" s="126"/>
      <c r="B443" s="127"/>
      <c r="C443" s="126"/>
      <c r="D443" s="126"/>
      <c r="E443" s="128"/>
      <c r="F443" s="128"/>
      <c r="G443" s="128"/>
      <c r="H443" s="128"/>
      <c r="I443" s="128"/>
      <c r="J443" s="126"/>
      <c r="K443" s="126"/>
      <c r="L443" s="126"/>
      <c r="M443" s="125"/>
      <c r="N443" s="126"/>
    </row>
    <row r="444" spans="1:14" x14ac:dyDescent="0.35">
      <c r="A444" s="126"/>
      <c r="B444" s="127"/>
      <c r="C444" s="126"/>
      <c r="D444" s="126"/>
      <c r="E444" s="128"/>
      <c r="F444" s="128"/>
      <c r="G444" s="128"/>
      <c r="H444" s="128"/>
      <c r="I444" s="128"/>
      <c r="J444" s="126"/>
      <c r="K444" s="126"/>
      <c r="L444" s="126"/>
      <c r="M444" s="125"/>
      <c r="N444" s="126"/>
    </row>
    <row r="445" spans="1:14" x14ac:dyDescent="0.35">
      <c r="A445" s="126"/>
      <c r="B445" s="127"/>
      <c r="C445" s="126"/>
      <c r="D445" s="126"/>
      <c r="E445" s="128"/>
      <c r="F445" s="128"/>
      <c r="G445" s="128"/>
      <c r="H445" s="128"/>
      <c r="I445" s="128"/>
      <c r="J445" s="126"/>
      <c r="K445" s="126"/>
      <c r="L445" s="126"/>
      <c r="M445" s="125"/>
      <c r="N445" s="126"/>
    </row>
    <row r="446" spans="1:14" x14ac:dyDescent="0.35">
      <c r="A446" s="126"/>
      <c r="B446" s="127"/>
      <c r="C446" s="126"/>
      <c r="D446" s="126"/>
      <c r="E446" s="128"/>
      <c r="F446" s="128"/>
      <c r="G446" s="128"/>
      <c r="H446" s="128"/>
      <c r="I446" s="128"/>
      <c r="J446" s="126"/>
      <c r="K446" s="126"/>
      <c r="L446" s="126"/>
      <c r="M446" s="125"/>
      <c r="N446" s="126"/>
    </row>
    <row r="447" spans="1:14" x14ac:dyDescent="0.35">
      <c r="A447" s="126"/>
      <c r="B447" s="127"/>
      <c r="C447" s="126"/>
      <c r="D447" s="126"/>
      <c r="E447" s="128"/>
      <c r="F447" s="128"/>
      <c r="G447" s="128"/>
      <c r="H447" s="128"/>
      <c r="I447" s="128"/>
      <c r="J447" s="126"/>
      <c r="K447" s="126"/>
      <c r="L447" s="126"/>
      <c r="M447" s="125"/>
      <c r="N447" s="126"/>
    </row>
    <row r="448" spans="1:14" x14ac:dyDescent="0.35">
      <c r="A448" s="126"/>
      <c r="B448" s="127"/>
      <c r="C448" s="126"/>
      <c r="D448" s="126"/>
      <c r="E448" s="128"/>
      <c r="F448" s="128"/>
      <c r="G448" s="128"/>
      <c r="H448" s="128"/>
      <c r="I448" s="128"/>
      <c r="J448" s="126"/>
      <c r="K448" s="126"/>
      <c r="L448" s="126"/>
      <c r="M448" s="125"/>
      <c r="N448" s="126"/>
    </row>
    <row r="449" spans="1:14" x14ac:dyDescent="0.35">
      <c r="A449" s="126"/>
      <c r="B449" s="127"/>
      <c r="C449" s="126"/>
      <c r="D449" s="126"/>
      <c r="E449" s="128"/>
      <c r="F449" s="128"/>
      <c r="G449" s="128"/>
      <c r="H449" s="128"/>
      <c r="I449" s="128"/>
      <c r="J449" s="126"/>
      <c r="K449" s="126"/>
      <c r="L449" s="126"/>
      <c r="M449" s="125"/>
      <c r="N449" s="126"/>
    </row>
    <row r="450" spans="1:14" x14ac:dyDescent="0.35">
      <c r="A450" s="126"/>
      <c r="B450" s="127"/>
      <c r="C450" s="126"/>
      <c r="D450" s="126"/>
      <c r="E450" s="128"/>
      <c r="F450" s="128"/>
      <c r="G450" s="128"/>
      <c r="H450" s="128"/>
      <c r="I450" s="128"/>
      <c r="J450" s="126"/>
      <c r="K450" s="126"/>
      <c r="L450" s="126"/>
      <c r="M450" s="125"/>
      <c r="N450" s="126"/>
    </row>
    <row r="451" spans="1:14" x14ac:dyDescent="0.35">
      <c r="A451" s="126"/>
      <c r="B451" s="127"/>
      <c r="C451" s="126"/>
      <c r="D451" s="126"/>
      <c r="E451" s="128"/>
      <c r="F451" s="128"/>
      <c r="G451" s="128"/>
      <c r="H451" s="128"/>
      <c r="I451" s="128"/>
      <c r="J451" s="126"/>
      <c r="K451" s="126"/>
      <c r="L451" s="126"/>
      <c r="M451" s="125"/>
      <c r="N451" s="126"/>
    </row>
    <row r="452" spans="1:14" x14ac:dyDescent="0.35">
      <c r="A452" s="126"/>
      <c r="B452" s="127"/>
      <c r="C452" s="126"/>
      <c r="D452" s="126"/>
      <c r="E452" s="128"/>
      <c r="F452" s="128"/>
      <c r="G452" s="128"/>
      <c r="H452" s="128"/>
      <c r="I452" s="128"/>
      <c r="J452" s="126"/>
      <c r="K452" s="126"/>
      <c r="L452" s="126"/>
      <c r="M452" s="125"/>
      <c r="N452" s="126"/>
    </row>
    <row r="453" spans="1:14" x14ac:dyDescent="0.35">
      <c r="A453" s="126"/>
      <c r="B453" s="127"/>
      <c r="C453" s="126"/>
      <c r="D453" s="126"/>
      <c r="E453" s="128"/>
      <c r="F453" s="128"/>
      <c r="G453" s="128"/>
      <c r="H453" s="128"/>
      <c r="I453" s="128"/>
      <c r="J453" s="126"/>
      <c r="K453" s="126"/>
      <c r="L453" s="126"/>
      <c r="M453" s="125"/>
      <c r="N453" s="126"/>
    </row>
    <row r="454" spans="1:14" x14ac:dyDescent="0.35">
      <c r="A454" s="126"/>
      <c r="B454" s="127"/>
      <c r="C454" s="126"/>
      <c r="D454" s="126"/>
      <c r="E454" s="128"/>
      <c r="F454" s="128"/>
      <c r="G454" s="128"/>
      <c r="H454" s="128"/>
      <c r="I454" s="128"/>
      <c r="J454" s="126"/>
      <c r="K454" s="126"/>
      <c r="L454" s="126"/>
      <c r="M454" s="125"/>
      <c r="N454" s="126"/>
    </row>
    <row r="455" spans="1:14" x14ac:dyDescent="0.35">
      <c r="A455" s="126"/>
      <c r="B455" s="127"/>
      <c r="C455" s="126"/>
      <c r="D455" s="126"/>
      <c r="E455" s="128"/>
      <c r="F455" s="128"/>
      <c r="G455" s="128"/>
      <c r="H455" s="128"/>
      <c r="I455" s="128"/>
      <c r="J455" s="126"/>
      <c r="K455" s="126"/>
      <c r="L455" s="126"/>
      <c r="M455" s="125"/>
      <c r="N455" s="126"/>
    </row>
    <row r="456" spans="1:14" x14ac:dyDescent="0.35">
      <c r="A456" s="126"/>
      <c r="B456" s="127"/>
      <c r="C456" s="126"/>
      <c r="D456" s="126"/>
      <c r="E456" s="128"/>
      <c r="F456" s="128"/>
      <c r="G456" s="128"/>
      <c r="H456" s="128"/>
      <c r="I456" s="128"/>
      <c r="J456" s="126"/>
      <c r="K456" s="126"/>
      <c r="L456" s="126"/>
      <c r="M456" s="125"/>
      <c r="N456" s="126"/>
    </row>
    <row r="457" spans="1:14" x14ac:dyDescent="0.35">
      <c r="A457" s="126"/>
      <c r="B457" s="127"/>
      <c r="C457" s="126"/>
      <c r="D457" s="126"/>
      <c r="E457" s="128"/>
      <c r="F457" s="128"/>
      <c r="G457" s="128"/>
      <c r="H457" s="128"/>
      <c r="I457" s="128"/>
      <c r="J457" s="126"/>
      <c r="K457" s="126"/>
      <c r="L457" s="126"/>
      <c r="M457" s="125"/>
      <c r="N457" s="126"/>
    </row>
    <row r="458" spans="1:14" x14ac:dyDescent="0.35">
      <c r="A458" s="126"/>
      <c r="B458" s="127"/>
      <c r="C458" s="126"/>
      <c r="D458" s="126"/>
      <c r="E458" s="128"/>
      <c r="F458" s="128"/>
      <c r="G458" s="128"/>
      <c r="H458" s="128"/>
      <c r="I458" s="128"/>
      <c r="J458" s="126"/>
      <c r="K458" s="126"/>
      <c r="L458" s="126"/>
      <c r="M458" s="125"/>
      <c r="N458" s="126"/>
    </row>
    <row r="459" spans="1:14" x14ac:dyDescent="0.35">
      <c r="A459" s="126"/>
      <c r="B459" s="127"/>
      <c r="C459" s="126"/>
      <c r="D459" s="126"/>
      <c r="E459" s="128"/>
      <c r="F459" s="128"/>
      <c r="G459" s="128"/>
      <c r="H459" s="128"/>
      <c r="I459" s="128"/>
      <c r="J459" s="126"/>
      <c r="K459" s="126"/>
      <c r="L459" s="126"/>
      <c r="M459" s="125"/>
      <c r="N459" s="126"/>
    </row>
    <row r="460" spans="1:14" x14ac:dyDescent="0.35">
      <c r="A460" s="126"/>
      <c r="B460" s="127"/>
      <c r="C460" s="126"/>
      <c r="D460" s="126"/>
      <c r="E460" s="128"/>
      <c r="F460" s="128"/>
      <c r="G460" s="128"/>
      <c r="H460" s="128"/>
      <c r="I460" s="128"/>
      <c r="J460" s="126"/>
      <c r="K460" s="126"/>
      <c r="L460" s="126"/>
      <c r="M460" s="125"/>
      <c r="N460" s="126"/>
    </row>
    <row r="461" spans="1:14" x14ac:dyDescent="0.35">
      <c r="A461" s="126"/>
      <c r="B461" s="127"/>
      <c r="C461" s="126"/>
      <c r="D461" s="126"/>
      <c r="E461" s="128"/>
      <c r="F461" s="128"/>
      <c r="G461" s="128"/>
      <c r="H461" s="128"/>
      <c r="I461" s="128"/>
      <c r="J461" s="126"/>
      <c r="K461" s="126"/>
      <c r="L461" s="126"/>
      <c r="M461" s="125"/>
      <c r="N461" s="126"/>
    </row>
    <row r="462" spans="1:14" x14ac:dyDescent="0.35">
      <c r="A462" s="126"/>
      <c r="B462" s="127"/>
      <c r="C462" s="126"/>
      <c r="D462" s="126"/>
      <c r="E462" s="128"/>
      <c r="F462" s="128"/>
      <c r="G462" s="128"/>
      <c r="H462" s="128"/>
      <c r="I462" s="128"/>
      <c r="J462" s="126"/>
      <c r="K462" s="126"/>
      <c r="L462" s="126"/>
      <c r="M462" s="125"/>
      <c r="N462" s="126"/>
    </row>
    <row r="463" spans="1:14" x14ac:dyDescent="0.35">
      <c r="A463" s="126"/>
      <c r="B463" s="127"/>
      <c r="C463" s="126"/>
      <c r="D463" s="126"/>
      <c r="E463" s="128"/>
      <c r="F463" s="128"/>
      <c r="G463" s="128"/>
      <c r="H463" s="128"/>
      <c r="I463" s="128"/>
      <c r="J463" s="126"/>
      <c r="K463" s="126"/>
      <c r="L463" s="126"/>
      <c r="M463" s="125"/>
      <c r="N463" s="126"/>
    </row>
    <row r="464" spans="1:14" x14ac:dyDescent="0.35">
      <c r="A464" s="126"/>
      <c r="B464" s="127"/>
      <c r="C464" s="126"/>
      <c r="D464" s="126"/>
      <c r="E464" s="128"/>
      <c r="F464" s="128"/>
      <c r="G464" s="128"/>
      <c r="H464" s="128"/>
      <c r="I464" s="128"/>
      <c r="J464" s="126"/>
      <c r="K464" s="126"/>
      <c r="L464" s="126"/>
      <c r="M464" s="125"/>
      <c r="N464" s="126"/>
    </row>
    <row r="465" spans="1:14" x14ac:dyDescent="0.35">
      <c r="A465" s="126"/>
      <c r="B465" s="127"/>
      <c r="C465" s="126"/>
      <c r="D465" s="126"/>
      <c r="E465" s="128"/>
      <c r="F465" s="128"/>
      <c r="G465" s="128"/>
      <c r="H465" s="128"/>
      <c r="I465" s="128"/>
      <c r="J465" s="126"/>
      <c r="K465" s="126"/>
      <c r="L465" s="126"/>
      <c r="M465" s="125"/>
      <c r="N465" s="126"/>
    </row>
    <row r="466" spans="1:14" x14ac:dyDescent="0.35">
      <c r="A466" s="126"/>
      <c r="B466" s="127"/>
      <c r="C466" s="126"/>
      <c r="D466" s="126"/>
      <c r="E466" s="128"/>
      <c r="F466" s="128"/>
      <c r="G466" s="128"/>
      <c r="H466" s="128"/>
      <c r="I466" s="128"/>
      <c r="J466" s="126"/>
      <c r="K466" s="126"/>
      <c r="L466" s="126"/>
      <c r="M466" s="125"/>
      <c r="N466" s="126"/>
    </row>
    <row r="467" spans="1:14" x14ac:dyDescent="0.35">
      <c r="A467" s="126"/>
      <c r="B467" s="127"/>
      <c r="C467" s="126"/>
      <c r="D467" s="126"/>
      <c r="E467" s="128"/>
      <c r="F467" s="128"/>
      <c r="G467" s="128"/>
      <c r="H467" s="128"/>
      <c r="I467" s="128"/>
      <c r="J467" s="126"/>
      <c r="K467" s="126"/>
      <c r="L467" s="126"/>
      <c r="M467" s="125"/>
      <c r="N467" s="126"/>
    </row>
    <row r="468" spans="1:14" x14ac:dyDescent="0.35">
      <c r="A468" s="126"/>
      <c r="B468" s="127"/>
      <c r="C468" s="126"/>
      <c r="D468" s="126"/>
      <c r="E468" s="128"/>
      <c r="F468" s="128"/>
      <c r="G468" s="128"/>
      <c r="H468" s="128"/>
      <c r="I468" s="128"/>
      <c r="J468" s="126"/>
      <c r="K468" s="126"/>
      <c r="L468" s="126"/>
      <c r="M468" s="125"/>
      <c r="N468" s="126"/>
    </row>
    <row r="469" spans="1:14" x14ac:dyDescent="0.35">
      <c r="A469" s="126"/>
      <c r="B469" s="127"/>
      <c r="C469" s="126"/>
      <c r="D469" s="126"/>
      <c r="E469" s="128"/>
      <c r="F469" s="128"/>
      <c r="G469" s="128"/>
      <c r="H469" s="128"/>
      <c r="I469" s="128"/>
      <c r="J469" s="126"/>
      <c r="K469" s="126"/>
      <c r="L469" s="126"/>
      <c r="M469" s="125"/>
      <c r="N469" s="126"/>
    </row>
    <row r="470" spans="1:14" x14ac:dyDescent="0.35">
      <c r="A470" s="126"/>
      <c r="B470" s="127"/>
      <c r="C470" s="126"/>
      <c r="D470" s="126"/>
      <c r="E470" s="128"/>
      <c r="F470" s="128"/>
      <c r="G470" s="128"/>
      <c r="H470" s="128"/>
      <c r="I470" s="128"/>
      <c r="J470" s="126"/>
      <c r="K470" s="126"/>
      <c r="L470" s="126"/>
      <c r="M470" s="125"/>
      <c r="N470" s="126"/>
    </row>
    <row r="471" spans="1:14" x14ac:dyDescent="0.35">
      <c r="A471" s="126"/>
      <c r="B471" s="127"/>
      <c r="C471" s="126"/>
      <c r="D471" s="126"/>
      <c r="E471" s="128"/>
      <c r="F471" s="128"/>
      <c r="G471" s="128"/>
      <c r="H471" s="128"/>
      <c r="I471" s="128"/>
      <c r="J471" s="126"/>
      <c r="K471" s="126"/>
      <c r="L471" s="126"/>
      <c r="M471" s="125"/>
      <c r="N471" s="126"/>
    </row>
    <row r="472" spans="1:14" x14ac:dyDescent="0.35">
      <c r="A472" s="126"/>
      <c r="B472" s="127"/>
      <c r="C472" s="126"/>
      <c r="D472" s="126"/>
      <c r="E472" s="128"/>
      <c r="F472" s="128"/>
      <c r="G472" s="128"/>
      <c r="H472" s="128"/>
      <c r="I472" s="128"/>
      <c r="J472" s="126"/>
      <c r="K472" s="126"/>
      <c r="L472" s="126"/>
      <c r="M472" s="125"/>
      <c r="N472" s="126"/>
    </row>
    <row r="473" spans="1:14" x14ac:dyDescent="0.35">
      <c r="A473" s="126"/>
      <c r="B473" s="127"/>
      <c r="C473" s="126"/>
      <c r="D473" s="126"/>
      <c r="E473" s="128"/>
      <c r="F473" s="128"/>
      <c r="G473" s="128"/>
      <c r="H473" s="128"/>
      <c r="I473" s="128"/>
      <c r="J473" s="126"/>
      <c r="K473" s="126"/>
      <c r="L473" s="126"/>
      <c r="M473" s="125"/>
      <c r="N473" s="126"/>
    </row>
    <row r="474" spans="1:14" x14ac:dyDescent="0.35">
      <c r="A474" s="126"/>
      <c r="B474" s="127"/>
      <c r="C474" s="126"/>
      <c r="D474" s="126"/>
      <c r="E474" s="128"/>
      <c r="F474" s="128"/>
      <c r="G474" s="128"/>
      <c r="H474" s="128"/>
      <c r="I474" s="128"/>
      <c r="J474" s="126"/>
      <c r="K474" s="126"/>
      <c r="L474" s="126"/>
      <c r="M474" s="125"/>
      <c r="N474" s="126"/>
    </row>
    <row r="475" spans="1:14" x14ac:dyDescent="0.35">
      <c r="A475" s="126"/>
      <c r="B475" s="127"/>
      <c r="C475" s="126"/>
      <c r="D475" s="126"/>
      <c r="E475" s="128"/>
      <c r="F475" s="128"/>
      <c r="G475" s="128"/>
      <c r="H475" s="128"/>
      <c r="I475" s="128"/>
      <c r="J475" s="126"/>
      <c r="K475" s="126"/>
      <c r="L475" s="126"/>
      <c r="M475" s="125"/>
      <c r="N475" s="126"/>
    </row>
    <row r="476" spans="1:14" x14ac:dyDescent="0.35">
      <c r="A476" s="126"/>
      <c r="B476" s="127"/>
      <c r="C476" s="126"/>
      <c r="D476" s="126"/>
      <c r="E476" s="128"/>
      <c r="F476" s="128"/>
      <c r="G476" s="128"/>
      <c r="H476" s="128"/>
      <c r="I476" s="128"/>
      <c r="J476" s="126"/>
      <c r="K476" s="126"/>
      <c r="L476" s="126"/>
      <c r="M476" s="125"/>
      <c r="N476" s="126"/>
    </row>
    <row r="477" spans="1:14" x14ac:dyDescent="0.35">
      <c r="A477" s="126"/>
      <c r="B477" s="127"/>
      <c r="C477" s="126"/>
      <c r="D477" s="126"/>
      <c r="E477" s="128"/>
      <c r="F477" s="128"/>
      <c r="G477" s="128"/>
      <c r="H477" s="128"/>
      <c r="I477" s="128"/>
      <c r="J477" s="126"/>
      <c r="K477" s="126"/>
      <c r="L477" s="126"/>
      <c r="M477" s="125"/>
      <c r="N477" s="126"/>
    </row>
    <row r="478" spans="1:14" x14ac:dyDescent="0.35">
      <c r="A478" s="126"/>
      <c r="B478" s="127"/>
      <c r="C478" s="126"/>
      <c r="D478" s="126"/>
      <c r="E478" s="128"/>
      <c r="F478" s="128"/>
      <c r="G478" s="128"/>
      <c r="H478" s="128"/>
      <c r="I478" s="128"/>
      <c r="J478" s="126"/>
      <c r="K478" s="126"/>
      <c r="L478" s="126"/>
      <c r="M478" s="125"/>
      <c r="N478" s="126"/>
    </row>
    <row r="479" spans="1:14" x14ac:dyDescent="0.35">
      <c r="A479" s="126"/>
      <c r="B479" s="127"/>
      <c r="C479" s="126"/>
      <c r="D479" s="126"/>
      <c r="E479" s="128"/>
      <c r="F479" s="128"/>
      <c r="G479" s="128"/>
      <c r="H479" s="128"/>
      <c r="I479" s="128"/>
      <c r="J479" s="126"/>
      <c r="K479" s="126"/>
      <c r="L479" s="126"/>
      <c r="M479" s="125"/>
      <c r="N479" s="126"/>
    </row>
    <row r="480" spans="1:14" x14ac:dyDescent="0.35">
      <c r="A480" s="126"/>
      <c r="B480" s="127"/>
      <c r="C480" s="126"/>
      <c r="D480" s="126"/>
      <c r="E480" s="128"/>
      <c r="F480" s="128"/>
      <c r="G480" s="128"/>
      <c r="H480" s="128"/>
      <c r="I480" s="128"/>
      <c r="J480" s="126"/>
      <c r="K480" s="126"/>
      <c r="L480" s="126"/>
      <c r="M480" s="125"/>
      <c r="N480" s="126"/>
    </row>
    <row r="481" spans="1:14" x14ac:dyDescent="0.35">
      <c r="A481" s="126"/>
      <c r="B481" s="127"/>
      <c r="C481" s="126"/>
      <c r="D481" s="126"/>
      <c r="E481" s="128"/>
      <c r="F481" s="128"/>
      <c r="G481" s="128"/>
      <c r="H481" s="128"/>
      <c r="I481" s="128"/>
      <c r="J481" s="126"/>
      <c r="K481" s="126"/>
      <c r="L481" s="126"/>
      <c r="M481" s="125"/>
      <c r="N481" s="126"/>
    </row>
    <row r="482" spans="1:14" x14ac:dyDescent="0.35">
      <c r="A482" s="126"/>
      <c r="B482" s="127"/>
      <c r="C482" s="126"/>
      <c r="D482" s="126"/>
      <c r="E482" s="128"/>
      <c r="F482" s="128"/>
      <c r="G482" s="128"/>
      <c r="H482" s="128"/>
      <c r="I482" s="128"/>
      <c r="J482" s="126"/>
      <c r="K482" s="126"/>
      <c r="L482" s="126"/>
      <c r="M482" s="125"/>
      <c r="N482" s="126"/>
    </row>
    <row r="483" spans="1:14" x14ac:dyDescent="0.35">
      <c r="A483" s="126"/>
      <c r="B483" s="127"/>
      <c r="C483" s="126"/>
      <c r="D483" s="126"/>
      <c r="E483" s="128"/>
      <c r="F483" s="128"/>
      <c r="G483" s="128"/>
      <c r="H483" s="128"/>
      <c r="I483" s="128"/>
      <c r="J483" s="126"/>
      <c r="K483" s="126"/>
      <c r="L483" s="126"/>
      <c r="M483" s="125"/>
      <c r="N483" s="126"/>
    </row>
    <row r="484" spans="1:14" x14ac:dyDescent="0.35">
      <c r="A484" s="126"/>
      <c r="B484" s="127"/>
      <c r="C484" s="126"/>
      <c r="D484" s="126"/>
      <c r="E484" s="128"/>
      <c r="F484" s="128"/>
      <c r="G484" s="128"/>
      <c r="H484" s="128"/>
      <c r="I484" s="128"/>
      <c r="J484" s="126"/>
      <c r="K484" s="126"/>
      <c r="L484" s="126"/>
      <c r="M484" s="125"/>
      <c r="N484" s="126"/>
    </row>
    <row r="485" spans="1:14" x14ac:dyDescent="0.35">
      <c r="A485" s="126"/>
      <c r="B485" s="127"/>
      <c r="C485" s="126"/>
      <c r="D485" s="126"/>
      <c r="E485" s="128"/>
      <c r="F485" s="128"/>
      <c r="G485" s="128"/>
      <c r="H485" s="128"/>
      <c r="I485" s="128"/>
      <c r="J485" s="126"/>
      <c r="K485" s="126"/>
      <c r="L485" s="126"/>
      <c r="M485" s="125"/>
      <c r="N485" s="126"/>
    </row>
    <row r="486" spans="1:14" x14ac:dyDescent="0.35">
      <c r="A486" s="126"/>
      <c r="B486" s="127"/>
      <c r="C486" s="126"/>
      <c r="D486" s="126"/>
      <c r="E486" s="128"/>
      <c r="F486" s="128"/>
      <c r="G486" s="128"/>
      <c r="H486" s="128"/>
      <c r="I486" s="128"/>
      <c r="J486" s="126"/>
      <c r="K486" s="126"/>
      <c r="L486" s="126"/>
      <c r="M486" s="125"/>
      <c r="N486" s="126"/>
    </row>
    <row r="487" spans="1:14" x14ac:dyDescent="0.35">
      <c r="A487" s="126"/>
      <c r="B487" s="127"/>
      <c r="C487" s="126"/>
      <c r="D487" s="126"/>
      <c r="E487" s="128"/>
      <c r="F487" s="128"/>
      <c r="G487" s="128"/>
      <c r="H487" s="128"/>
      <c r="I487" s="128"/>
      <c r="J487" s="126"/>
      <c r="K487" s="126"/>
      <c r="L487" s="126"/>
      <c r="M487" s="125"/>
      <c r="N487" s="126"/>
    </row>
    <row r="488" spans="1:14" x14ac:dyDescent="0.35">
      <c r="A488" s="126"/>
      <c r="B488" s="127"/>
      <c r="C488" s="126"/>
      <c r="D488" s="126"/>
      <c r="E488" s="128"/>
      <c r="F488" s="128"/>
      <c r="G488" s="128"/>
      <c r="H488" s="128"/>
      <c r="I488" s="128"/>
      <c r="J488" s="126"/>
      <c r="K488" s="126"/>
      <c r="L488" s="126"/>
      <c r="M488" s="125"/>
      <c r="N488" s="126"/>
    </row>
    <row r="489" spans="1:14" x14ac:dyDescent="0.35">
      <c r="A489" s="126"/>
      <c r="B489" s="127"/>
      <c r="C489" s="126"/>
      <c r="D489" s="126"/>
      <c r="E489" s="128"/>
      <c r="F489" s="128"/>
      <c r="G489" s="128"/>
      <c r="H489" s="128"/>
      <c r="I489" s="128"/>
      <c r="J489" s="126"/>
      <c r="K489" s="126"/>
      <c r="L489" s="126"/>
      <c r="M489" s="125"/>
      <c r="N489" s="126"/>
    </row>
    <row r="490" spans="1:14" x14ac:dyDescent="0.35">
      <c r="A490" s="126"/>
      <c r="B490" s="127"/>
      <c r="C490" s="126"/>
      <c r="D490" s="126"/>
      <c r="E490" s="128"/>
      <c r="F490" s="128"/>
      <c r="G490" s="128"/>
      <c r="H490" s="128"/>
      <c r="I490" s="128"/>
      <c r="J490" s="126"/>
      <c r="K490" s="126"/>
      <c r="L490" s="126"/>
      <c r="M490" s="125"/>
      <c r="N490" s="126"/>
    </row>
    <row r="491" spans="1:14" x14ac:dyDescent="0.35">
      <c r="A491" s="126"/>
      <c r="B491" s="127"/>
      <c r="C491" s="126"/>
      <c r="D491" s="126"/>
      <c r="E491" s="128"/>
      <c r="F491" s="128"/>
      <c r="G491" s="128"/>
      <c r="H491" s="128"/>
      <c r="I491" s="128"/>
      <c r="J491" s="126"/>
      <c r="K491" s="126"/>
      <c r="L491" s="126"/>
      <c r="M491" s="125"/>
      <c r="N491" s="126"/>
    </row>
    <row r="492" spans="1:14" x14ac:dyDescent="0.35">
      <c r="A492" s="126"/>
      <c r="B492" s="127"/>
      <c r="C492" s="126"/>
      <c r="D492" s="126"/>
      <c r="E492" s="128"/>
      <c r="F492" s="128"/>
      <c r="G492" s="128"/>
      <c r="H492" s="128"/>
      <c r="I492" s="128"/>
      <c r="J492" s="126"/>
      <c r="K492" s="126"/>
      <c r="L492" s="126"/>
      <c r="M492" s="125"/>
      <c r="N492" s="126"/>
    </row>
    <row r="493" spans="1:14" x14ac:dyDescent="0.35">
      <c r="A493" s="126"/>
      <c r="B493" s="127"/>
      <c r="C493" s="126"/>
      <c r="D493" s="126"/>
      <c r="E493" s="128"/>
      <c r="F493" s="128"/>
      <c r="G493" s="128"/>
      <c r="H493" s="128"/>
      <c r="I493" s="128"/>
      <c r="J493" s="126"/>
      <c r="K493" s="126"/>
      <c r="L493" s="126"/>
      <c r="M493" s="125"/>
      <c r="N493" s="126"/>
    </row>
    <row r="494" spans="1:14" x14ac:dyDescent="0.35">
      <c r="A494" s="126"/>
      <c r="B494" s="127"/>
      <c r="C494" s="126"/>
      <c r="D494" s="126"/>
      <c r="E494" s="128"/>
      <c r="F494" s="128"/>
      <c r="G494" s="128"/>
      <c r="H494" s="128"/>
      <c r="I494" s="128"/>
      <c r="J494" s="126"/>
      <c r="K494" s="126"/>
      <c r="L494" s="126"/>
      <c r="M494" s="125"/>
      <c r="N494" s="126"/>
    </row>
    <row r="495" spans="1:14" x14ac:dyDescent="0.35">
      <c r="A495" s="126"/>
      <c r="B495" s="127"/>
      <c r="C495" s="126"/>
      <c r="D495" s="126"/>
      <c r="E495" s="128"/>
      <c r="F495" s="128"/>
      <c r="G495" s="128"/>
      <c r="H495" s="128"/>
      <c r="I495" s="128"/>
      <c r="J495" s="126"/>
      <c r="K495" s="126"/>
      <c r="L495" s="126"/>
      <c r="M495" s="125"/>
      <c r="N495" s="126"/>
    </row>
    <row r="496" spans="1:14" x14ac:dyDescent="0.35">
      <c r="A496" s="126"/>
      <c r="B496" s="127"/>
      <c r="C496" s="126"/>
      <c r="D496" s="126"/>
      <c r="E496" s="128"/>
      <c r="F496" s="128"/>
      <c r="G496" s="128"/>
      <c r="H496" s="128"/>
      <c r="I496" s="128"/>
      <c r="J496" s="126"/>
      <c r="K496" s="126"/>
      <c r="L496" s="126"/>
      <c r="M496" s="125"/>
      <c r="N496" s="126"/>
    </row>
    <row r="497" spans="1:14" x14ac:dyDescent="0.35">
      <c r="A497" s="126"/>
      <c r="B497" s="127"/>
      <c r="C497" s="126"/>
      <c r="D497" s="126"/>
      <c r="E497" s="128"/>
      <c r="F497" s="128"/>
      <c r="G497" s="128"/>
      <c r="H497" s="128"/>
      <c r="I497" s="128"/>
      <c r="J497" s="126"/>
      <c r="K497" s="126"/>
      <c r="L497" s="126"/>
      <c r="M497" s="125"/>
      <c r="N497" s="126"/>
    </row>
    <row r="498" spans="1:14" x14ac:dyDescent="0.35">
      <c r="A498" s="126"/>
      <c r="B498" s="127"/>
      <c r="C498" s="126"/>
      <c r="D498" s="126"/>
      <c r="E498" s="128"/>
      <c r="F498" s="128"/>
      <c r="G498" s="128"/>
      <c r="H498" s="128"/>
      <c r="I498" s="128"/>
      <c r="J498" s="126"/>
      <c r="K498" s="126"/>
      <c r="L498" s="126"/>
      <c r="M498" s="125"/>
      <c r="N498" s="126"/>
    </row>
    <row r="499" spans="1:14" x14ac:dyDescent="0.35">
      <c r="A499" s="126"/>
      <c r="B499" s="127"/>
      <c r="C499" s="126"/>
      <c r="D499" s="126"/>
      <c r="E499" s="128"/>
      <c r="F499" s="128"/>
      <c r="G499" s="128"/>
      <c r="H499" s="128"/>
      <c r="I499" s="128"/>
      <c r="J499" s="126"/>
      <c r="K499" s="126"/>
      <c r="L499" s="126"/>
      <c r="M499" s="125"/>
      <c r="N499" s="126"/>
    </row>
    <row r="500" spans="1:14" x14ac:dyDescent="0.35">
      <c r="A500" s="126"/>
      <c r="B500" s="127"/>
      <c r="C500" s="126"/>
      <c r="D500" s="126"/>
      <c r="E500" s="128"/>
      <c r="F500" s="128"/>
      <c r="G500" s="128"/>
      <c r="H500" s="128"/>
      <c r="I500" s="128"/>
      <c r="J500" s="126"/>
      <c r="K500" s="126"/>
      <c r="L500" s="126"/>
      <c r="M500" s="125"/>
      <c r="N500" s="126"/>
    </row>
    <row r="501" spans="1:14" x14ac:dyDescent="0.35">
      <c r="A501" s="126"/>
      <c r="B501" s="127"/>
      <c r="C501" s="126"/>
      <c r="D501" s="126"/>
      <c r="E501" s="128"/>
      <c r="F501" s="128"/>
      <c r="G501" s="128"/>
      <c r="H501" s="128"/>
      <c r="I501" s="128"/>
      <c r="J501" s="126"/>
      <c r="K501" s="126"/>
      <c r="L501" s="126"/>
      <c r="M501" s="125"/>
      <c r="N501" s="126"/>
    </row>
    <row r="502" spans="1:14" x14ac:dyDescent="0.35">
      <c r="A502" s="126"/>
      <c r="B502" s="127"/>
      <c r="C502" s="126"/>
      <c r="D502" s="126"/>
      <c r="E502" s="128"/>
      <c r="F502" s="128"/>
      <c r="G502" s="128"/>
      <c r="H502" s="128"/>
      <c r="I502" s="128"/>
      <c r="J502" s="126"/>
      <c r="K502" s="126"/>
      <c r="L502" s="126"/>
      <c r="M502" s="125"/>
      <c r="N502" s="126"/>
    </row>
    <row r="503" spans="1:14" x14ac:dyDescent="0.35">
      <c r="A503" s="126"/>
      <c r="B503" s="127"/>
      <c r="C503" s="126"/>
      <c r="D503" s="126"/>
      <c r="E503" s="128"/>
      <c r="F503" s="128"/>
      <c r="G503" s="128"/>
      <c r="H503" s="128"/>
      <c r="I503" s="128"/>
      <c r="J503" s="126"/>
      <c r="K503" s="126"/>
      <c r="L503" s="126"/>
      <c r="M503" s="125"/>
      <c r="N503" s="126"/>
    </row>
    <row r="504" spans="1:14" x14ac:dyDescent="0.35">
      <c r="A504" s="126"/>
      <c r="B504" s="127"/>
      <c r="C504" s="126"/>
      <c r="D504" s="126"/>
      <c r="E504" s="128"/>
      <c r="F504" s="128"/>
      <c r="G504" s="128"/>
      <c r="H504" s="128"/>
      <c r="I504" s="128"/>
      <c r="J504" s="126"/>
      <c r="K504" s="126"/>
      <c r="L504" s="126"/>
      <c r="M504" s="125"/>
      <c r="N504" s="126"/>
    </row>
    <row r="505" spans="1:14" x14ac:dyDescent="0.35">
      <c r="A505" s="126"/>
      <c r="B505" s="127"/>
      <c r="C505" s="126"/>
      <c r="D505" s="126"/>
      <c r="E505" s="128"/>
      <c r="F505" s="128"/>
      <c r="G505" s="128"/>
      <c r="H505" s="128"/>
      <c r="I505" s="128"/>
      <c r="J505" s="126"/>
      <c r="K505" s="126"/>
      <c r="L505" s="126"/>
      <c r="M505" s="125"/>
      <c r="N505" s="126"/>
    </row>
    <row r="506" spans="1:14" x14ac:dyDescent="0.35">
      <c r="A506" s="126"/>
      <c r="B506" s="127"/>
      <c r="C506" s="126"/>
      <c r="D506" s="126"/>
      <c r="E506" s="128"/>
      <c r="F506" s="128"/>
      <c r="G506" s="128"/>
      <c r="H506" s="128"/>
      <c r="I506" s="128"/>
      <c r="J506" s="126"/>
      <c r="K506" s="126"/>
      <c r="L506" s="126"/>
      <c r="M506" s="125"/>
      <c r="N506" s="126"/>
    </row>
    <row r="507" spans="1:14" x14ac:dyDescent="0.35">
      <c r="A507" s="126"/>
      <c r="B507" s="127"/>
      <c r="C507" s="126"/>
      <c r="D507" s="126"/>
      <c r="E507" s="128"/>
      <c r="F507" s="128"/>
      <c r="G507" s="128"/>
      <c r="H507" s="128"/>
      <c r="I507" s="128"/>
      <c r="J507" s="126"/>
      <c r="K507" s="126"/>
      <c r="L507" s="126"/>
      <c r="M507" s="125"/>
      <c r="N507" s="126"/>
    </row>
    <row r="508" spans="1:14" x14ac:dyDescent="0.35">
      <c r="A508" s="126"/>
      <c r="B508" s="127"/>
      <c r="C508" s="126"/>
      <c r="D508" s="126"/>
      <c r="E508" s="128"/>
      <c r="F508" s="128"/>
      <c r="G508" s="128"/>
      <c r="H508" s="128"/>
      <c r="I508" s="128"/>
      <c r="J508" s="126"/>
      <c r="K508" s="126"/>
      <c r="L508" s="126"/>
      <c r="M508" s="125"/>
      <c r="N508" s="126"/>
    </row>
    <row r="509" spans="1:14" x14ac:dyDescent="0.35">
      <c r="A509" s="126"/>
      <c r="B509" s="127"/>
      <c r="C509" s="126"/>
      <c r="D509" s="126"/>
      <c r="E509" s="128"/>
      <c r="F509" s="128"/>
      <c r="G509" s="128"/>
      <c r="H509" s="128"/>
      <c r="I509" s="128"/>
      <c r="J509" s="126"/>
      <c r="K509" s="126"/>
      <c r="L509" s="126"/>
      <c r="M509" s="125"/>
      <c r="N509" s="126"/>
    </row>
    <row r="510" spans="1:14" x14ac:dyDescent="0.35">
      <c r="A510" s="126"/>
      <c r="B510" s="127"/>
      <c r="C510" s="126"/>
      <c r="D510" s="126"/>
      <c r="E510" s="128"/>
      <c r="F510" s="128"/>
      <c r="G510" s="128"/>
      <c r="H510" s="128"/>
      <c r="I510" s="128"/>
      <c r="J510" s="126"/>
      <c r="K510" s="126"/>
      <c r="L510" s="126"/>
      <c r="M510" s="125"/>
      <c r="N510" s="126"/>
    </row>
    <row r="511" spans="1:14" x14ac:dyDescent="0.35">
      <c r="A511" s="126"/>
      <c r="B511" s="127"/>
      <c r="C511" s="126"/>
      <c r="D511" s="126"/>
      <c r="E511" s="128"/>
      <c r="F511" s="128"/>
      <c r="G511" s="128"/>
      <c r="H511" s="128"/>
      <c r="I511" s="128"/>
      <c r="J511" s="126"/>
      <c r="K511" s="126"/>
      <c r="L511" s="126"/>
      <c r="M511" s="125"/>
      <c r="N511" s="126"/>
    </row>
    <row r="512" spans="1:14" x14ac:dyDescent="0.35">
      <c r="A512" s="126"/>
      <c r="B512" s="127"/>
      <c r="C512" s="126"/>
      <c r="D512" s="126"/>
      <c r="E512" s="128"/>
      <c r="F512" s="128"/>
      <c r="G512" s="128"/>
      <c r="H512" s="128"/>
      <c r="I512" s="128"/>
      <c r="J512" s="126"/>
      <c r="K512" s="126"/>
      <c r="L512" s="126"/>
      <c r="M512" s="125"/>
      <c r="N512" s="126"/>
    </row>
    <row r="513" spans="1:14" x14ac:dyDescent="0.35">
      <c r="A513" s="126"/>
      <c r="B513" s="127"/>
      <c r="C513" s="126"/>
      <c r="D513" s="126"/>
      <c r="E513" s="128"/>
      <c r="F513" s="128"/>
      <c r="G513" s="128"/>
      <c r="H513" s="128"/>
      <c r="I513" s="128"/>
      <c r="J513" s="126"/>
      <c r="K513" s="126"/>
      <c r="L513" s="126"/>
      <c r="M513" s="125"/>
      <c r="N513" s="126"/>
    </row>
    <row r="514" spans="1:14" x14ac:dyDescent="0.35">
      <c r="A514" s="126"/>
      <c r="B514" s="127"/>
      <c r="C514" s="126"/>
      <c r="D514" s="126"/>
      <c r="E514" s="128"/>
      <c r="F514" s="128"/>
      <c r="G514" s="128"/>
      <c r="H514" s="128"/>
      <c r="I514" s="128"/>
      <c r="J514" s="126"/>
      <c r="K514" s="126"/>
      <c r="L514" s="126"/>
      <c r="M514" s="125"/>
      <c r="N514" s="126"/>
    </row>
    <row r="515" spans="1:14" x14ac:dyDescent="0.35">
      <c r="A515" s="126"/>
      <c r="B515" s="127"/>
      <c r="C515" s="126"/>
      <c r="D515" s="126"/>
      <c r="E515" s="128"/>
      <c r="F515" s="128"/>
      <c r="G515" s="128"/>
      <c r="H515" s="128"/>
      <c r="I515" s="128"/>
      <c r="J515" s="126"/>
      <c r="K515" s="126"/>
      <c r="L515" s="126"/>
      <c r="M515" s="125"/>
      <c r="N515" s="126"/>
    </row>
    <row r="516" spans="1:14" x14ac:dyDescent="0.35">
      <c r="A516" s="126"/>
      <c r="B516" s="127"/>
      <c r="C516" s="126"/>
      <c r="D516" s="126"/>
      <c r="E516" s="128"/>
      <c r="F516" s="128"/>
      <c r="G516" s="128"/>
      <c r="H516" s="128"/>
      <c r="I516" s="128"/>
      <c r="J516" s="126"/>
      <c r="K516" s="126"/>
      <c r="L516" s="126"/>
      <c r="M516" s="125"/>
      <c r="N516" s="126"/>
    </row>
    <row r="517" spans="1:14" x14ac:dyDescent="0.35">
      <c r="A517" s="126"/>
      <c r="B517" s="127"/>
      <c r="C517" s="126"/>
      <c r="D517" s="126"/>
      <c r="E517" s="128"/>
      <c r="F517" s="128"/>
      <c r="G517" s="128"/>
      <c r="H517" s="128"/>
      <c r="I517" s="128"/>
      <c r="J517" s="126"/>
      <c r="K517" s="126"/>
      <c r="L517" s="126"/>
      <c r="M517" s="125"/>
      <c r="N517" s="126"/>
    </row>
    <row r="518" spans="1:14" x14ac:dyDescent="0.35">
      <c r="A518" s="126"/>
      <c r="B518" s="127"/>
      <c r="C518" s="126"/>
      <c r="D518" s="126"/>
      <c r="E518" s="128"/>
      <c r="F518" s="128"/>
      <c r="G518" s="128"/>
      <c r="H518" s="128"/>
      <c r="I518" s="128"/>
      <c r="J518" s="126"/>
      <c r="K518" s="126"/>
      <c r="L518" s="126"/>
      <c r="M518" s="125"/>
      <c r="N518" s="126"/>
    </row>
    <row r="519" spans="1:14" x14ac:dyDescent="0.35">
      <c r="A519" s="126"/>
      <c r="B519" s="127"/>
      <c r="C519" s="126"/>
      <c r="D519" s="126"/>
      <c r="E519" s="128"/>
      <c r="F519" s="128"/>
      <c r="G519" s="128"/>
      <c r="H519" s="128"/>
      <c r="I519" s="128"/>
      <c r="J519" s="126"/>
      <c r="K519" s="126"/>
      <c r="L519" s="126"/>
      <c r="M519" s="125"/>
      <c r="N519" s="126"/>
    </row>
    <row r="520" spans="1:14" x14ac:dyDescent="0.35">
      <c r="A520" s="126"/>
      <c r="B520" s="127"/>
      <c r="C520" s="126"/>
      <c r="D520" s="126"/>
      <c r="E520" s="128"/>
      <c r="F520" s="128"/>
      <c r="G520" s="128"/>
      <c r="H520" s="128"/>
      <c r="I520" s="128"/>
      <c r="J520" s="126"/>
      <c r="K520" s="126"/>
      <c r="L520" s="126"/>
      <c r="M520" s="125"/>
      <c r="N520" s="126"/>
    </row>
    <row r="521" spans="1:14" x14ac:dyDescent="0.35">
      <c r="A521" s="126"/>
      <c r="B521" s="127"/>
      <c r="C521" s="126"/>
      <c r="D521" s="126"/>
      <c r="E521" s="128"/>
      <c r="F521" s="128"/>
      <c r="G521" s="128"/>
      <c r="H521" s="128"/>
      <c r="I521" s="128"/>
      <c r="J521" s="126"/>
      <c r="K521" s="126"/>
      <c r="L521" s="126"/>
      <c r="M521" s="125"/>
      <c r="N521" s="126"/>
    </row>
    <row r="522" spans="1:14" x14ac:dyDescent="0.35">
      <c r="A522" s="126"/>
      <c r="B522" s="127"/>
      <c r="C522" s="126"/>
      <c r="D522" s="126"/>
      <c r="E522" s="128"/>
      <c r="F522" s="128"/>
      <c r="G522" s="128"/>
      <c r="H522" s="128"/>
      <c r="I522" s="128"/>
      <c r="J522" s="126"/>
      <c r="K522" s="126"/>
      <c r="L522" s="126"/>
      <c r="M522" s="125"/>
      <c r="N522" s="126"/>
    </row>
    <row r="523" spans="1:14" x14ac:dyDescent="0.35">
      <c r="A523" s="126"/>
      <c r="B523" s="127"/>
      <c r="C523" s="126"/>
      <c r="D523" s="126"/>
      <c r="E523" s="128"/>
      <c r="F523" s="128"/>
      <c r="G523" s="128"/>
      <c r="H523" s="128"/>
      <c r="I523" s="128"/>
      <c r="J523" s="126"/>
      <c r="K523" s="126"/>
      <c r="L523" s="126"/>
      <c r="M523" s="125"/>
      <c r="N523" s="126"/>
    </row>
    <row r="524" spans="1:14" x14ac:dyDescent="0.35">
      <c r="A524" s="126"/>
      <c r="B524" s="127"/>
      <c r="C524" s="126"/>
      <c r="D524" s="126"/>
      <c r="E524" s="128"/>
      <c r="F524" s="128"/>
      <c r="G524" s="128"/>
      <c r="H524" s="128"/>
      <c r="I524" s="128"/>
      <c r="J524" s="126"/>
      <c r="K524" s="126"/>
      <c r="L524" s="126"/>
      <c r="M524" s="125"/>
      <c r="N524" s="126"/>
    </row>
    <row r="525" spans="1:14" x14ac:dyDescent="0.35">
      <c r="A525" s="126"/>
      <c r="B525" s="127"/>
      <c r="C525" s="126"/>
      <c r="D525" s="126"/>
      <c r="E525" s="128"/>
      <c r="F525" s="128"/>
      <c r="G525" s="128"/>
      <c r="H525" s="128"/>
      <c r="I525" s="128"/>
      <c r="J525" s="126"/>
      <c r="K525" s="126"/>
      <c r="L525" s="126"/>
      <c r="M525" s="125"/>
      <c r="N525" s="126"/>
    </row>
    <row r="526" spans="1:14" x14ac:dyDescent="0.35">
      <c r="A526" s="126"/>
      <c r="B526" s="127"/>
      <c r="C526" s="126"/>
      <c r="D526" s="126"/>
      <c r="E526" s="128"/>
      <c r="F526" s="128"/>
      <c r="G526" s="128"/>
      <c r="H526" s="128"/>
      <c r="I526" s="128"/>
      <c r="J526" s="126"/>
      <c r="K526" s="126"/>
      <c r="L526" s="126"/>
      <c r="M526" s="125"/>
      <c r="N526" s="126"/>
    </row>
    <row r="527" spans="1:14" x14ac:dyDescent="0.35">
      <c r="A527" s="126"/>
      <c r="B527" s="127"/>
      <c r="C527" s="126"/>
      <c r="D527" s="126"/>
      <c r="E527" s="128"/>
      <c r="F527" s="128"/>
      <c r="G527" s="128"/>
      <c r="H527" s="128"/>
      <c r="I527" s="128"/>
      <c r="J527" s="126"/>
      <c r="K527" s="126"/>
      <c r="L527" s="126"/>
      <c r="M527" s="125"/>
      <c r="N527" s="126"/>
    </row>
    <row r="528" spans="1:14" x14ac:dyDescent="0.35">
      <c r="A528" s="126"/>
      <c r="B528" s="127"/>
      <c r="C528" s="126"/>
      <c r="D528" s="126"/>
      <c r="E528" s="128"/>
      <c r="F528" s="128"/>
      <c r="G528" s="128"/>
      <c r="H528" s="128"/>
      <c r="I528" s="128"/>
      <c r="J528" s="126"/>
      <c r="K528" s="126"/>
      <c r="L528" s="126"/>
      <c r="M528" s="125"/>
      <c r="N528" s="126"/>
    </row>
    <row r="529" spans="1:14" x14ac:dyDescent="0.35">
      <c r="A529" s="126"/>
      <c r="B529" s="127"/>
      <c r="C529" s="126"/>
      <c r="D529" s="126"/>
      <c r="E529" s="128"/>
      <c r="F529" s="128"/>
      <c r="G529" s="128"/>
      <c r="H529" s="128"/>
      <c r="I529" s="128"/>
      <c r="J529" s="126"/>
      <c r="K529" s="126"/>
      <c r="L529" s="126"/>
      <c r="M529" s="125"/>
      <c r="N529" s="126"/>
    </row>
    <row r="530" spans="1:14" x14ac:dyDescent="0.35">
      <c r="A530" s="126"/>
      <c r="B530" s="127"/>
      <c r="C530" s="126"/>
      <c r="D530" s="126"/>
      <c r="E530" s="128"/>
      <c r="F530" s="128"/>
      <c r="G530" s="128"/>
      <c r="H530" s="128"/>
      <c r="I530" s="128"/>
      <c r="J530" s="126"/>
      <c r="K530" s="126"/>
      <c r="L530" s="126"/>
      <c r="M530" s="125"/>
      <c r="N530" s="126"/>
    </row>
    <row r="531" spans="1:14" x14ac:dyDescent="0.35">
      <c r="A531" s="126"/>
      <c r="B531" s="127"/>
      <c r="C531" s="126"/>
      <c r="D531" s="126"/>
      <c r="E531" s="128"/>
      <c r="F531" s="128"/>
      <c r="G531" s="128"/>
      <c r="H531" s="128"/>
      <c r="I531" s="128"/>
      <c r="J531" s="126"/>
      <c r="K531" s="126"/>
      <c r="L531" s="126"/>
      <c r="M531" s="125"/>
      <c r="N531" s="126"/>
    </row>
    <row r="532" spans="1:14" x14ac:dyDescent="0.35">
      <c r="A532" s="126"/>
      <c r="B532" s="127"/>
      <c r="C532" s="126"/>
      <c r="D532" s="126"/>
      <c r="E532" s="128"/>
      <c r="F532" s="128"/>
      <c r="G532" s="128"/>
      <c r="H532" s="128"/>
      <c r="I532" s="128"/>
      <c r="J532" s="126"/>
      <c r="K532" s="126"/>
      <c r="L532" s="126"/>
      <c r="M532" s="125"/>
      <c r="N532" s="126"/>
    </row>
    <row r="533" spans="1:14" x14ac:dyDescent="0.35">
      <c r="A533" s="126"/>
      <c r="B533" s="127"/>
      <c r="C533" s="126"/>
      <c r="D533" s="126"/>
      <c r="E533" s="128"/>
      <c r="F533" s="128"/>
      <c r="G533" s="128"/>
      <c r="H533" s="128"/>
      <c r="I533" s="128"/>
      <c r="J533" s="126"/>
      <c r="K533" s="126"/>
      <c r="L533" s="126"/>
      <c r="M533" s="125"/>
      <c r="N533" s="126"/>
    </row>
    <row r="534" spans="1:14" x14ac:dyDescent="0.35">
      <c r="A534" s="126"/>
      <c r="B534" s="127"/>
      <c r="C534" s="126"/>
      <c r="D534" s="126"/>
      <c r="E534" s="128"/>
      <c r="F534" s="128"/>
      <c r="G534" s="128"/>
      <c r="H534" s="128"/>
      <c r="I534" s="128"/>
      <c r="J534" s="126"/>
      <c r="K534" s="126"/>
      <c r="L534" s="126"/>
      <c r="M534" s="125"/>
      <c r="N534" s="126"/>
    </row>
    <row r="535" spans="1:14" x14ac:dyDescent="0.35">
      <c r="A535" s="126"/>
      <c r="B535" s="127"/>
      <c r="C535" s="126"/>
      <c r="D535" s="126"/>
      <c r="E535" s="128"/>
      <c r="F535" s="128"/>
      <c r="G535" s="128"/>
      <c r="H535" s="128"/>
      <c r="I535" s="128"/>
      <c r="J535" s="126"/>
      <c r="K535" s="126"/>
      <c r="L535" s="126"/>
      <c r="M535" s="125"/>
      <c r="N535" s="126"/>
    </row>
    <row r="536" spans="1:14" x14ac:dyDescent="0.35">
      <c r="A536" s="126"/>
      <c r="B536" s="127"/>
      <c r="C536" s="126"/>
      <c r="D536" s="126"/>
      <c r="E536" s="128"/>
      <c r="F536" s="128"/>
      <c r="G536" s="128"/>
      <c r="H536" s="128"/>
      <c r="I536" s="128"/>
      <c r="J536" s="126"/>
      <c r="K536" s="126"/>
      <c r="L536" s="126"/>
      <c r="M536" s="125"/>
      <c r="N536" s="126"/>
    </row>
    <row r="537" spans="1:14" x14ac:dyDescent="0.35">
      <c r="A537" s="126"/>
      <c r="B537" s="127"/>
      <c r="C537" s="126"/>
      <c r="D537" s="126"/>
      <c r="E537" s="128"/>
      <c r="F537" s="128"/>
      <c r="G537" s="128"/>
      <c r="H537" s="128"/>
      <c r="I537" s="128"/>
      <c r="J537" s="126"/>
      <c r="K537" s="126"/>
      <c r="L537" s="126"/>
      <c r="M537" s="125"/>
      <c r="N537" s="126"/>
    </row>
    <row r="538" spans="1:14" x14ac:dyDescent="0.35">
      <c r="A538" s="126"/>
      <c r="B538" s="127"/>
      <c r="C538" s="126"/>
      <c r="D538" s="126"/>
      <c r="E538" s="128"/>
      <c r="F538" s="128"/>
      <c r="G538" s="128"/>
      <c r="H538" s="128"/>
      <c r="I538" s="128"/>
      <c r="J538" s="126"/>
      <c r="K538" s="126"/>
      <c r="L538" s="126"/>
      <c r="M538" s="125"/>
      <c r="N538" s="126"/>
    </row>
    <row r="539" spans="1:14" x14ac:dyDescent="0.35">
      <c r="A539" s="126"/>
      <c r="B539" s="127"/>
      <c r="C539" s="126"/>
      <c r="D539" s="126"/>
      <c r="E539" s="128"/>
      <c r="F539" s="128"/>
      <c r="G539" s="128"/>
      <c r="H539" s="128"/>
      <c r="I539" s="128"/>
      <c r="J539" s="126"/>
      <c r="K539" s="126"/>
      <c r="L539" s="126"/>
      <c r="M539" s="125"/>
      <c r="N539" s="126"/>
    </row>
    <row r="540" spans="1:14" x14ac:dyDescent="0.35">
      <c r="A540" s="126"/>
      <c r="B540" s="127"/>
      <c r="C540" s="126"/>
      <c r="D540" s="126"/>
      <c r="E540" s="128"/>
      <c r="F540" s="128"/>
      <c r="G540" s="128"/>
      <c r="H540" s="128"/>
      <c r="I540" s="128"/>
      <c r="J540" s="126"/>
      <c r="K540" s="126"/>
      <c r="L540" s="126"/>
      <c r="M540" s="125"/>
      <c r="N540" s="126"/>
    </row>
    <row r="541" spans="1:14" x14ac:dyDescent="0.35">
      <c r="A541" s="126"/>
      <c r="B541" s="127"/>
      <c r="C541" s="126"/>
      <c r="D541" s="126"/>
      <c r="E541" s="128"/>
      <c r="F541" s="128"/>
      <c r="G541" s="128"/>
      <c r="H541" s="128"/>
      <c r="I541" s="128"/>
      <c r="J541" s="126"/>
      <c r="K541" s="126"/>
      <c r="L541" s="126"/>
      <c r="M541" s="125"/>
      <c r="N541" s="126"/>
    </row>
    <row r="542" spans="1:14" x14ac:dyDescent="0.35">
      <c r="A542" s="126"/>
      <c r="B542" s="127"/>
      <c r="C542" s="126"/>
      <c r="D542" s="126"/>
      <c r="E542" s="128"/>
      <c r="F542" s="128"/>
      <c r="G542" s="128"/>
      <c r="H542" s="128"/>
      <c r="I542" s="128"/>
      <c r="J542" s="126"/>
      <c r="K542" s="126"/>
      <c r="L542" s="126"/>
      <c r="M542" s="125"/>
      <c r="N542" s="126"/>
    </row>
    <row r="543" spans="1:14" x14ac:dyDescent="0.35">
      <c r="A543" s="126"/>
      <c r="B543" s="127"/>
      <c r="C543" s="126"/>
      <c r="D543" s="126"/>
      <c r="E543" s="128"/>
      <c r="F543" s="128"/>
      <c r="G543" s="128"/>
      <c r="H543" s="128"/>
      <c r="I543" s="128"/>
      <c r="J543" s="126"/>
      <c r="K543" s="126"/>
      <c r="L543" s="126"/>
      <c r="M543" s="125"/>
      <c r="N543" s="126"/>
    </row>
    <row r="544" spans="1:14" x14ac:dyDescent="0.35">
      <c r="A544" s="126"/>
      <c r="B544" s="127"/>
      <c r="C544" s="126"/>
      <c r="D544" s="126"/>
      <c r="E544" s="128"/>
      <c r="F544" s="128"/>
      <c r="G544" s="128"/>
      <c r="H544" s="128"/>
      <c r="I544" s="128"/>
      <c r="J544" s="126"/>
      <c r="K544" s="126"/>
      <c r="L544" s="126"/>
      <c r="M544" s="125"/>
      <c r="N544" s="126"/>
    </row>
    <row r="545" spans="1:14" x14ac:dyDescent="0.35">
      <c r="A545" s="126"/>
      <c r="B545" s="127"/>
      <c r="C545" s="126"/>
      <c r="D545" s="126"/>
      <c r="E545" s="128"/>
      <c r="F545" s="128"/>
      <c r="G545" s="128"/>
      <c r="H545" s="128"/>
      <c r="I545" s="128"/>
      <c r="J545" s="126"/>
      <c r="K545" s="126"/>
      <c r="L545" s="126"/>
      <c r="M545" s="125"/>
      <c r="N545" s="126"/>
    </row>
    <row r="546" spans="1:14" x14ac:dyDescent="0.35">
      <c r="A546" s="126"/>
      <c r="B546" s="127"/>
      <c r="C546" s="126"/>
      <c r="D546" s="126"/>
      <c r="E546" s="128"/>
      <c r="F546" s="128"/>
      <c r="G546" s="128"/>
      <c r="H546" s="128"/>
      <c r="I546" s="128"/>
      <c r="J546" s="126"/>
      <c r="K546" s="126"/>
      <c r="L546" s="126"/>
      <c r="M546" s="125"/>
      <c r="N546" s="126"/>
    </row>
    <row r="547" spans="1:14" x14ac:dyDescent="0.35">
      <c r="A547" s="126"/>
      <c r="B547" s="127"/>
      <c r="C547" s="126"/>
      <c r="D547" s="126"/>
      <c r="E547" s="128"/>
      <c r="F547" s="128"/>
      <c r="G547" s="128"/>
      <c r="H547" s="128"/>
      <c r="I547" s="128"/>
      <c r="J547" s="126"/>
      <c r="K547" s="126"/>
      <c r="L547" s="126"/>
      <c r="M547" s="125"/>
      <c r="N547" s="126"/>
    </row>
    <row r="548" spans="1:14" x14ac:dyDescent="0.35">
      <c r="A548" s="126"/>
      <c r="B548" s="127"/>
      <c r="C548" s="126"/>
      <c r="D548" s="126"/>
      <c r="E548" s="128"/>
      <c r="F548" s="128"/>
      <c r="G548" s="128"/>
      <c r="H548" s="128"/>
      <c r="I548" s="128"/>
      <c r="J548" s="126"/>
      <c r="K548" s="126"/>
      <c r="L548" s="126"/>
      <c r="M548" s="125"/>
      <c r="N548" s="126"/>
    </row>
    <row r="549" spans="1:14" x14ac:dyDescent="0.35">
      <c r="A549" s="126"/>
      <c r="B549" s="127"/>
      <c r="C549" s="126"/>
      <c r="D549" s="126"/>
      <c r="E549" s="128"/>
      <c r="F549" s="128"/>
      <c r="G549" s="128"/>
      <c r="H549" s="128"/>
      <c r="I549" s="128"/>
      <c r="J549" s="126"/>
      <c r="K549" s="126"/>
      <c r="L549" s="126"/>
      <c r="M549" s="125"/>
      <c r="N549" s="126"/>
    </row>
    <row r="550" spans="1:14" x14ac:dyDescent="0.35">
      <c r="A550" s="126"/>
      <c r="B550" s="127"/>
      <c r="C550" s="126"/>
      <c r="D550" s="126"/>
      <c r="E550" s="128"/>
      <c r="F550" s="128"/>
      <c r="G550" s="128"/>
      <c r="H550" s="128"/>
      <c r="I550" s="128"/>
      <c r="J550" s="126"/>
      <c r="K550" s="126"/>
      <c r="L550" s="126"/>
      <c r="M550" s="125"/>
      <c r="N550" s="126"/>
    </row>
    <row r="551" spans="1:14" x14ac:dyDescent="0.35">
      <c r="A551" s="126"/>
      <c r="B551" s="127"/>
      <c r="C551" s="126"/>
      <c r="D551" s="126"/>
      <c r="E551" s="128"/>
      <c r="F551" s="128"/>
      <c r="G551" s="128"/>
      <c r="H551" s="128"/>
      <c r="I551" s="128"/>
      <c r="J551" s="126"/>
      <c r="K551" s="126"/>
      <c r="L551" s="126"/>
      <c r="M551" s="125"/>
      <c r="N551" s="126"/>
    </row>
    <row r="552" spans="1:14" x14ac:dyDescent="0.35">
      <c r="A552" s="126"/>
      <c r="B552" s="127"/>
      <c r="C552" s="126"/>
      <c r="D552" s="126"/>
      <c r="E552" s="128"/>
      <c r="F552" s="128"/>
      <c r="G552" s="128"/>
      <c r="H552" s="128"/>
      <c r="I552" s="128"/>
      <c r="J552" s="126"/>
      <c r="K552" s="126"/>
      <c r="L552" s="126"/>
      <c r="M552" s="125"/>
      <c r="N552" s="126"/>
    </row>
    <row r="553" spans="1:14" x14ac:dyDescent="0.35">
      <c r="A553" s="126"/>
      <c r="B553" s="127"/>
      <c r="C553" s="126"/>
      <c r="D553" s="126"/>
      <c r="E553" s="128"/>
      <c r="F553" s="128"/>
      <c r="G553" s="128"/>
      <c r="H553" s="128"/>
      <c r="I553" s="128"/>
      <c r="J553" s="126"/>
      <c r="K553" s="126"/>
      <c r="L553" s="126"/>
      <c r="M553" s="125"/>
      <c r="N553" s="126"/>
    </row>
    <row r="554" spans="1:14" x14ac:dyDescent="0.35">
      <c r="A554" s="126"/>
      <c r="B554" s="127"/>
      <c r="C554" s="126"/>
      <c r="D554" s="126"/>
      <c r="E554" s="128"/>
      <c r="F554" s="128"/>
      <c r="G554" s="128"/>
      <c r="H554" s="128"/>
      <c r="I554" s="128"/>
      <c r="J554" s="126"/>
      <c r="K554" s="126"/>
      <c r="L554" s="126"/>
      <c r="M554" s="125"/>
      <c r="N554" s="126"/>
    </row>
    <row r="555" spans="1:14" x14ac:dyDescent="0.35">
      <c r="A555" s="126"/>
      <c r="B555" s="127"/>
      <c r="C555" s="126"/>
      <c r="D555" s="126"/>
      <c r="E555" s="128"/>
      <c r="F555" s="128"/>
      <c r="G555" s="128"/>
      <c r="H555" s="128"/>
      <c r="I555" s="128"/>
      <c r="J555" s="126"/>
      <c r="K555" s="126"/>
      <c r="L555" s="126"/>
      <c r="M555" s="125"/>
      <c r="N555" s="126"/>
    </row>
    <row r="556" spans="1:14" x14ac:dyDescent="0.35">
      <c r="A556" s="126"/>
      <c r="B556" s="127"/>
      <c r="C556" s="126"/>
      <c r="D556" s="126"/>
      <c r="E556" s="128"/>
      <c r="F556" s="128"/>
      <c r="G556" s="128"/>
      <c r="H556" s="128"/>
      <c r="I556" s="128"/>
      <c r="J556" s="126"/>
      <c r="K556" s="126"/>
      <c r="L556" s="126"/>
      <c r="M556" s="125"/>
      <c r="N556" s="126"/>
    </row>
    <row r="557" spans="1:14" x14ac:dyDescent="0.35">
      <c r="A557" s="126"/>
      <c r="B557" s="127"/>
      <c r="C557" s="126"/>
      <c r="D557" s="126"/>
      <c r="E557" s="128"/>
      <c r="F557" s="128"/>
      <c r="G557" s="128"/>
      <c r="H557" s="128"/>
      <c r="I557" s="128"/>
      <c r="J557" s="126"/>
      <c r="K557" s="126"/>
      <c r="L557" s="126"/>
      <c r="M557" s="125"/>
      <c r="N557" s="126"/>
    </row>
    <row r="558" spans="1:14" x14ac:dyDescent="0.35">
      <c r="A558" s="126"/>
      <c r="B558" s="127"/>
      <c r="C558" s="126"/>
      <c r="D558" s="126"/>
      <c r="E558" s="128"/>
      <c r="F558" s="128"/>
      <c r="G558" s="128"/>
      <c r="H558" s="128"/>
      <c r="I558" s="128"/>
      <c r="J558" s="126"/>
      <c r="K558" s="126"/>
      <c r="L558" s="126"/>
      <c r="M558" s="125"/>
      <c r="N558" s="126"/>
    </row>
    <row r="559" spans="1:14" x14ac:dyDescent="0.35">
      <c r="A559" s="126"/>
      <c r="B559" s="127"/>
      <c r="C559" s="126"/>
      <c r="D559" s="126"/>
      <c r="E559" s="128"/>
      <c r="F559" s="128"/>
      <c r="G559" s="128"/>
      <c r="H559" s="128"/>
      <c r="I559" s="128"/>
      <c r="J559" s="126"/>
      <c r="K559" s="126"/>
      <c r="L559" s="126"/>
      <c r="M559" s="125"/>
      <c r="N559" s="126"/>
    </row>
    <row r="560" spans="1:14" x14ac:dyDescent="0.35">
      <c r="A560" s="126"/>
      <c r="B560" s="127"/>
      <c r="C560" s="126"/>
      <c r="D560" s="126"/>
      <c r="E560" s="128"/>
      <c r="F560" s="128"/>
      <c r="G560" s="128"/>
      <c r="H560" s="128"/>
      <c r="I560" s="128"/>
      <c r="J560" s="126"/>
      <c r="K560" s="126"/>
      <c r="L560" s="126"/>
      <c r="M560" s="125"/>
      <c r="N560" s="126"/>
    </row>
    <row r="561" spans="1:14" x14ac:dyDescent="0.35">
      <c r="A561" s="126"/>
      <c r="B561" s="127"/>
      <c r="C561" s="126"/>
      <c r="D561" s="126"/>
      <c r="E561" s="128"/>
      <c r="F561" s="128"/>
      <c r="G561" s="128"/>
      <c r="H561" s="128"/>
      <c r="I561" s="128"/>
      <c r="J561" s="126"/>
      <c r="K561" s="126"/>
      <c r="L561" s="126"/>
      <c r="M561" s="125"/>
      <c r="N561" s="126"/>
    </row>
    <row r="562" spans="1:14" x14ac:dyDescent="0.35">
      <c r="A562" s="126"/>
      <c r="B562" s="127"/>
      <c r="C562" s="126"/>
      <c r="D562" s="126"/>
      <c r="E562" s="128"/>
      <c r="F562" s="128"/>
      <c r="G562" s="128"/>
      <c r="H562" s="128"/>
      <c r="I562" s="128"/>
      <c r="J562" s="126"/>
      <c r="K562" s="126"/>
      <c r="L562" s="126"/>
      <c r="M562" s="125"/>
      <c r="N562" s="126"/>
    </row>
    <row r="563" spans="1:14" x14ac:dyDescent="0.35">
      <c r="A563" s="126"/>
      <c r="B563" s="127"/>
      <c r="C563" s="126"/>
      <c r="D563" s="126"/>
      <c r="E563" s="128"/>
      <c r="F563" s="128"/>
      <c r="G563" s="128"/>
      <c r="H563" s="128"/>
      <c r="I563" s="128"/>
      <c r="J563" s="126"/>
      <c r="K563" s="126"/>
      <c r="L563" s="126"/>
      <c r="M563" s="125"/>
      <c r="N563" s="126"/>
    </row>
    <row r="564" spans="1:14" x14ac:dyDescent="0.35">
      <c r="A564" s="126"/>
      <c r="B564" s="127"/>
      <c r="C564" s="126"/>
      <c r="D564" s="126"/>
      <c r="E564" s="128"/>
      <c r="F564" s="128"/>
      <c r="G564" s="128"/>
      <c r="H564" s="128"/>
      <c r="I564" s="128"/>
      <c r="J564" s="126"/>
      <c r="K564" s="126"/>
      <c r="L564" s="126"/>
      <c r="M564" s="125"/>
      <c r="N564" s="126"/>
    </row>
    <row r="565" spans="1:14" x14ac:dyDescent="0.35">
      <c r="A565" s="126"/>
      <c r="B565" s="127"/>
      <c r="C565" s="126"/>
      <c r="D565" s="126"/>
      <c r="E565" s="128"/>
      <c r="F565" s="128"/>
      <c r="G565" s="128"/>
      <c r="H565" s="128"/>
      <c r="I565" s="128"/>
      <c r="J565" s="126"/>
      <c r="K565" s="126"/>
      <c r="L565" s="126"/>
      <c r="M565" s="125"/>
      <c r="N565" s="126"/>
    </row>
    <row r="566" spans="1:14" x14ac:dyDescent="0.35">
      <c r="A566" s="126"/>
      <c r="B566" s="127"/>
      <c r="C566" s="126"/>
      <c r="D566" s="126"/>
      <c r="E566" s="128"/>
      <c r="F566" s="128"/>
      <c r="G566" s="128"/>
      <c r="H566" s="128"/>
      <c r="I566" s="128"/>
      <c r="J566" s="126"/>
      <c r="K566" s="126"/>
      <c r="L566" s="126"/>
      <c r="M566" s="125"/>
      <c r="N566" s="126"/>
    </row>
    <row r="567" spans="1:14" x14ac:dyDescent="0.35">
      <c r="A567" s="126"/>
      <c r="B567" s="127"/>
      <c r="C567" s="126"/>
      <c r="D567" s="126"/>
      <c r="E567" s="128"/>
      <c r="F567" s="128"/>
      <c r="G567" s="128"/>
      <c r="H567" s="128"/>
      <c r="I567" s="128"/>
      <c r="J567" s="126"/>
      <c r="K567" s="126"/>
      <c r="L567" s="126"/>
      <c r="M567" s="125"/>
      <c r="N567" s="126"/>
    </row>
    <row r="568" spans="1:14" x14ac:dyDescent="0.35">
      <c r="A568" s="126"/>
      <c r="B568" s="127"/>
      <c r="C568" s="126"/>
      <c r="D568" s="126"/>
      <c r="E568" s="128"/>
      <c r="F568" s="128"/>
      <c r="G568" s="128"/>
      <c r="H568" s="128"/>
      <c r="I568" s="128"/>
      <c r="J568" s="126"/>
      <c r="K568" s="126"/>
      <c r="L568" s="126"/>
      <c r="M568" s="125"/>
      <c r="N568" s="126"/>
    </row>
    <row r="569" spans="1:14" x14ac:dyDescent="0.35">
      <c r="A569" s="126"/>
      <c r="B569" s="127"/>
      <c r="C569" s="126"/>
      <c r="D569" s="126"/>
      <c r="E569" s="128"/>
      <c r="F569" s="128"/>
      <c r="G569" s="128"/>
      <c r="H569" s="128"/>
      <c r="I569" s="128"/>
      <c r="J569" s="126"/>
      <c r="K569" s="126"/>
      <c r="L569" s="126"/>
      <c r="M569" s="125"/>
      <c r="N569" s="126"/>
    </row>
    <row r="570" spans="1:14" x14ac:dyDescent="0.35">
      <c r="A570" s="126"/>
      <c r="B570" s="127"/>
      <c r="C570" s="126"/>
      <c r="D570" s="126"/>
      <c r="E570" s="128"/>
      <c r="F570" s="128"/>
      <c r="G570" s="128"/>
      <c r="H570" s="128"/>
      <c r="I570" s="128"/>
      <c r="J570" s="126"/>
      <c r="K570" s="126"/>
      <c r="L570" s="126"/>
      <c r="M570" s="125"/>
      <c r="N570" s="126"/>
    </row>
    <row r="571" spans="1:14" x14ac:dyDescent="0.35">
      <c r="A571" s="126"/>
      <c r="B571" s="127"/>
      <c r="C571" s="126"/>
      <c r="D571" s="126"/>
      <c r="E571" s="128"/>
      <c r="F571" s="128"/>
      <c r="G571" s="128"/>
      <c r="H571" s="128"/>
      <c r="I571" s="128"/>
      <c r="J571" s="126"/>
      <c r="K571" s="126"/>
      <c r="L571" s="126"/>
      <c r="M571" s="125"/>
      <c r="N571" s="126"/>
    </row>
    <row r="572" spans="1:14" x14ac:dyDescent="0.35">
      <c r="A572" s="126"/>
      <c r="B572" s="127"/>
      <c r="C572" s="126"/>
      <c r="D572" s="126"/>
      <c r="E572" s="128"/>
      <c r="F572" s="128"/>
      <c r="G572" s="128"/>
      <c r="H572" s="128"/>
      <c r="I572" s="128"/>
      <c r="J572" s="126"/>
      <c r="K572" s="126"/>
      <c r="L572" s="126"/>
      <c r="M572" s="125"/>
      <c r="N572" s="126"/>
    </row>
    <row r="573" spans="1:14" x14ac:dyDescent="0.35">
      <c r="A573" s="126"/>
      <c r="B573" s="127"/>
      <c r="C573" s="126"/>
      <c r="D573" s="126"/>
      <c r="E573" s="128"/>
      <c r="F573" s="128"/>
      <c r="G573" s="128"/>
      <c r="H573" s="128"/>
      <c r="I573" s="128"/>
      <c r="J573" s="126"/>
      <c r="K573" s="126"/>
      <c r="L573" s="126"/>
      <c r="M573" s="125"/>
      <c r="N573" s="126"/>
    </row>
    <row r="574" spans="1:14" x14ac:dyDescent="0.35">
      <c r="A574" s="126"/>
      <c r="B574" s="127"/>
      <c r="C574" s="126"/>
      <c r="D574" s="126"/>
      <c r="E574" s="128"/>
      <c r="F574" s="128"/>
      <c r="G574" s="128"/>
      <c r="H574" s="128"/>
      <c r="I574" s="128"/>
      <c r="J574" s="126"/>
      <c r="K574" s="126"/>
      <c r="L574" s="126"/>
      <c r="M574" s="125"/>
      <c r="N574" s="126"/>
    </row>
    <row r="575" spans="1:14" x14ac:dyDescent="0.35">
      <c r="A575" s="126"/>
      <c r="B575" s="127"/>
      <c r="C575" s="126"/>
      <c r="D575" s="126"/>
      <c r="E575" s="128"/>
      <c r="F575" s="128"/>
      <c r="G575" s="128"/>
      <c r="H575" s="128"/>
      <c r="I575" s="128"/>
      <c r="J575" s="126"/>
      <c r="K575" s="126"/>
      <c r="L575" s="126"/>
      <c r="M575" s="125"/>
      <c r="N575" s="126"/>
    </row>
    <row r="576" spans="1:14" x14ac:dyDescent="0.35">
      <c r="A576" s="126"/>
      <c r="B576" s="127"/>
      <c r="C576" s="126"/>
      <c r="D576" s="126"/>
      <c r="E576" s="128"/>
      <c r="F576" s="128"/>
      <c r="G576" s="128"/>
      <c r="H576" s="128"/>
      <c r="I576" s="128"/>
      <c r="J576" s="126"/>
      <c r="K576" s="126"/>
      <c r="L576" s="126"/>
      <c r="M576" s="125"/>
      <c r="N576" s="126"/>
    </row>
    <row r="577" spans="1:14" x14ac:dyDescent="0.35">
      <c r="A577" s="126"/>
      <c r="B577" s="127"/>
      <c r="C577" s="126"/>
      <c r="D577" s="126"/>
      <c r="E577" s="128"/>
      <c r="F577" s="128"/>
      <c r="G577" s="128"/>
      <c r="H577" s="128"/>
      <c r="I577" s="128"/>
      <c r="J577" s="126"/>
      <c r="K577" s="126"/>
      <c r="L577" s="126"/>
      <c r="M577" s="125"/>
      <c r="N577" s="126"/>
    </row>
    <row r="578" spans="1:14" x14ac:dyDescent="0.35">
      <c r="A578" s="126"/>
      <c r="B578" s="127"/>
      <c r="C578" s="126"/>
      <c r="D578" s="126"/>
      <c r="E578" s="128"/>
      <c r="F578" s="128"/>
      <c r="G578" s="128"/>
      <c r="H578" s="128"/>
      <c r="I578" s="128"/>
      <c r="J578" s="126"/>
      <c r="K578" s="126"/>
      <c r="L578" s="126"/>
      <c r="M578" s="125"/>
      <c r="N578" s="126"/>
    </row>
    <row r="579" spans="1:14" x14ac:dyDescent="0.35">
      <c r="A579" s="126"/>
      <c r="B579" s="127"/>
      <c r="C579" s="126"/>
      <c r="D579" s="126"/>
      <c r="E579" s="128"/>
      <c r="F579" s="128"/>
      <c r="G579" s="128"/>
      <c r="H579" s="128"/>
      <c r="I579" s="128"/>
      <c r="J579" s="126"/>
      <c r="K579" s="126"/>
      <c r="L579" s="126"/>
      <c r="M579" s="125"/>
      <c r="N579" s="126"/>
    </row>
    <row r="580" spans="1:14" x14ac:dyDescent="0.35">
      <c r="A580" s="126"/>
      <c r="B580" s="127"/>
      <c r="C580" s="126"/>
      <c r="D580" s="126"/>
      <c r="E580" s="128"/>
      <c r="F580" s="128"/>
      <c r="G580" s="128"/>
      <c r="H580" s="128"/>
      <c r="I580" s="128"/>
      <c r="J580" s="126"/>
      <c r="K580" s="126"/>
      <c r="L580" s="126"/>
      <c r="M580" s="125"/>
      <c r="N580" s="126"/>
    </row>
    <row r="581" spans="1:14" x14ac:dyDescent="0.35">
      <c r="A581" s="126"/>
      <c r="B581" s="127"/>
      <c r="C581" s="126"/>
      <c r="D581" s="126"/>
      <c r="E581" s="128"/>
      <c r="F581" s="128"/>
      <c r="G581" s="128"/>
      <c r="H581" s="128"/>
      <c r="I581" s="128"/>
      <c r="J581" s="126"/>
      <c r="K581" s="126"/>
      <c r="L581" s="126"/>
      <c r="M581" s="125"/>
      <c r="N581" s="126"/>
    </row>
    <row r="582" spans="1:14" x14ac:dyDescent="0.35">
      <c r="A582" s="126"/>
      <c r="B582" s="127"/>
      <c r="C582" s="126"/>
      <c r="D582" s="126"/>
      <c r="E582" s="128"/>
      <c r="F582" s="128"/>
      <c r="G582" s="128"/>
      <c r="H582" s="128"/>
      <c r="I582" s="128"/>
      <c r="J582" s="126"/>
      <c r="K582" s="126"/>
      <c r="L582" s="126"/>
      <c r="M582" s="125"/>
      <c r="N582" s="126"/>
    </row>
    <row r="583" spans="1:14" x14ac:dyDescent="0.35">
      <c r="A583" s="126"/>
      <c r="B583" s="127"/>
      <c r="C583" s="126"/>
      <c r="D583" s="126"/>
      <c r="E583" s="128"/>
      <c r="F583" s="128"/>
      <c r="G583" s="128"/>
      <c r="H583" s="128"/>
      <c r="I583" s="128"/>
      <c r="J583" s="126"/>
      <c r="K583" s="126"/>
      <c r="L583" s="126"/>
      <c r="M583" s="125"/>
      <c r="N583" s="126"/>
    </row>
    <row r="584" spans="1:14" x14ac:dyDescent="0.35">
      <c r="A584" s="126"/>
      <c r="B584" s="127"/>
      <c r="C584" s="126"/>
      <c r="D584" s="126"/>
      <c r="E584" s="128"/>
      <c r="F584" s="128"/>
      <c r="G584" s="128"/>
      <c r="H584" s="128"/>
      <c r="I584" s="128"/>
      <c r="J584" s="126"/>
      <c r="K584" s="126"/>
      <c r="L584" s="126"/>
      <c r="M584" s="125"/>
      <c r="N584" s="126"/>
    </row>
    <row r="585" spans="1:14" x14ac:dyDescent="0.35">
      <c r="A585" s="126"/>
      <c r="B585" s="127"/>
      <c r="C585" s="126"/>
      <c r="D585" s="126"/>
      <c r="E585" s="128"/>
      <c r="F585" s="128"/>
      <c r="G585" s="128"/>
      <c r="H585" s="128"/>
      <c r="I585" s="128"/>
      <c r="J585" s="126"/>
      <c r="K585" s="126"/>
      <c r="L585" s="126"/>
      <c r="M585" s="125"/>
      <c r="N585" s="126"/>
    </row>
    <row r="586" spans="1:14" x14ac:dyDescent="0.35">
      <c r="A586" s="126"/>
      <c r="B586" s="127"/>
      <c r="C586" s="126"/>
      <c r="D586" s="126"/>
      <c r="E586" s="128"/>
      <c r="F586" s="128"/>
      <c r="G586" s="128"/>
      <c r="H586" s="128"/>
      <c r="I586" s="128"/>
      <c r="J586" s="126"/>
      <c r="K586" s="126"/>
      <c r="L586" s="126"/>
      <c r="M586" s="125"/>
      <c r="N586" s="126"/>
    </row>
    <row r="587" spans="1:14" x14ac:dyDescent="0.35">
      <c r="A587" s="126"/>
      <c r="B587" s="127"/>
      <c r="C587" s="126"/>
      <c r="D587" s="126"/>
      <c r="E587" s="128"/>
      <c r="F587" s="128"/>
      <c r="G587" s="128"/>
      <c r="H587" s="128"/>
      <c r="I587" s="128"/>
      <c r="J587" s="126"/>
      <c r="K587" s="126"/>
      <c r="L587" s="126"/>
      <c r="M587" s="125"/>
      <c r="N587" s="126"/>
    </row>
    <row r="588" spans="1:14" x14ac:dyDescent="0.35">
      <c r="A588" s="126"/>
      <c r="B588" s="127"/>
      <c r="C588" s="126"/>
      <c r="D588" s="126"/>
      <c r="E588" s="128"/>
      <c r="F588" s="128"/>
      <c r="G588" s="128"/>
      <c r="H588" s="128"/>
      <c r="I588" s="128"/>
      <c r="J588" s="126"/>
      <c r="K588" s="126"/>
      <c r="L588" s="126"/>
      <c r="M588" s="125"/>
      <c r="N588" s="126"/>
    </row>
    <row r="589" spans="1:14" x14ac:dyDescent="0.35">
      <c r="A589" s="126"/>
      <c r="B589" s="127"/>
      <c r="C589" s="126"/>
      <c r="D589" s="126"/>
      <c r="E589" s="128"/>
      <c r="F589" s="128"/>
      <c r="G589" s="128"/>
      <c r="H589" s="128"/>
      <c r="I589" s="128"/>
      <c r="J589" s="126"/>
      <c r="K589" s="126"/>
      <c r="L589" s="126"/>
      <c r="M589" s="125"/>
      <c r="N589" s="126"/>
    </row>
    <row r="590" spans="1:14" x14ac:dyDescent="0.35">
      <c r="A590" s="126"/>
      <c r="B590" s="127"/>
      <c r="C590" s="126"/>
      <c r="D590" s="126"/>
      <c r="E590" s="128"/>
      <c r="F590" s="128"/>
      <c r="G590" s="128"/>
      <c r="H590" s="128"/>
      <c r="I590" s="128"/>
      <c r="J590" s="126"/>
      <c r="K590" s="126"/>
      <c r="L590" s="126"/>
      <c r="M590" s="125"/>
      <c r="N590" s="126"/>
    </row>
    <row r="591" spans="1:14" x14ac:dyDescent="0.35">
      <c r="A591" s="126"/>
      <c r="B591" s="127"/>
      <c r="C591" s="126"/>
      <c r="D591" s="126"/>
      <c r="E591" s="128"/>
      <c r="F591" s="128"/>
      <c r="G591" s="128"/>
      <c r="H591" s="128"/>
      <c r="I591" s="128"/>
      <c r="J591" s="126"/>
      <c r="K591" s="126"/>
      <c r="L591" s="126"/>
      <c r="M591" s="125"/>
      <c r="N591" s="126"/>
    </row>
    <row r="592" spans="1:14" x14ac:dyDescent="0.35">
      <c r="A592" s="126"/>
      <c r="B592" s="127"/>
      <c r="C592" s="126"/>
      <c r="D592" s="126"/>
      <c r="E592" s="128"/>
      <c r="F592" s="128"/>
      <c r="G592" s="128"/>
      <c r="H592" s="128"/>
      <c r="I592" s="128"/>
      <c r="J592" s="126"/>
      <c r="K592" s="126"/>
      <c r="L592" s="126"/>
      <c r="M592" s="125"/>
      <c r="N592" s="126"/>
    </row>
    <row r="593" spans="1:14" x14ac:dyDescent="0.35">
      <c r="A593" s="126"/>
      <c r="B593" s="127"/>
      <c r="C593" s="126"/>
      <c r="D593" s="126"/>
      <c r="E593" s="128"/>
      <c r="F593" s="128"/>
      <c r="G593" s="128"/>
      <c r="H593" s="128"/>
      <c r="I593" s="128"/>
      <c r="J593" s="126"/>
      <c r="K593" s="126"/>
      <c r="L593" s="126"/>
      <c r="M593" s="125"/>
      <c r="N593" s="126"/>
    </row>
    <row r="594" spans="1:14" x14ac:dyDescent="0.35">
      <c r="A594" s="126"/>
      <c r="B594" s="127"/>
      <c r="C594" s="126"/>
      <c r="D594" s="126"/>
      <c r="E594" s="128"/>
      <c r="F594" s="128"/>
      <c r="G594" s="128"/>
      <c r="H594" s="128"/>
      <c r="I594" s="128"/>
      <c r="J594" s="126"/>
      <c r="K594" s="126"/>
      <c r="L594" s="126"/>
      <c r="M594" s="125"/>
      <c r="N594" s="126"/>
    </row>
    <row r="595" spans="1:14" x14ac:dyDescent="0.35">
      <c r="A595" s="126"/>
      <c r="B595" s="127"/>
      <c r="C595" s="126"/>
      <c r="D595" s="126"/>
      <c r="E595" s="128"/>
      <c r="F595" s="128"/>
      <c r="G595" s="128"/>
      <c r="H595" s="128"/>
      <c r="I595" s="128"/>
      <c r="J595" s="126"/>
      <c r="K595" s="126"/>
      <c r="L595" s="126"/>
      <c r="M595" s="125"/>
      <c r="N595" s="126"/>
    </row>
    <row r="596" spans="1:14" x14ac:dyDescent="0.35">
      <c r="A596" s="126"/>
      <c r="B596" s="127"/>
      <c r="C596" s="126"/>
      <c r="D596" s="126"/>
      <c r="E596" s="128"/>
      <c r="F596" s="128"/>
      <c r="G596" s="128"/>
      <c r="H596" s="128"/>
      <c r="I596" s="128"/>
      <c r="J596" s="126"/>
      <c r="K596" s="126"/>
      <c r="L596" s="126"/>
      <c r="M596" s="125"/>
      <c r="N596" s="126"/>
    </row>
    <row r="597" spans="1:14" x14ac:dyDescent="0.35">
      <c r="A597" s="126"/>
      <c r="B597" s="127"/>
      <c r="C597" s="126"/>
      <c r="D597" s="126"/>
      <c r="E597" s="128"/>
      <c r="F597" s="128"/>
      <c r="G597" s="128"/>
      <c r="H597" s="128"/>
      <c r="I597" s="128"/>
      <c r="J597" s="126"/>
      <c r="K597" s="126"/>
      <c r="L597" s="126"/>
      <c r="M597" s="125"/>
      <c r="N597" s="126"/>
    </row>
    <row r="598" spans="1:14" x14ac:dyDescent="0.35">
      <c r="A598" s="126"/>
      <c r="B598" s="127"/>
      <c r="C598" s="126"/>
      <c r="D598" s="126"/>
      <c r="E598" s="128"/>
      <c r="F598" s="128"/>
      <c r="G598" s="128"/>
      <c r="H598" s="128"/>
      <c r="I598" s="128"/>
      <c r="J598" s="126"/>
      <c r="K598" s="126"/>
      <c r="L598" s="126"/>
      <c r="M598" s="125"/>
      <c r="N598" s="126"/>
    </row>
    <row r="599" spans="1:14" x14ac:dyDescent="0.35">
      <c r="A599" s="126"/>
      <c r="B599" s="127"/>
      <c r="C599" s="126"/>
      <c r="D599" s="126"/>
      <c r="E599" s="128"/>
      <c r="F599" s="128"/>
      <c r="G599" s="128"/>
      <c r="H599" s="128"/>
      <c r="I599" s="128"/>
      <c r="J599" s="126"/>
      <c r="K599" s="126"/>
      <c r="L599" s="126"/>
      <c r="M599" s="125"/>
      <c r="N599" s="126"/>
    </row>
    <row r="600" spans="1:14" x14ac:dyDescent="0.35">
      <c r="A600" s="126"/>
      <c r="B600" s="127"/>
      <c r="C600" s="126"/>
      <c r="D600" s="126"/>
      <c r="E600" s="128"/>
      <c r="F600" s="128"/>
      <c r="G600" s="128"/>
      <c r="H600" s="128"/>
      <c r="I600" s="128"/>
      <c r="J600" s="126"/>
      <c r="K600" s="126"/>
      <c r="L600" s="126"/>
      <c r="M600" s="125"/>
      <c r="N600" s="126"/>
    </row>
    <row r="601" spans="1:14" x14ac:dyDescent="0.35">
      <c r="A601" s="126"/>
      <c r="B601" s="127"/>
      <c r="C601" s="126"/>
      <c r="D601" s="126"/>
      <c r="E601" s="128"/>
      <c r="F601" s="128"/>
      <c r="G601" s="128"/>
      <c r="H601" s="128"/>
      <c r="I601" s="128"/>
      <c r="J601" s="126"/>
      <c r="K601" s="126"/>
      <c r="L601" s="126"/>
      <c r="M601" s="125"/>
      <c r="N601" s="126"/>
    </row>
    <row r="602" spans="1:14" x14ac:dyDescent="0.35">
      <c r="A602" s="126"/>
      <c r="B602" s="127"/>
      <c r="C602" s="126"/>
      <c r="D602" s="126"/>
      <c r="E602" s="128"/>
      <c r="F602" s="128"/>
      <c r="G602" s="128"/>
      <c r="H602" s="128"/>
      <c r="I602" s="128"/>
      <c r="J602" s="126"/>
      <c r="K602" s="126"/>
      <c r="L602" s="126"/>
      <c r="M602" s="125"/>
      <c r="N602" s="126"/>
    </row>
    <row r="603" spans="1:14" x14ac:dyDescent="0.35">
      <c r="A603" s="126"/>
      <c r="B603" s="127"/>
      <c r="C603" s="126"/>
      <c r="D603" s="126"/>
      <c r="E603" s="128"/>
      <c r="F603" s="128"/>
      <c r="G603" s="128"/>
      <c r="H603" s="128"/>
      <c r="I603" s="128"/>
      <c r="J603" s="126"/>
      <c r="K603" s="126"/>
      <c r="L603" s="126"/>
      <c r="M603" s="125"/>
      <c r="N603" s="126"/>
    </row>
    <row r="604" spans="1:14" x14ac:dyDescent="0.35">
      <c r="A604" s="126"/>
      <c r="B604" s="127"/>
      <c r="C604" s="126"/>
      <c r="D604" s="126"/>
      <c r="E604" s="128"/>
      <c r="F604" s="128"/>
      <c r="G604" s="128"/>
      <c r="H604" s="128"/>
      <c r="I604" s="128"/>
      <c r="J604" s="126"/>
      <c r="K604" s="126"/>
      <c r="L604" s="126"/>
      <c r="M604" s="125"/>
      <c r="N604" s="126"/>
    </row>
    <row r="605" spans="1:14" x14ac:dyDescent="0.35">
      <c r="A605" s="126"/>
      <c r="B605" s="127"/>
      <c r="C605" s="126"/>
      <c r="D605" s="126"/>
      <c r="E605" s="128"/>
      <c r="F605" s="128"/>
      <c r="G605" s="128"/>
      <c r="H605" s="128"/>
      <c r="I605" s="128"/>
      <c r="J605" s="126"/>
      <c r="K605" s="126"/>
      <c r="L605" s="126"/>
      <c r="M605" s="125"/>
      <c r="N605" s="126"/>
    </row>
    <row r="606" spans="1:14" x14ac:dyDescent="0.35">
      <c r="A606" s="126"/>
      <c r="B606" s="127"/>
      <c r="C606" s="126"/>
      <c r="D606" s="126"/>
      <c r="E606" s="128"/>
      <c r="F606" s="128"/>
      <c r="G606" s="128"/>
      <c r="H606" s="128"/>
      <c r="I606" s="128"/>
      <c r="J606" s="126"/>
      <c r="K606" s="126"/>
      <c r="L606" s="126"/>
      <c r="M606" s="125"/>
      <c r="N606" s="126"/>
    </row>
    <row r="607" spans="1:14" x14ac:dyDescent="0.35">
      <c r="A607" s="126"/>
      <c r="B607" s="127"/>
      <c r="C607" s="126"/>
      <c r="D607" s="126"/>
      <c r="E607" s="128"/>
      <c r="F607" s="128"/>
      <c r="G607" s="128"/>
      <c r="H607" s="128"/>
      <c r="I607" s="128"/>
      <c r="J607" s="126"/>
      <c r="K607" s="126"/>
      <c r="L607" s="126"/>
      <c r="M607" s="125"/>
      <c r="N607" s="126"/>
    </row>
    <row r="608" spans="1:14" x14ac:dyDescent="0.35">
      <c r="A608" s="126"/>
      <c r="B608" s="127"/>
      <c r="C608" s="126"/>
      <c r="D608" s="126"/>
      <c r="E608" s="128"/>
      <c r="F608" s="128"/>
      <c r="G608" s="128"/>
      <c r="H608" s="128"/>
      <c r="I608" s="128"/>
      <c r="J608" s="126"/>
      <c r="K608" s="126"/>
      <c r="L608" s="126"/>
      <c r="M608" s="125"/>
      <c r="N608" s="126"/>
    </row>
    <row r="609" spans="1:14" x14ac:dyDescent="0.35">
      <c r="A609" s="126"/>
      <c r="B609" s="127"/>
      <c r="C609" s="126"/>
      <c r="D609" s="126"/>
      <c r="E609" s="128"/>
      <c r="F609" s="128"/>
      <c r="G609" s="128"/>
      <c r="H609" s="128"/>
      <c r="I609" s="128"/>
      <c r="J609" s="126"/>
      <c r="K609" s="126"/>
      <c r="L609" s="126"/>
      <c r="M609" s="125"/>
      <c r="N609" s="126"/>
    </row>
    <row r="610" spans="1:14" x14ac:dyDescent="0.35">
      <c r="A610" s="126"/>
      <c r="B610" s="127"/>
      <c r="C610" s="126"/>
      <c r="D610" s="126"/>
      <c r="E610" s="128"/>
      <c r="F610" s="128"/>
      <c r="G610" s="128"/>
      <c r="H610" s="128"/>
      <c r="I610" s="128"/>
      <c r="J610" s="126"/>
      <c r="K610" s="126"/>
      <c r="L610" s="126"/>
      <c r="M610" s="125"/>
      <c r="N610" s="126"/>
    </row>
    <row r="611" spans="1:14" x14ac:dyDescent="0.35">
      <c r="A611" s="126"/>
      <c r="B611" s="127"/>
      <c r="C611" s="126"/>
      <c r="D611" s="126"/>
      <c r="E611" s="128"/>
      <c r="F611" s="128"/>
      <c r="G611" s="128"/>
      <c r="H611" s="128"/>
      <c r="I611" s="128"/>
      <c r="J611" s="126"/>
      <c r="K611" s="126"/>
      <c r="L611" s="126"/>
      <c r="M611" s="125"/>
      <c r="N611" s="126"/>
    </row>
    <row r="612" spans="1:14" x14ac:dyDescent="0.35">
      <c r="A612" s="126"/>
      <c r="B612" s="127"/>
      <c r="C612" s="126"/>
      <c r="D612" s="126"/>
      <c r="E612" s="128"/>
      <c r="F612" s="128"/>
      <c r="G612" s="128"/>
      <c r="H612" s="128"/>
      <c r="I612" s="128"/>
      <c r="J612" s="126"/>
      <c r="K612" s="126"/>
      <c r="L612" s="126"/>
      <c r="M612" s="125"/>
      <c r="N612" s="126"/>
    </row>
    <row r="613" spans="1:14" x14ac:dyDescent="0.35">
      <c r="A613" s="126"/>
      <c r="B613" s="127"/>
      <c r="C613" s="126"/>
      <c r="D613" s="126"/>
      <c r="E613" s="128"/>
      <c r="F613" s="128"/>
      <c r="G613" s="128"/>
      <c r="H613" s="128"/>
      <c r="I613" s="128"/>
      <c r="J613" s="126"/>
      <c r="K613" s="126"/>
      <c r="L613" s="126"/>
      <c r="M613" s="125"/>
      <c r="N613" s="126"/>
    </row>
    <row r="614" spans="1:14" x14ac:dyDescent="0.35">
      <c r="A614" s="126"/>
      <c r="B614" s="127"/>
      <c r="C614" s="126"/>
      <c r="D614" s="126"/>
      <c r="E614" s="128"/>
      <c r="F614" s="128"/>
      <c r="G614" s="128"/>
      <c r="H614" s="128"/>
      <c r="I614" s="128"/>
      <c r="J614" s="126"/>
      <c r="K614" s="126"/>
      <c r="L614" s="126"/>
      <c r="M614" s="125"/>
      <c r="N614" s="126"/>
    </row>
    <row r="615" spans="1:14" x14ac:dyDescent="0.35">
      <c r="A615" s="126"/>
      <c r="B615" s="127"/>
      <c r="C615" s="126"/>
      <c r="D615" s="126"/>
      <c r="E615" s="128"/>
      <c r="F615" s="128"/>
      <c r="G615" s="128"/>
      <c r="H615" s="128"/>
      <c r="I615" s="128"/>
      <c r="J615" s="126"/>
      <c r="K615" s="126"/>
      <c r="L615" s="126"/>
      <c r="M615" s="125"/>
      <c r="N615" s="126"/>
    </row>
    <row r="616" spans="1:14" x14ac:dyDescent="0.35">
      <c r="A616" s="126"/>
      <c r="B616" s="127"/>
      <c r="C616" s="126"/>
      <c r="D616" s="126"/>
      <c r="E616" s="128"/>
      <c r="F616" s="128"/>
      <c r="G616" s="128"/>
      <c r="H616" s="128"/>
      <c r="I616" s="128"/>
      <c r="J616" s="126"/>
      <c r="K616" s="126"/>
      <c r="L616" s="126"/>
      <c r="M616" s="125"/>
      <c r="N616" s="126"/>
    </row>
    <row r="617" spans="1:14" x14ac:dyDescent="0.35">
      <c r="A617" s="126"/>
      <c r="B617" s="127"/>
      <c r="C617" s="126"/>
      <c r="D617" s="126"/>
      <c r="E617" s="128"/>
      <c r="F617" s="128"/>
      <c r="G617" s="128"/>
      <c r="H617" s="128"/>
      <c r="I617" s="128"/>
      <c r="J617" s="126"/>
      <c r="K617" s="126"/>
      <c r="L617" s="126"/>
      <c r="M617" s="125"/>
      <c r="N617" s="126"/>
    </row>
    <row r="618" spans="1:14" x14ac:dyDescent="0.35">
      <c r="A618" s="126"/>
      <c r="B618" s="127"/>
      <c r="C618" s="126"/>
      <c r="D618" s="126"/>
      <c r="E618" s="128"/>
      <c r="F618" s="128"/>
      <c r="G618" s="128"/>
      <c r="H618" s="128"/>
      <c r="I618" s="128"/>
      <c r="J618" s="126"/>
      <c r="K618" s="126"/>
      <c r="L618" s="126"/>
      <c r="M618" s="125"/>
      <c r="N618" s="126"/>
    </row>
    <row r="619" spans="1:14" x14ac:dyDescent="0.35">
      <c r="A619" s="126"/>
      <c r="B619" s="127"/>
      <c r="C619" s="126"/>
      <c r="D619" s="126"/>
      <c r="E619" s="128"/>
      <c r="F619" s="128"/>
      <c r="G619" s="128"/>
      <c r="H619" s="128"/>
      <c r="I619" s="128"/>
      <c r="J619" s="126"/>
      <c r="K619" s="126"/>
      <c r="L619" s="126"/>
      <c r="M619" s="125"/>
      <c r="N619" s="126"/>
    </row>
    <row r="620" spans="1:14" x14ac:dyDescent="0.35">
      <c r="A620" s="126"/>
      <c r="B620" s="127"/>
      <c r="C620" s="126"/>
      <c r="D620" s="126"/>
      <c r="E620" s="128"/>
      <c r="F620" s="128"/>
      <c r="G620" s="128"/>
      <c r="H620" s="128"/>
      <c r="I620" s="128"/>
      <c r="J620" s="126"/>
      <c r="K620" s="126"/>
      <c r="L620" s="126"/>
      <c r="M620" s="125"/>
      <c r="N620" s="126"/>
    </row>
    <row r="621" spans="1:14" x14ac:dyDescent="0.35">
      <c r="A621" s="126"/>
      <c r="B621" s="127"/>
      <c r="C621" s="126"/>
      <c r="D621" s="126"/>
      <c r="E621" s="128"/>
      <c r="F621" s="128"/>
      <c r="G621" s="128"/>
      <c r="H621" s="128"/>
      <c r="I621" s="128"/>
      <c r="J621" s="126"/>
      <c r="K621" s="126"/>
      <c r="L621" s="126"/>
      <c r="M621" s="125"/>
      <c r="N621" s="126"/>
    </row>
    <row r="622" spans="1:14" x14ac:dyDescent="0.35">
      <c r="A622" s="126"/>
      <c r="B622" s="127"/>
      <c r="C622" s="126"/>
      <c r="D622" s="126"/>
      <c r="E622" s="128"/>
      <c r="F622" s="128"/>
      <c r="G622" s="128"/>
      <c r="H622" s="128"/>
      <c r="I622" s="128"/>
      <c r="J622" s="126"/>
      <c r="K622" s="126"/>
      <c r="L622" s="126"/>
      <c r="M622" s="125"/>
      <c r="N622" s="126"/>
    </row>
    <row r="623" spans="1:14" x14ac:dyDescent="0.35">
      <c r="A623" s="126"/>
      <c r="B623" s="127"/>
      <c r="C623" s="126"/>
      <c r="D623" s="126"/>
      <c r="E623" s="128"/>
      <c r="F623" s="128"/>
      <c r="G623" s="128"/>
      <c r="H623" s="128"/>
      <c r="I623" s="128"/>
      <c r="J623" s="126"/>
      <c r="K623" s="126"/>
      <c r="L623" s="126"/>
      <c r="M623" s="125"/>
      <c r="N623" s="126"/>
    </row>
    <row r="624" spans="1:14" x14ac:dyDescent="0.35">
      <c r="A624" s="126"/>
      <c r="B624" s="127"/>
      <c r="C624" s="126"/>
      <c r="D624" s="126"/>
      <c r="E624" s="128"/>
      <c r="F624" s="128"/>
      <c r="G624" s="128"/>
      <c r="H624" s="128"/>
      <c r="I624" s="128"/>
      <c r="J624" s="126"/>
      <c r="K624" s="126"/>
      <c r="L624" s="126"/>
      <c r="M624" s="125"/>
      <c r="N624" s="126"/>
    </row>
    <row r="625" spans="1:14" x14ac:dyDescent="0.35">
      <c r="A625" s="126"/>
      <c r="B625" s="127"/>
      <c r="C625" s="126"/>
      <c r="D625" s="126"/>
      <c r="E625" s="128"/>
      <c r="F625" s="128"/>
      <c r="G625" s="128"/>
      <c r="H625" s="128"/>
      <c r="I625" s="128"/>
      <c r="J625" s="126"/>
      <c r="K625" s="126"/>
      <c r="L625" s="126"/>
      <c r="M625" s="125"/>
      <c r="N625" s="126"/>
    </row>
    <row r="626" spans="1:14" x14ac:dyDescent="0.35">
      <c r="A626" s="126"/>
      <c r="B626" s="127"/>
      <c r="C626" s="126"/>
      <c r="D626" s="126"/>
      <c r="E626" s="128"/>
      <c r="F626" s="128"/>
      <c r="G626" s="128"/>
      <c r="H626" s="128"/>
      <c r="I626" s="128"/>
      <c r="J626" s="126"/>
      <c r="K626" s="126"/>
      <c r="L626" s="126"/>
      <c r="M626" s="125"/>
      <c r="N626" s="126"/>
    </row>
    <row r="627" spans="1:14" x14ac:dyDescent="0.35">
      <c r="A627" s="126"/>
      <c r="B627" s="127"/>
      <c r="C627" s="126"/>
      <c r="D627" s="126"/>
      <c r="E627" s="128"/>
      <c r="F627" s="128"/>
      <c r="G627" s="128"/>
      <c r="H627" s="128"/>
      <c r="I627" s="128"/>
      <c r="J627" s="126"/>
      <c r="K627" s="126"/>
      <c r="L627" s="126"/>
      <c r="M627" s="125"/>
      <c r="N627" s="126"/>
    </row>
    <row r="628" spans="1:14" x14ac:dyDescent="0.35">
      <c r="A628" s="126"/>
      <c r="B628" s="127"/>
      <c r="C628" s="126"/>
      <c r="D628" s="126"/>
      <c r="E628" s="128"/>
      <c r="F628" s="128"/>
      <c r="G628" s="128"/>
      <c r="H628" s="128"/>
      <c r="I628" s="128"/>
      <c r="J628" s="126"/>
      <c r="K628" s="126"/>
      <c r="L628" s="126"/>
      <c r="M628" s="125"/>
      <c r="N628" s="126"/>
    </row>
    <row r="629" spans="1:14" x14ac:dyDescent="0.35">
      <c r="A629" s="126"/>
      <c r="B629" s="127"/>
      <c r="C629" s="126"/>
      <c r="D629" s="126"/>
      <c r="E629" s="128"/>
      <c r="F629" s="128"/>
      <c r="G629" s="128"/>
      <c r="H629" s="128"/>
      <c r="I629" s="128"/>
      <c r="J629" s="126"/>
      <c r="K629" s="126"/>
      <c r="L629" s="126"/>
      <c r="M629" s="125"/>
      <c r="N629" s="126"/>
    </row>
    <row r="630" spans="1:14" x14ac:dyDescent="0.35">
      <c r="A630" s="126"/>
      <c r="B630" s="127"/>
      <c r="C630" s="126"/>
      <c r="D630" s="126"/>
      <c r="E630" s="128"/>
      <c r="F630" s="128"/>
      <c r="G630" s="128"/>
      <c r="H630" s="128"/>
      <c r="I630" s="128"/>
      <c r="J630" s="126"/>
      <c r="K630" s="126"/>
      <c r="L630" s="126"/>
      <c r="M630" s="125"/>
      <c r="N630" s="126"/>
    </row>
    <row r="631" spans="1:14" x14ac:dyDescent="0.35">
      <c r="A631" s="126"/>
      <c r="B631" s="127"/>
      <c r="C631" s="126"/>
      <c r="D631" s="126"/>
      <c r="E631" s="128"/>
      <c r="F631" s="128"/>
      <c r="G631" s="128"/>
      <c r="H631" s="128"/>
      <c r="I631" s="128"/>
      <c r="J631" s="126"/>
      <c r="K631" s="126"/>
      <c r="L631" s="126"/>
      <c r="M631" s="125"/>
      <c r="N631" s="126"/>
    </row>
    <row r="632" spans="1:14" x14ac:dyDescent="0.35">
      <c r="A632" s="126"/>
      <c r="B632" s="127"/>
      <c r="C632" s="126"/>
      <c r="D632" s="126"/>
      <c r="E632" s="128"/>
      <c r="F632" s="128"/>
      <c r="G632" s="128"/>
      <c r="H632" s="128"/>
      <c r="I632" s="128"/>
      <c r="J632" s="126"/>
      <c r="K632" s="126"/>
      <c r="L632" s="126"/>
      <c r="M632" s="125"/>
      <c r="N632" s="126"/>
    </row>
    <row r="633" spans="1:14" x14ac:dyDescent="0.35">
      <c r="A633" s="126"/>
      <c r="B633" s="127"/>
      <c r="C633" s="126"/>
      <c r="D633" s="126"/>
      <c r="E633" s="128"/>
      <c r="F633" s="128"/>
      <c r="G633" s="128"/>
      <c r="H633" s="128"/>
      <c r="I633" s="128"/>
      <c r="J633" s="126"/>
      <c r="K633" s="126"/>
      <c r="L633" s="126"/>
      <c r="M633" s="125"/>
      <c r="N633" s="126"/>
    </row>
    <row r="634" spans="1:14" x14ac:dyDescent="0.35">
      <c r="A634" s="126"/>
      <c r="B634" s="127"/>
      <c r="C634" s="126"/>
      <c r="D634" s="126"/>
      <c r="E634" s="128"/>
      <c r="F634" s="128"/>
      <c r="G634" s="128"/>
      <c r="H634" s="128"/>
      <c r="I634" s="128"/>
      <c r="J634" s="126"/>
      <c r="K634" s="126"/>
      <c r="L634" s="126"/>
      <c r="M634" s="125"/>
      <c r="N634" s="126"/>
    </row>
    <row r="635" spans="1:14" x14ac:dyDescent="0.35">
      <c r="A635" s="126"/>
      <c r="B635" s="127"/>
      <c r="C635" s="126"/>
      <c r="D635" s="126"/>
      <c r="E635" s="128"/>
      <c r="F635" s="128"/>
      <c r="G635" s="128"/>
      <c r="H635" s="128"/>
      <c r="I635" s="128"/>
      <c r="J635" s="126"/>
      <c r="K635" s="126"/>
      <c r="L635" s="126"/>
      <c r="M635" s="125"/>
      <c r="N635" s="126"/>
    </row>
    <row r="636" spans="1:14" x14ac:dyDescent="0.35">
      <c r="A636" s="126"/>
      <c r="B636" s="127"/>
      <c r="C636" s="126"/>
      <c r="D636" s="126"/>
      <c r="E636" s="128"/>
      <c r="F636" s="128"/>
      <c r="G636" s="128"/>
      <c r="H636" s="128"/>
      <c r="I636" s="128"/>
      <c r="J636" s="126"/>
      <c r="K636" s="126"/>
      <c r="L636" s="126"/>
      <c r="M636" s="125"/>
      <c r="N636" s="126"/>
    </row>
    <row r="637" spans="1:14" x14ac:dyDescent="0.35">
      <c r="A637" s="126"/>
      <c r="B637" s="127"/>
      <c r="C637" s="126"/>
      <c r="D637" s="126"/>
      <c r="E637" s="128"/>
      <c r="F637" s="128"/>
      <c r="G637" s="128"/>
      <c r="H637" s="128"/>
      <c r="I637" s="128"/>
      <c r="J637" s="126"/>
      <c r="K637" s="126"/>
      <c r="L637" s="126"/>
      <c r="M637" s="125"/>
      <c r="N637" s="126"/>
    </row>
    <row r="638" spans="1:14" x14ac:dyDescent="0.35">
      <c r="A638" s="126"/>
      <c r="B638" s="127"/>
      <c r="C638" s="126"/>
      <c r="D638" s="126"/>
      <c r="E638" s="128"/>
      <c r="F638" s="128"/>
      <c r="G638" s="128"/>
      <c r="H638" s="128"/>
      <c r="I638" s="128"/>
      <c r="J638" s="126"/>
      <c r="K638" s="126"/>
      <c r="L638" s="126"/>
      <c r="M638" s="125"/>
      <c r="N638" s="126"/>
    </row>
    <row r="639" spans="1:14" x14ac:dyDescent="0.35">
      <c r="A639" s="126"/>
      <c r="B639" s="127"/>
      <c r="C639" s="126"/>
      <c r="D639" s="126"/>
      <c r="E639" s="128"/>
      <c r="F639" s="128"/>
      <c r="G639" s="128"/>
      <c r="H639" s="128"/>
      <c r="I639" s="128"/>
      <c r="J639" s="126"/>
      <c r="K639" s="126"/>
      <c r="L639" s="126"/>
      <c r="M639" s="125"/>
      <c r="N639" s="126"/>
    </row>
    <row r="640" spans="1:14" x14ac:dyDescent="0.35">
      <c r="A640" s="126"/>
      <c r="B640" s="127"/>
      <c r="C640" s="126"/>
      <c r="D640" s="126"/>
      <c r="E640" s="128"/>
      <c r="F640" s="128"/>
      <c r="G640" s="128"/>
      <c r="H640" s="128"/>
      <c r="I640" s="128"/>
      <c r="J640" s="126"/>
      <c r="K640" s="126"/>
      <c r="L640" s="126"/>
      <c r="M640" s="125"/>
      <c r="N640" s="126"/>
    </row>
    <row r="641" spans="1:14" x14ac:dyDescent="0.35">
      <c r="A641" s="126"/>
      <c r="B641" s="127"/>
      <c r="C641" s="126"/>
      <c r="D641" s="126"/>
      <c r="E641" s="128"/>
      <c r="F641" s="128"/>
      <c r="G641" s="128"/>
      <c r="H641" s="128"/>
      <c r="I641" s="128"/>
      <c r="J641" s="126"/>
      <c r="K641" s="126"/>
      <c r="L641" s="126"/>
      <c r="M641" s="125"/>
      <c r="N641" s="126"/>
    </row>
    <row r="642" spans="1:14" x14ac:dyDescent="0.35">
      <c r="A642" s="126"/>
      <c r="B642" s="127"/>
      <c r="C642" s="126"/>
      <c r="D642" s="126"/>
      <c r="E642" s="128"/>
      <c r="F642" s="128"/>
      <c r="G642" s="128"/>
      <c r="H642" s="128"/>
      <c r="I642" s="128"/>
      <c r="J642" s="126"/>
      <c r="K642" s="126"/>
      <c r="L642" s="126"/>
      <c r="M642" s="125"/>
      <c r="N642" s="126"/>
    </row>
    <row r="643" spans="1:14" x14ac:dyDescent="0.35">
      <c r="A643" s="126"/>
      <c r="B643" s="127"/>
      <c r="C643" s="126"/>
      <c r="D643" s="126"/>
      <c r="E643" s="128"/>
      <c r="F643" s="128"/>
      <c r="G643" s="128"/>
      <c r="H643" s="128"/>
      <c r="I643" s="128"/>
      <c r="J643" s="126"/>
      <c r="K643" s="126"/>
      <c r="L643" s="126"/>
      <c r="M643" s="125"/>
      <c r="N643" s="126"/>
    </row>
    <row r="644" spans="1:14" x14ac:dyDescent="0.35">
      <c r="A644" s="126"/>
      <c r="B644" s="127"/>
      <c r="C644" s="126"/>
      <c r="D644" s="126"/>
      <c r="E644" s="128"/>
      <c r="F644" s="128"/>
      <c r="G644" s="128"/>
      <c r="H644" s="128"/>
      <c r="I644" s="128"/>
      <c r="J644" s="126"/>
      <c r="K644" s="126"/>
      <c r="L644" s="126"/>
      <c r="M644" s="125"/>
      <c r="N644" s="126"/>
    </row>
    <row r="645" spans="1:14" x14ac:dyDescent="0.35">
      <c r="A645" s="126"/>
      <c r="B645" s="127"/>
      <c r="C645" s="126"/>
      <c r="D645" s="126"/>
      <c r="E645" s="128"/>
      <c r="F645" s="128"/>
      <c r="G645" s="128"/>
      <c r="H645" s="128"/>
      <c r="I645" s="128"/>
      <c r="J645" s="126"/>
      <c r="K645" s="126"/>
      <c r="L645" s="126"/>
      <c r="M645" s="125"/>
      <c r="N645" s="126"/>
    </row>
    <row r="646" spans="1:14" x14ac:dyDescent="0.35">
      <c r="A646" s="126"/>
      <c r="B646" s="127"/>
      <c r="C646" s="126"/>
      <c r="D646" s="126"/>
      <c r="E646" s="128"/>
      <c r="F646" s="128"/>
      <c r="G646" s="128"/>
      <c r="H646" s="128"/>
      <c r="I646" s="128"/>
      <c r="J646" s="126"/>
      <c r="K646" s="126"/>
      <c r="L646" s="126"/>
      <c r="M646" s="125"/>
      <c r="N646" s="126"/>
    </row>
    <row r="647" spans="1:14" x14ac:dyDescent="0.35">
      <c r="A647" s="126"/>
      <c r="B647" s="127"/>
      <c r="C647" s="126"/>
      <c r="D647" s="126"/>
      <c r="E647" s="128"/>
      <c r="F647" s="128"/>
      <c r="G647" s="128"/>
      <c r="H647" s="128"/>
      <c r="I647" s="128"/>
      <c r="J647" s="126"/>
      <c r="K647" s="126"/>
      <c r="L647" s="126"/>
      <c r="M647" s="125"/>
      <c r="N647" s="126"/>
    </row>
    <row r="648" spans="1:14" x14ac:dyDescent="0.35">
      <c r="A648" s="126"/>
      <c r="B648" s="127"/>
      <c r="C648" s="126"/>
      <c r="D648" s="126"/>
      <c r="E648" s="128"/>
      <c r="F648" s="128"/>
      <c r="G648" s="128"/>
      <c r="H648" s="128"/>
      <c r="I648" s="128"/>
      <c r="J648" s="126"/>
      <c r="K648" s="126"/>
      <c r="L648" s="126"/>
      <c r="M648" s="125"/>
      <c r="N648" s="126"/>
    </row>
    <row r="649" spans="1:14" x14ac:dyDescent="0.35">
      <c r="A649" s="126"/>
      <c r="B649" s="127"/>
      <c r="C649" s="126"/>
      <c r="D649" s="126"/>
      <c r="E649" s="128"/>
      <c r="F649" s="128"/>
      <c r="G649" s="128"/>
      <c r="H649" s="128"/>
      <c r="I649" s="128"/>
      <c r="J649" s="126"/>
      <c r="K649" s="126"/>
      <c r="L649" s="126"/>
      <c r="M649" s="125"/>
      <c r="N649" s="126"/>
    </row>
    <row r="650" spans="1:14" x14ac:dyDescent="0.35">
      <c r="A650" s="126"/>
      <c r="B650" s="127"/>
      <c r="C650" s="126"/>
      <c r="D650" s="126"/>
      <c r="E650" s="128"/>
      <c r="F650" s="128"/>
      <c r="G650" s="128"/>
      <c r="H650" s="128"/>
      <c r="I650" s="128"/>
      <c r="J650" s="126"/>
      <c r="K650" s="126"/>
      <c r="L650" s="126"/>
      <c r="M650" s="125"/>
      <c r="N650" s="126"/>
    </row>
    <row r="651" spans="1:14" x14ac:dyDescent="0.35">
      <c r="A651" s="126"/>
      <c r="B651" s="127"/>
      <c r="C651" s="126"/>
      <c r="D651" s="126"/>
      <c r="E651" s="128"/>
      <c r="F651" s="128"/>
      <c r="G651" s="128"/>
      <c r="H651" s="128"/>
      <c r="I651" s="128"/>
      <c r="J651" s="126"/>
      <c r="K651" s="126"/>
      <c r="L651" s="126"/>
      <c r="M651" s="125"/>
      <c r="N651" s="126"/>
    </row>
    <row r="652" spans="1:14" x14ac:dyDescent="0.35">
      <c r="A652" s="126"/>
      <c r="B652" s="127"/>
      <c r="C652" s="126"/>
      <c r="D652" s="126"/>
      <c r="E652" s="128"/>
      <c r="F652" s="128"/>
      <c r="G652" s="128"/>
      <c r="H652" s="128"/>
      <c r="I652" s="128"/>
      <c r="J652" s="126"/>
      <c r="K652" s="126"/>
      <c r="L652" s="126"/>
      <c r="M652" s="125"/>
      <c r="N652" s="126"/>
    </row>
    <row r="653" spans="1:14" x14ac:dyDescent="0.35">
      <c r="A653" s="126"/>
      <c r="B653" s="127"/>
      <c r="C653" s="126"/>
      <c r="D653" s="126"/>
      <c r="E653" s="128"/>
      <c r="F653" s="128"/>
      <c r="G653" s="128"/>
      <c r="H653" s="128"/>
      <c r="I653" s="128"/>
      <c r="J653" s="126"/>
      <c r="K653" s="126"/>
      <c r="L653" s="126"/>
      <c r="M653" s="125"/>
      <c r="N653" s="126"/>
    </row>
    <row r="654" spans="1:14" x14ac:dyDescent="0.35">
      <c r="A654" s="126"/>
      <c r="B654" s="127"/>
      <c r="C654" s="126"/>
      <c r="D654" s="126"/>
      <c r="E654" s="128"/>
      <c r="F654" s="128"/>
      <c r="G654" s="128"/>
      <c r="H654" s="128"/>
      <c r="I654" s="128"/>
      <c r="J654" s="126"/>
      <c r="K654" s="126"/>
      <c r="L654" s="126"/>
      <c r="M654" s="125"/>
      <c r="N654" s="126"/>
    </row>
    <row r="655" spans="1:14" x14ac:dyDescent="0.35">
      <c r="A655" s="126"/>
      <c r="B655" s="127"/>
      <c r="C655" s="126"/>
      <c r="D655" s="126"/>
      <c r="E655" s="128"/>
      <c r="F655" s="128"/>
      <c r="G655" s="128"/>
      <c r="H655" s="128"/>
      <c r="I655" s="128"/>
      <c r="J655" s="126"/>
      <c r="K655" s="126"/>
      <c r="L655" s="126"/>
      <c r="M655" s="125"/>
      <c r="N655" s="126"/>
    </row>
    <row r="656" spans="1:14" x14ac:dyDescent="0.35">
      <c r="A656" s="126"/>
      <c r="B656" s="127"/>
      <c r="C656" s="126"/>
      <c r="D656" s="126"/>
      <c r="E656" s="128"/>
      <c r="F656" s="128"/>
      <c r="G656" s="128"/>
      <c r="H656" s="128"/>
      <c r="I656" s="128"/>
      <c r="J656" s="126"/>
      <c r="K656" s="126"/>
      <c r="L656" s="126"/>
      <c r="M656" s="125"/>
      <c r="N656" s="126"/>
    </row>
    <row r="657" spans="1:14" x14ac:dyDescent="0.35">
      <c r="A657" s="126"/>
      <c r="B657" s="127"/>
      <c r="C657" s="126"/>
      <c r="D657" s="126"/>
      <c r="E657" s="128"/>
      <c r="F657" s="128"/>
      <c r="G657" s="128"/>
      <c r="H657" s="128"/>
      <c r="I657" s="128"/>
      <c r="J657" s="126"/>
      <c r="K657" s="126"/>
      <c r="L657" s="126"/>
      <c r="M657" s="125"/>
      <c r="N657" s="126"/>
    </row>
    <row r="658" spans="1:14" x14ac:dyDescent="0.35">
      <c r="A658" s="126"/>
      <c r="B658" s="127"/>
      <c r="C658" s="126"/>
      <c r="D658" s="126"/>
      <c r="E658" s="128"/>
      <c r="F658" s="128"/>
      <c r="G658" s="128"/>
      <c r="H658" s="128"/>
      <c r="I658" s="128"/>
      <c r="J658" s="126"/>
      <c r="K658" s="126"/>
      <c r="L658" s="126"/>
      <c r="M658" s="125"/>
      <c r="N658" s="126"/>
    </row>
    <row r="659" spans="1:14" x14ac:dyDescent="0.35">
      <c r="A659" s="126"/>
      <c r="B659" s="127"/>
      <c r="C659" s="126"/>
      <c r="D659" s="126"/>
      <c r="E659" s="128"/>
      <c r="F659" s="128"/>
      <c r="G659" s="128"/>
      <c r="H659" s="128"/>
      <c r="I659" s="128"/>
      <c r="J659" s="126"/>
      <c r="K659" s="126"/>
      <c r="L659" s="126"/>
      <c r="M659" s="125"/>
      <c r="N659" s="126"/>
    </row>
    <row r="660" spans="1:14" x14ac:dyDescent="0.35">
      <c r="A660" s="126"/>
      <c r="B660" s="127"/>
      <c r="C660" s="126"/>
      <c r="D660" s="126"/>
      <c r="E660" s="128"/>
      <c r="F660" s="128"/>
      <c r="G660" s="128"/>
      <c r="H660" s="128"/>
      <c r="I660" s="128"/>
      <c r="J660" s="126"/>
      <c r="K660" s="126"/>
      <c r="L660" s="126"/>
      <c r="M660" s="125"/>
      <c r="N660" s="126"/>
    </row>
    <row r="661" spans="1:14" x14ac:dyDescent="0.35">
      <c r="A661" s="126"/>
      <c r="B661" s="127"/>
      <c r="C661" s="126"/>
      <c r="D661" s="126"/>
      <c r="E661" s="128"/>
      <c r="F661" s="128"/>
      <c r="G661" s="128"/>
      <c r="H661" s="128"/>
      <c r="I661" s="128"/>
      <c r="J661" s="126"/>
      <c r="K661" s="126"/>
      <c r="L661" s="126"/>
      <c r="M661" s="125"/>
      <c r="N661" s="126"/>
    </row>
    <row r="662" spans="1:14" x14ac:dyDescent="0.35">
      <c r="A662" s="126"/>
      <c r="B662" s="127"/>
      <c r="C662" s="126"/>
      <c r="D662" s="126"/>
      <c r="E662" s="128"/>
      <c r="F662" s="128"/>
      <c r="G662" s="128"/>
      <c r="H662" s="128"/>
      <c r="I662" s="128"/>
      <c r="J662" s="126"/>
      <c r="K662" s="126"/>
      <c r="L662" s="126"/>
      <c r="M662" s="125"/>
      <c r="N662" s="126"/>
    </row>
    <row r="663" spans="1:14" x14ac:dyDescent="0.35">
      <c r="A663" s="126"/>
      <c r="B663" s="127"/>
      <c r="C663" s="126"/>
      <c r="D663" s="126"/>
      <c r="E663" s="128"/>
      <c r="F663" s="128"/>
      <c r="G663" s="128"/>
      <c r="H663" s="128"/>
      <c r="I663" s="128"/>
      <c r="J663" s="126"/>
      <c r="K663" s="126"/>
      <c r="L663" s="126"/>
      <c r="M663" s="125"/>
      <c r="N663" s="126"/>
    </row>
    <row r="664" spans="1:14" x14ac:dyDescent="0.35">
      <c r="A664" s="126"/>
      <c r="B664" s="127"/>
      <c r="C664" s="126"/>
      <c r="D664" s="126"/>
      <c r="E664" s="128"/>
      <c r="F664" s="128"/>
      <c r="G664" s="128"/>
      <c r="H664" s="128"/>
      <c r="I664" s="128"/>
      <c r="J664" s="126"/>
      <c r="K664" s="126"/>
      <c r="L664" s="126"/>
      <c r="M664" s="125"/>
      <c r="N664" s="126"/>
    </row>
    <row r="665" spans="1:14" x14ac:dyDescent="0.35">
      <c r="A665" s="126"/>
      <c r="B665" s="127"/>
      <c r="C665" s="126"/>
      <c r="D665" s="126"/>
      <c r="E665" s="128"/>
      <c r="F665" s="128"/>
      <c r="G665" s="128"/>
      <c r="H665" s="128"/>
      <c r="I665" s="128"/>
      <c r="J665" s="126"/>
      <c r="K665" s="126"/>
      <c r="L665" s="126"/>
      <c r="M665" s="125"/>
      <c r="N665" s="126"/>
    </row>
    <row r="666" spans="1:14" x14ac:dyDescent="0.35">
      <c r="A666" s="126"/>
      <c r="B666" s="127"/>
      <c r="C666" s="126"/>
      <c r="D666" s="126"/>
      <c r="E666" s="128"/>
      <c r="F666" s="128"/>
      <c r="G666" s="128"/>
      <c r="H666" s="128"/>
      <c r="I666" s="128"/>
      <c r="J666" s="126"/>
      <c r="K666" s="126"/>
      <c r="L666" s="126"/>
      <c r="M666" s="125"/>
      <c r="N666" s="126"/>
    </row>
    <row r="667" spans="1:14" x14ac:dyDescent="0.35">
      <c r="A667" s="126"/>
      <c r="B667" s="127"/>
      <c r="C667" s="126"/>
      <c r="D667" s="126"/>
      <c r="E667" s="128"/>
      <c r="F667" s="128"/>
      <c r="G667" s="128"/>
      <c r="H667" s="128"/>
      <c r="I667" s="128"/>
      <c r="J667" s="126"/>
      <c r="K667" s="126"/>
      <c r="L667" s="126"/>
      <c r="M667" s="125"/>
      <c r="N667" s="126"/>
    </row>
    <row r="668" spans="1:14" x14ac:dyDescent="0.35">
      <c r="A668" s="126"/>
      <c r="B668" s="127"/>
      <c r="C668" s="126"/>
      <c r="D668" s="126"/>
      <c r="E668" s="128"/>
      <c r="F668" s="128"/>
      <c r="G668" s="128"/>
      <c r="H668" s="128"/>
      <c r="I668" s="128"/>
      <c r="J668" s="126"/>
      <c r="K668" s="126"/>
      <c r="L668" s="126"/>
      <c r="M668" s="125"/>
      <c r="N668" s="126"/>
    </row>
    <row r="669" spans="1:14" x14ac:dyDescent="0.35">
      <c r="A669" s="126"/>
      <c r="B669" s="127"/>
      <c r="C669" s="126"/>
      <c r="D669" s="126"/>
      <c r="E669" s="128"/>
      <c r="F669" s="128"/>
      <c r="G669" s="128"/>
      <c r="H669" s="128"/>
      <c r="I669" s="128"/>
      <c r="J669" s="126"/>
      <c r="K669" s="126"/>
      <c r="L669" s="126"/>
      <c r="M669" s="125"/>
      <c r="N669" s="126"/>
    </row>
    <row r="670" spans="1:14" x14ac:dyDescent="0.35">
      <c r="A670" s="126"/>
      <c r="B670" s="127"/>
      <c r="C670" s="126"/>
      <c r="D670" s="126"/>
      <c r="E670" s="128"/>
      <c r="F670" s="128"/>
      <c r="G670" s="128"/>
      <c r="H670" s="128"/>
      <c r="I670" s="128"/>
      <c r="J670" s="126"/>
      <c r="K670" s="126"/>
      <c r="L670" s="126"/>
      <c r="M670" s="125"/>
      <c r="N670" s="126"/>
    </row>
    <row r="671" spans="1:14" x14ac:dyDescent="0.35">
      <c r="A671" s="126"/>
      <c r="B671" s="127"/>
      <c r="C671" s="126"/>
      <c r="D671" s="126"/>
      <c r="E671" s="128"/>
      <c r="F671" s="128"/>
      <c r="G671" s="128"/>
      <c r="H671" s="128"/>
      <c r="I671" s="128"/>
      <c r="J671" s="126"/>
      <c r="K671" s="126"/>
      <c r="L671" s="126"/>
      <c r="M671" s="125"/>
      <c r="N671" s="126"/>
    </row>
    <row r="672" spans="1:14" x14ac:dyDescent="0.35">
      <c r="A672" s="126"/>
      <c r="B672" s="127"/>
      <c r="C672" s="126"/>
      <c r="D672" s="126"/>
      <c r="E672" s="128"/>
      <c r="F672" s="128"/>
      <c r="G672" s="128"/>
      <c r="H672" s="128"/>
      <c r="I672" s="128"/>
      <c r="J672" s="126"/>
      <c r="K672" s="126"/>
      <c r="L672" s="126"/>
      <c r="M672" s="125"/>
      <c r="N672" s="126"/>
    </row>
    <row r="673" spans="1:14" x14ac:dyDescent="0.35">
      <c r="A673" s="126"/>
      <c r="B673" s="127"/>
      <c r="C673" s="126"/>
      <c r="D673" s="126"/>
      <c r="E673" s="128"/>
      <c r="F673" s="128"/>
      <c r="G673" s="128"/>
      <c r="H673" s="128"/>
      <c r="I673" s="128"/>
      <c r="J673" s="126"/>
      <c r="K673" s="126"/>
      <c r="L673" s="126"/>
      <c r="M673" s="125"/>
      <c r="N673" s="126"/>
    </row>
    <row r="674" spans="1:14" x14ac:dyDescent="0.35">
      <c r="A674" s="126"/>
      <c r="B674" s="127"/>
      <c r="C674" s="126"/>
      <c r="D674" s="126"/>
      <c r="E674" s="128"/>
      <c r="F674" s="128"/>
      <c r="G674" s="128"/>
      <c r="H674" s="128"/>
      <c r="I674" s="128"/>
      <c r="J674" s="126"/>
      <c r="K674" s="126"/>
      <c r="L674" s="126"/>
      <c r="M674" s="125"/>
      <c r="N674" s="126"/>
    </row>
    <row r="675" spans="1:14" x14ac:dyDescent="0.35">
      <c r="A675" s="126"/>
      <c r="B675" s="127"/>
      <c r="C675" s="126"/>
      <c r="D675" s="126"/>
      <c r="E675" s="128"/>
      <c r="F675" s="128"/>
      <c r="G675" s="128"/>
      <c r="H675" s="128"/>
      <c r="I675" s="128"/>
      <c r="J675" s="126"/>
      <c r="K675" s="126"/>
      <c r="L675" s="126"/>
      <c r="M675" s="125"/>
      <c r="N675" s="126"/>
    </row>
    <row r="676" spans="1:14" x14ac:dyDescent="0.35">
      <c r="A676" s="126"/>
      <c r="B676" s="127"/>
      <c r="C676" s="126"/>
      <c r="D676" s="126"/>
      <c r="E676" s="128"/>
      <c r="F676" s="128"/>
      <c r="G676" s="128"/>
      <c r="H676" s="128"/>
      <c r="I676" s="128"/>
      <c r="J676" s="126"/>
      <c r="K676" s="126"/>
      <c r="L676" s="126"/>
      <c r="M676" s="125"/>
      <c r="N676" s="126"/>
    </row>
    <row r="677" spans="1:14" x14ac:dyDescent="0.35">
      <c r="A677" s="126"/>
      <c r="B677" s="127"/>
      <c r="C677" s="126"/>
      <c r="D677" s="126"/>
      <c r="E677" s="128"/>
      <c r="F677" s="128"/>
      <c r="G677" s="128"/>
      <c r="H677" s="128"/>
      <c r="I677" s="128"/>
      <c r="J677" s="126"/>
      <c r="K677" s="126"/>
      <c r="L677" s="126"/>
      <c r="M677" s="125"/>
      <c r="N677" s="126"/>
    </row>
    <row r="678" spans="1:14" x14ac:dyDescent="0.35">
      <c r="A678" s="126"/>
      <c r="B678" s="127"/>
      <c r="C678" s="126"/>
      <c r="D678" s="126"/>
      <c r="E678" s="128"/>
      <c r="F678" s="128"/>
      <c r="G678" s="128"/>
      <c r="H678" s="128"/>
      <c r="I678" s="128"/>
      <c r="J678" s="126"/>
      <c r="K678" s="126"/>
      <c r="L678" s="126"/>
      <c r="M678" s="125"/>
      <c r="N678" s="126"/>
    </row>
    <row r="679" spans="1:14" x14ac:dyDescent="0.35">
      <c r="A679" s="126"/>
      <c r="B679" s="127"/>
      <c r="C679" s="126"/>
      <c r="D679" s="126"/>
      <c r="E679" s="128"/>
      <c r="F679" s="128"/>
      <c r="G679" s="128"/>
      <c r="H679" s="128"/>
      <c r="I679" s="128"/>
      <c r="J679" s="126"/>
      <c r="K679" s="126"/>
      <c r="L679" s="126"/>
      <c r="M679" s="125"/>
      <c r="N679" s="126"/>
    </row>
    <row r="680" spans="1:14" x14ac:dyDescent="0.35">
      <c r="A680" s="126"/>
      <c r="B680" s="127"/>
      <c r="C680" s="126"/>
      <c r="D680" s="126"/>
      <c r="E680" s="128"/>
      <c r="F680" s="128"/>
      <c r="G680" s="128"/>
      <c r="H680" s="128"/>
      <c r="I680" s="128"/>
      <c r="J680" s="126"/>
      <c r="K680" s="126"/>
      <c r="L680" s="126"/>
      <c r="M680" s="125"/>
      <c r="N680" s="126"/>
    </row>
    <row r="681" spans="1:14" x14ac:dyDescent="0.35">
      <c r="A681" s="126"/>
      <c r="B681" s="127"/>
      <c r="C681" s="126"/>
      <c r="D681" s="126"/>
      <c r="E681" s="128"/>
      <c r="F681" s="128"/>
      <c r="G681" s="128"/>
      <c r="H681" s="128"/>
      <c r="I681" s="128"/>
      <c r="J681" s="126"/>
      <c r="K681" s="126"/>
      <c r="L681" s="126"/>
      <c r="M681" s="125"/>
      <c r="N681" s="126"/>
    </row>
    <row r="682" spans="1:14" x14ac:dyDescent="0.35">
      <c r="A682" s="126"/>
      <c r="B682" s="127"/>
      <c r="C682" s="126"/>
      <c r="D682" s="126"/>
      <c r="E682" s="128"/>
      <c r="F682" s="128"/>
      <c r="G682" s="128"/>
      <c r="H682" s="128"/>
      <c r="I682" s="128"/>
      <c r="J682" s="126"/>
      <c r="K682" s="126"/>
      <c r="L682" s="126"/>
      <c r="M682" s="125"/>
      <c r="N682" s="126"/>
    </row>
    <row r="683" spans="1:14" x14ac:dyDescent="0.35">
      <c r="A683" s="126"/>
      <c r="B683" s="127"/>
      <c r="C683" s="126"/>
      <c r="D683" s="126"/>
      <c r="E683" s="128"/>
      <c r="F683" s="128"/>
      <c r="G683" s="128"/>
      <c r="H683" s="128"/>
      <c r="I683" s="128"/>
      <c r="J683" s="126"/>
      <c r="K683" s="126"/>
      <c r="L683" s="126"/>
      <c r="M683" s="125"/>
      <c r="N683" s="126"/>
    </row>
    <row r="684" spans="1:14" x14ac:dyDescent="0.35">
      <c r="A684" s="126"/>
      <c r="B684" s="127"/>
      <c r="C684" s="126"/>
      <c r="D684" s="126"/>
      <c r="E684" s="128"/>
      <c r="F684" s="128"/>
      <c r="G684" s="128"/>
      <c r="H684" s="128"/>
      <c r="I684" s="128"/>
      <c r="J684" s="126"/>
      <c r="K684" s="126"/>
      <c r="L684" s="126"/>
      <c r="M684" s="125"/>
      <c r="N684" s="126"/>
    </row>
    <row r="685" spans="1:14" x14ac:dyDescent="0.35">
      <c r="A685" s="126"/>
      <c r="B685" s="127"/>
      <c r="C685" s="126"/>
      <c r="D685" s="126"/>
      <c r="E685" s="128"/>
      <c r="F685" s="128"/>
      <c r="G685" s="128"/>
      <c r="H685" s="128"/>
      <c r="I685" s="128"/>
      <c r="J685" s="126"/>
      <c r="K685" s="126"/>
      <c r="L685" s="126"/>
      <c r="M685" s="125"/>
      <c r="N685" s="126"/>
    </row>
    <row r="686" spans="1:14" x14ac:dyDescent="0.35">
      <c r="A686" s="126"/>
      <c r="B686" s="127"/>
      <c r="C686" s="126"/>
      <c r="D686" s="126"/>
      <c r="E686" s="128"/>
      <c r="F686" s="128"/>
      <c r="G686" s="128"/>
      <c r="H686" s="128"/>
      <c r="I686" s="128"/>
      <c r="J686" s="126"/>
      <c r="K686" s="126"/>
      <c r="L686" s="126"/>
      <c r="M686" s="125"/>
      <c r="N686" s="126"/>
    </row>
    <row r="687" spans="1:14" x14ac:dyDescent="0.35">
      <c r="A687" s="126"/>
      <c r="B687" s="127"/>
      <c r="C687" s="126"/>
      <c r="D687" s="126"/>
      <c r="E687" s="128"/>
      <c r="F687" s="128"/>
      <c r="G687" s="128"/>
      <c r="H687" s="128"/>
      <c r="I687" s="128"/>
      <c r="J687" s="126"/>
      <c r="K687" s="126"/>
      <c r="L687" s="126"/>
      <c r="M687" s="125"/>
      <c r="N687" s="126"/>
    </row>
    <row r="688" spans="1:14" x14ac:dyDescent="0.35">
      <c r="A688" s="126"/>
      <c r="B688" s="127"/>
      <c r="C688" s="126"/>
      <c r="D688" s="126"/>
      <c r="E688" s="128"/>
      <c r="F688" s="128"/>
      <c r="G688" s="128"/>
      <c r="H688" s="128"/>
      <c r="I688" s="128"/>
      <c r="J688" s="126"/>
      <c r="K688" s="126"/>
      <c r="L688" s="126"/>
      <c r="M688" s="125"/>
      <c r="N688" s="126"/>
    </row>
    <row r="689" spans="1:14" x14ac:dyDescent="0.35">
      <c r="A689" s="126"/>
      <c r="B689" s="127"/>
      <c r="C689" s="126"/>
      <c r="D689" s="126"/>
      <c r="E689" s="128"/>
      <c r="F689" s="128"/>
      <c r="G689" s="128"/>
      <c r="H689" s="128"/>
      <c r="I689" s="128"/>
      <c r="J689" s="126"/>
      <c r="K689" s="126"/>
      <c r="L689" s="126"/>
      <c r="M689" s="125"/>
      <c r="N689" s="126"/>
    </row>
    <row r="690" spans="1:14" x14ac:dyDescent="0.35">
      <c r="A690" s="126"/>
      <c r="B690" s="127"/>
      <c r="C690" s="126"/>
      <c r="D690" s="126"/>
      <c r="E690" s="128"/>
      <c r="F690" s="128"/>
      <c r="G690" s="128"/>
      <c r="H690" s="128"/>
      <c r="I690" s="128"/>
      <c r="J690" s="126"/>
      <c r="K690" s="126"/>
      <c r="L690" s="126"/>
      <c r="M690" s="125"/>
      <c r="N690" s="126"/>
    </row>
    <row r="691" spans="1:14" x14ac:dyDescent="0.35">
      <c r="A691" s="126"/>
      <c r="B691" s="127"/>
      <c r="C691" s="126"/>
      <c r="D691" s="126"/>
      <c r="E691" s="128"/>
      <c r="F691" s="128"/>
      <c r="G691" s="128"/>
      <c r="H691" s="128"/>
      <c r="I691" s="128"/>
      <c r="J691" s="126"/>
      <c r="K691" s="126"/>
      <c r="L691" s="126"/>
      <c r="M691" s="125"/>
      <c r="N691" s="126"/>
    </row>
    <row r="692" spans="1:14" x14ac:dyDescent="0.35">
      <c r="A692" s="126"/>
      <c r="B692" s="127"/>
      <c r="C692" s="126"/>
      <c r="D692" s="126"/>
      <c r="E692" s="128"/>
      <c r="F692" s="128"/>
      <c r="G692" s="128"/>
      <c r="H692" s="128"/>
      <c r="I692" s="128"/>
      <c r="J692" s="126"/>
      <c r="K692" s="126"/>
      <c r="L692" s="126"/>
      <c r="M692" s="125"/>
      <c r="N692" s="126"/>
    </row>
    <row r="693" spans="1:14" x14ac:dyDescent="0.35">
      <c r="A693" s="126"/>
      <c r="B693" s="127"/>
      <c r="C693" s="126"/>
      <c r="D693" s="126"/>
      <c r="E693" s="128"/>
      <c r="F693" s="128"/>
      <c r="G693" s="128"/>
      <c r="H693" s="128"/>
      <c r="I693" s="128"/>
      <c r="J693" s="126"/>
      <c r="K693" s="126"/>
      <c r="L693" s="126"/>
      <c r="M693" s="125"/>
      <c r="N693" s="126"/>
    </row>
    <row r="694" spans="1:14" x14ac:dyDescent="0.35">
      <c r="A694" s="126"/>
      <c r="B694" s="127"/>
      <c r="C694" s="126"/>
      <c r="D694" s="126"/>
      <c r="E694" s="128"/>
      <c r="F694" s="128"/>
      <c r="G694" s="128"/>
      <c r="H694" s="128"/>
      <c r="I694" s="128"/>
      <c r="J694" s="126"/>
      <c r="K694" s="126"/>
      <c r="L694" s="126"/>
      <c r="M694" s="125"/>
      <c r="N694" s="126"/>
    </row>
    <row r="695" spans="1:14" x14ac:dyDescent="0.35">
      <c r="A695" s="126"/>
      <c r="B695" s="127"/>
      <c r="C695" s="126"/>
      <c r="D695" s="126"/>
      <c r="E695" s="128"/>
      <c r="F695" s="128"/>
      <c r="G695" s="128"/>
      <c r="H695" s="128"/>
      <c r="I695" s="128"/>
      <c r="J695" s="126"/>
      <c r="K695" s="126"/>
      <c r="L695" s="126"/>
      <c r="M695" s="125"/>
      <c r="N695" s="126"/>
    </row>
    <row r="696" spans="1:14" x14ac:dyDescent="0.35">
      <c r="A696" s="126"/>
      <c r="B696" s="127"/>
      <c r="C696" s="126"/>
      <c r="D696" s="126"/>
      <c r="E696" s="128"/>
      <c r="F696" s="128"/>
      <c r="G696" s="128"/>
      <c r="H696" s="128"/>
      <c r="I696" s="128"/>
      <c r="J696" s="126"/>
      <c r="K696" s="126"/>
      <c r="L696" s="126"/>
      <c r="M696" s="125"/>
      <c r="N696" s="126"/>
    </row>
    <row r="697" spans="1:14" x14ac:dyDescent="0.35">
      <c r="A697" s="126"/>
      <c r="B697" s="127"/>
      <c r="C697" s="126"/>
      <c r="D697" s="126"/>
      <c r="E697" s="128"/>
      <c r="F697" s="128"/>
      <c r="G697" s="128"/>
      <c r="H697" s="128"/>
      <c r="I697" s="128"/>
      <c r="J697" s="126"/>
      <c r="K697" s="126"/>
      <c r="L697" s="126"/>
      <c r="M697" s="125"/>
      <c r="N697" s="126"/>
    </row>
    <row r="698" spans="1:14" x14ac:dyDescent="0.35">
      <c r="A698" s="126"/>
      <c r="B698" s="127"/>
      <c r="C698" s="126"/>
      <c r="D698" s="126"/>
      <c r="E698" s="128"/>
      <c r="F698" s="128"/>
      <c r="G698" s="128"/>
      <c r="H698" s="128"/>
      <c r="I698" s="128"/>
      <c r="J698" s="126"/>
      <c r="K698" s="126"/>
      <c r="L698" s="126"/>
      <c r="M698" s="125"/>
      <c r="N698" s="126"/>
    </row>
    <row r="699" spans="1:14" x14ac:dyDescent="0.35">
      <c r="A699" s="126"/>
      <c r="B699" s="127"/>
      <c r="C699" s="126"/>
      <c r="D699" s="126"/>
      <c r="E699" s="128"/>
      <c r="F699" s="128"/>
      <c r="G699" s="128"/>
      <c r="H699" s="128"/>
      <c r="I699" s="128"/>
      <c r="J699" s="126"/>
      <c r="K699" s="126"/>
      <c r="L699" s="126"/>
      <c r="M699" s="125"/>
      <c r="N699" s="126"/>
    </row>
    <row r="700" spans="1:14" x14ac:dyDescent="0.35">
      <c r="A700" s="126"/>
      <c r="B700" s="127"/>
      <c r="C700" s="126"/>
      <c r="D700" s="126"/>
      <c r="E700" s="128"/>
      <c r="F700" s="128"/>
      <c r="G700" s="128"/>
      <c r="H700" s="128"/>
      <c r="I700" s="128"/>
      <c r="J700" s="126"/>
      <c r="K700" s="126"/>
      <c r="L700" s="126"/>
      <c r="M700" s="125"/>
      <c r="N700" s="126"/>
    </row>
    <row r="701" spans="1:14" x14ac:dyDescent="0.35">
      <c r="A701" s="126"/>
      <c r="B701" s="127"/>
      <c r="C701" s="126"/>
      <c r="D701" s="126"/>
      <c r="E701" s="128"/>
      <c r="F701" s="128"/>
      <c r="G701" s="128"/>
      <c r="H701" s="128"/>
      <c r="I701" s="128"/>
      <c r="J701" s="126"/>
      <c r="K701" s="126"/>
      <c r="L701" s="126"/>
      <c r="M701" s="125"/>
      <c r="N701" s="126"/>
    </row>
    <row r="702" spans="1:14" x14ac:dyDescent="0.35">
      <c r="A702" s="126"/>
      <c r="B702" s="127"/>
      <c r="C702" s="126"/>
      <c r="D702" s="126"/>
      <c r="E702" s="128"/>
      <c r="F702" s="128"/>
      <c r="G702" s="128"/>
      <c r="H702" s="128"/>
      <c r="I702" s="128"/>
      <c r="J702" s="126"/>
      <c r="K702" s="126"/>
      <c r="L702" s="126"/>
      <c r="M702" s="125"/>
      <c r="N702" s="126"/>
    </row>
    <row r="703" spans="1:14" x14ac:dyDescent="0.35">
      <c r="A703" s="126"/>
      <c r="B703" s="127"/>
      <c r="C703" s="126"/>
      <c r="D703" s="126"/>
      <c r="E703" s="128"/>
      <c r="F703" s="128"/>
      <c r="G703" s="128"/>
      <c r="H703" s="128"/>
      <c r="I703" s="128"/>
      <c r="J703" s="126"/>
      <c r="K703" s="126"/>
      <c r="L703" s="126"/>
      <c r="M703" s="125"/>
      <c r="N703" s="126"/>
    </row>
    <row r="704" spans="1:14" x14ac:dyDescent="0.35">
      <c r="A704" s="126"/>
      <c r="B704" s="127"/>
      <c r="C704" s="126"/>
      <c r="D704" s="126"/>
      <c r="E704" s="128"/>
      <c r="F704" s="128"/>
      <c r="G704" s="128"/>
      <c r="H704" s="128"/>
      <c r="I704" s="128"/>
      <c r="J704" s="126"/>
      <c r="K704" s="126"/>
      <c r="L704" s="126"/>
      <c r="M704" s="125"/>
      <c r="N704" s="126"/>
    </row>
    <row r="705" spans="1:14" x14ac:dyDescent="0.35">
      <c r="A705" s="126"/>
      <c r="B705" s="127"/>
      <c r="C705" s="126"/>
      <c r="D705" s="126"/>
      <c r="E705" s="128"/>
      <c r="F705" s="128"/>
      <c r="G705" s="128"/>
      <c r="H705" s="128"/>
      <c r="I705" s="128"/>
      <c r="J705" s="126"/>
      <c r="K705" s="126"/>
      <c r="L705" s="126"/>
      <c r="M705" s="125"/>
      <c r="N705" s="126"/>
    </row>
    <row r="706" spans="1:14" x14ac:dyDescent="0.35">
      <c r="A706" s="126"/>
      <c r="B706" s="127"/>
      <c r="C706" s="126"/>
      <c r="D706" s="126"/>
      <c r="E706" s="128"/>
      <c r="F706" s="128"/>
      <c r="G706" s="128"/>
      <c r="H706" s="128"/>
      <c r="I706" s="128"/>
      <c r="J706" s="126"/>
      <c r="K706" s="126"/>
      <c r="L706" s="126"/>
      <c r="M706" s="125"/>
      <c r="N706" s="126"/>
    </row>
    <row r="707" spans="1:14" x14ac:dyDescent="0.35">
      <c r="A707" s="126"/>
      <c r="B707" s="127"/>
      <c r="C707" s="126"/>
      <c r="D707" s="126"/>
      <c r="E707" s="128"/>
      <c r="F707" s="128"/>
      <c r="G707" s="128"/>
      <c r="H707" s="128"/>
      <c r="I707" s="128"/>
      <c r="J707" s="126"/>
      <c r="K707" s="126"/>
      <c r="L707" s="126"/>
      <c r="M707" s="125"/>
      <c r="N707" s="126"/>
    </row>
    <row r="708" spans="1:14" x14ac:dyDescent="0.35">
      <c r="A708" s="126"/>
      <c r="B708" s="127"/>
      <c r="C708" s="126"/>
      <c r="D708" s="126"/>
      <c r="E708" s="128"/>
      <c r="F708" s="128"/>
      <c r="G708" s="128"/>
      <c r="H708" s="128"/>
      <c r="I708" s="128"/>
      <c r="J708" s="126"/>
      <c r="K708" s="126"/>
      <c r="L708" s="126"/>
      <c r="M708" s="125"/>
      <c r="N708" s="126"/>
    </row>
    <row r="709" spans="1:14" x14ac:dyDescent="0.35">
      <c r="A709" s="126"/>
      <c r="B709" s="127"/>
      <c r="C709" s="126"/>
      <c r="D709" s="126"/>
      <c r="E709" s="128"/>
      <c r="F709" s="128"/>
      <c r="G709" s="128"/>
      <c r="H709" s="128"/>
      <c r="I709" s="128"/>
      <c r="J709" s="126"/>
      <c r="K709" s="126"/>
      <c r="L709" s="126"/>
      <c r="M709" s="125"/>
      <c r="N709" s="126"/>
    </row>
    <row r="710" spans="1:14" x14ac:dyDescent="0.35">
      <c r="A710" s="126"/>
      <c r="B710" s="127"/>
      <c r="C710" s="126"/>
      <c r="D710" s="126"/>
      <c r="E710" s="128"/>
      <c r="F710" s="128"/>
      <c r="G710" s="128"/>
      <c r="H710" s="128"/>
      <c r="I710" s="128"/>
      <c r="J710" s="126"/>
      <c r="K710" s="126"/>
      <c r="L710" s="126"/>
      <c r="M710" s="125"/>
      <c r="N710" s="126"/>
    </row>
    <row r="711" spans="1:14" x14ac:dyDescent="0.35">
      <c r="A711" s="126"/>
      <c r="B711" s="127"/>
      <c r="C711" s="126"/>
      <c r="D711" s="126"/>
      <c r="E711" s="128"/>
      <c r="F711" s="128"/>
      <c r="G711" s="128"/>
      <c r="H711" s="128"/>
      <c r="I711" s="128"/>
      <c r="J711" s="126"/>
      <c r="K711" s="126"/>
      <c r="L711" s="126"/>
      <c r="M711" s="125"/>
      <c r="N711" s="126"/>
    </row>
    <row r="712" spans="1:14" x14ac:dyDescent="0.35">
      <c r="A712" s="126"/>
      <c r="B712" s="127"/>
      <c r="C712" s="126"/>
      <c r="D712" s="126"/>
      <c r="E712" s="128"/>
      <c r="F712" s="128"/>
      <c r="G712" s="128"/>
      <c r="H712" s="128"/>
      <c r="I712" s="128"/>
      <c r="J712" s="126"/>
      <c r="K712" s="126"/>
      <c r="L712" s="126"/>
      <c r="M712" s="125"/>
      <c r="N712" s="126"/>
    </row>
    <row r="713" spans="1:14" x14ac:dyDescent="0.35">
      <c r="A713" s="126"/>
      <c r="B713" s="127"/>
      <c r="C713" s="126"/>
      <c r="D713" s="126"/>
      <c r="E713" s="128"/>
      <c r="F713" s="128"/>
      <c r="G713" s="128"/>
      <c r="H713" s="128"/>
      <c r="I713" s="128"/>
      <c r="J713" s="126"/>
      <c r="K713" s="126"/>
      <c r="L713" s="126"/>
      <c r="M713" s="125"/>
      <c r="N713" s="126"/>
    </row>
    <row r="714" spans="1:14" x14ac:dyDescent="0.35">
      <c r="A714" s="126"/>
      <c r="B714" s="127"/>
      <c r="C714" s="126"/>
      <c r="D714" s="126"/>
      <c r="E714" s="128"/>
      <c r="F714" s="128"/>
      <c r="G714" s="128"/>
      <c r="H714" s="128"/>
      <c r="I714" s="128"/>
      <c r="J714" s="126"/>
      <c r="K714" s="126"/>
      <c r="L714" s="126"/>
      <c r="M714" s="125"/>
      <c r="N714" s="126"/>
    </row>
    <row r="715" spans="1:14" x14ac:dyDescent="0.35">
      <c r="A715" s="126"/>
      <c r="B715" s="127"/>
      <c r="C715" s="126"/>
      <c r="D715" s="126"/>
      <c r="E715" s="128"/>
      <c r="F715" s="128"/>
      <c r="G715" s="128"/>
      <c r="H715" s="128"/>
      <c r="I715" s="128"/>
      <c r="J715" s="126"/>
      <c r="K715" s="126"/>
      <c r="L715" s="126"/>
      <c r="M715" s="125"/>
      <c r="N715" s="126"/>
    </row>
    <row r="716" spans="1:14" x14ac:dyDescent="0.35">
      <c r="A716" s="126"/>
      <c r="B716" s="127"/>
      <c r="C716" s="126"/>
      <c r="D716" s="126"/>
      <c r="E716" s="128"/>
      <c r="F716" s="128"/>
      <c r="G716" s="128"/>
      <c r="H716" s="128"/>
      <c r="I716" s="128"/>
      <c r="J716" s="126"/>
      <c r="K716" s="126"/>
      <c r="L716" s="126"/>
      <c r="M716" s="125"/>
      <c r="N716" s="126"/>
    </row>
    <row r="717" spans="1:14" x14ac:dyDescent="0.35">
      <c r="A717" s="126"/>
      <c r="B717" s="127"/>
      <c r="C717" s="126"/>
      <c r="D717" s="126"/>
      <c r="E717" s="128"/>
      <c r="F717" s="128"/>
      <c r="G717" s="128"/>
      <c r="H717" s="128"/>
      <c r="I717" s="128"/>
      <c r="J717" s="126"/>
      <c r="K717" s="126"/>
      <c r="L717" s="126"/>
      <c r="M717" s="125"/>
      <c r="N717" s="126"/>
    </row>
    <row r="718" spans="1:14" x14ac:dyDescent="0.35">
      <c r="A718" s="126"/>
      <c r="B718" s="127"/>
      <c r="C718" s="126"/>
      <c r="D718" s="126"/>
      <c r="E718" s="128"/>
      <c r="F718" s="128"/>
      <c r="G718" s="128"/>
      <c r="H718" s="128"/>
      <c r="I718" s="128"/>
      <c r="J718" s="126"/>
      <c r="K718" s="126"/>
      <c r="L718" s="126"/>
      <c r="M718" s="125"/>
      <c r="N718" s="126"/>
    </row>
    <row r="719" spans="1:14" x14ac:dyDescent="0.35">
      <c r="A719" s="126"/>
      <c r="B719" s="127"/>
      <c r="C719" s="126"/>
      <c r="D719" s="126"/>
      <c r="E719" s="128"/>
      <c r="F719" s="128"/>
      <c r="G719" s="128"/>
      <c r="H719" s="128"/>
      <c r="I719" s="128"/>
      <c r="J719" s="126"/>
      <c r="K719" s="126"/>
      <c r="L719" s="126"/>
      <c r="M719" s="125"/>
      <c r="N719" s="126"/>
    </row>
    <row r="720" spans="1:14" x14ac:dyDescent="0.35">
      <c r="A720" s="126"/>
      <c r="B720" s="127"/>
      <c r="C720" s="126"/>
      <c r="D720" s="126"/>
      <c r="E720" s="128"/>
      <c r="F720" s="128"/>
      <c r="G720" s="128"/>
      <c r="H720" s="128"/>
      <c r="I720" s="128"/>
      <c r="J720" s="126"/>
      <c r="K720" s="126"/>
      <c r="L720" s="126"/>
      <c r="M720" s="125"/>
      <c r="N720" s="126"/>
    </row>
    <row r="721" spans="1:14" x14ac:dyDescent="0.35">
      <c r="A721" s="126"/>
      <c r="B721" s="127"/>
      <c r="C721" s="126"/>
      <c r="D721" s="126"/>
      <c r="E721" s="128"/>
      <c r="F721" s="128"/>
      <c r="G721" s="128"/>
      <c r="H721" s="128"/>
      <c r="I721" s="128"/>
      <c r="J721" s="126"/>
      <c r="K721" s="126"/>
      <c r="L721" s="126"/>
      <c r="M721" s="125"/>
      <c r="N721" s="126"/>
    </row>
    <row r="722" spans="1:14" x14ac:dyDescent="0.35">
      <c r="A722" s="126"/>
      <c r="B722" s="127"/>
      <c r="C722" s="126"/>
      <c r="D722" s="126"/>
      <c r="E722" s="128"/>
      <c r="F722" s="128"/>
      <c r="G722" s="128"/>
      <c r="H722" s="128"/>
      <c r="I722" s="128"/>
      <c r="J722" s="126"/>
      <c r="K722" s="126"/>
      <c r="L722" s="126"/>
      <c r="M722" s="125"/>
      <c r="N722" s="126"/>
    </row>
    <row r="723" spans="1:14" x14ac:dyDescent="0.35">
      <c r="A723" s="126"/>
      <c r="B723" s="127"/>
      <c r="C723" s="126"/>
      <c r="D723" s="126"/>
      <c r="E723" s="128"/>
      <c r="F723" s="128"/>
      <c r="G723" s="128"/>
      <c r="H723" s="128"/>
      <c r="I723" s="128"/>
      <c r="J723" s="126"/>
      <c r="K723" s="126"/>
      <c r="L723" s="126"/>
      <c r="M723" s="125"/>
      <c r="N723" s="126"/>
    </row>
    <row r="724" spans="1:14" x14ac:dyDescent="0.35">
      <c r="A724" s="126"/>
      <c r="B724" s="127"/>
      <c r="C724" s="126"/>
      <c r="D724" s="126"/>
      <c r="E724" s="128"/>
      <c r="F724" s="128"/>
      <c r="G724" s="128"/>
      <c r="H724" s="128"/>
      <c r="I724" s="128"/>
      <c r="J724" s="126"/>
      <c r="K724" s="126"/>
      <c r="L724" s="126"/>
      <c r="M724" s="125"/>
      <c r="N724" s="126"/>
    </row>
    <row r="725" spans="1:14" x14ac:dyDescent="0.35">
      <c r="A725" s="126"/>
      <c r="B725" s="127"/>
      <c r="C725" s="126"/>
      <c r="D725" s="126"/>
      <c r="E725" s="128"/>
      <c r="F725" s="128"/>
      <c r="G725" s="128"/>
      <c r="H725" s="128"/>
      <c r="I725" s="128"/>
      <c r="J725" s="126"/>
      <c r="K725" s="126"/>
      <c r="L725" s="126"/>
      <c r="M725" s="125"/>
      <c r="N725" s="126"/>
    </row>
    <row r="726" spans="1:14" x14ac:dyDescent="0.35">
      <c r="A726" s="126"/>
      <c r="B726" s="127"/>
      <c r="C726" s="126"/>
      <c r="D726" s="126"/>
      <c r="E726" s="128"/>
      <c r="F726" s="128"/>
      <c r="G726" s="128"/>
      <c r="H726" s="128"/>
      <c r="I726" s="128"/>
      <c r="J726" s="126"/>
      <c r="K726" s="126"/>
      <c r="L726" s="126"/>
      <c r="M726" s="125"/>
      <c r="N726" s="126"/>
    </row>
    <row r="727" spans="1:14" x14ac:dyDescent="0.35">
      <c r="A727" s="126"/>
      <c r="B727" s="127"/>
      <c r="C727" s="126"/>
      <c r="D727" s="126"/>
      <c r="E727" s="128"/>
      <c r="F727" s="128"/>
      <c r="G727" s="128"/>
      <c r="H727" s="128"/>
      <c r="I727" s="128"/>
      <c r="J727" s="126"/>
      <c r="K727" s="126"/>
      <c r="L727" s="126"/>
      <c r="M727" s="125"/>
      <c r="N727" s="126"/>
    </row>
    <row r="728" spans="1:14" x14ac:dyDescent="0.35">
      <c r="A728" s="126"/>
      <c r="B728" s="127"/>
      <c r="C728" s="126"/>
      <c r="D728" s="126"/>
      <c r="E728" s="128"/>
      <c r="F728" s="128"/>
      <c r="G728" s="128"/>
      <c r="H728" s="128"/>
      <c r="I728" s="128"/>
      <c r="J728" s="126"/>
      <c r="K728" s="126"/>
      <c r="L728" s="126"/>
      <c r="M728" s="125"/>
      <c r="N728" s="126"/>
    </row>
    <row r="729" spans="1:14" x14ac:dyDescent="0.35">
      <c r="A729" s="126"/>
      <c r="B729" s="127"/>
      <c r="C729" s="126"/>
      <c r="D729" s="126"/>
      <c r="E729" s="128"/>
      <c r="F729" s="128"/>
      <c r="G729" s="128"/>
      <c r="H729" s="128"/>
      <c r="I729" s="128"/>
      <c r="J729" s="126"/>
      <c r="K729" s="126"/>
      <c r="L729" s="126"/>
      <c r="M729" s="125"/>
      <c r="N729" s="126"/>
    </row>
    <row r="730" spans="1:14" x14ac:dyDescent="0.35">
      <c r="A730" s="126"/>
      <c r="B730" s="127"/>
      <c r="C730" s="126"/>
      <c r="D730" s="126"/>
      <c r="E730" s="128"/>
      <c r="F730" s="128"/>
      <c r="G730" s="128"/>
      <c r="H730" s="128"/>
      <c r="I730" s="128"/>
      <c r="J730" s="126"/>
      <c r="K730" s="126"/>
      <c r="L730" s="126"/>
      <c r="M730" s="125"/>
      <c r="N730" s="126"/>
    </row>
    <row r="731" spans="1:14" x14ac:dyDescent="0.35">
      <c r="A731" s="126"/>
      <c r="B731" s="127"/>
      <c r="C731" s="126"/>
      <c r="D731" s="126"/>
      <c r="E731" s="128"/>
      <c r="F731" s="128"/>
      <c r="G731" s="128"/>
      <c r="H731" s="128"/>
      <c r="I731" s="128"/>
      <c r="J731" s="126"/>
      <c r="K731" s="126"/>
      <c r="L731" s="126"/>
      <c r="M731" s="125"/>
      <c r="N731" s="126"/>
    </row>
    <row r="732" spans="1:14" x14ac:dyDescent="0.35">
      <c r="A732" s="126"/>
      <c r="B732" s="127"/>
      <c r="C732" s="126"/>
      <c r="D732" s="126"/>
      <c r="E732" s="128"/>
      <c r="F732" s="128"/>
      <c r="G732" s="128"/>
      <c r="H732" s="128"/>
      <c r="I732" s="128"/>
      <c r="J732" s="126"/>
      <c r="K732" s="126"/>
      <c r="L732" s="126"/>
      <c r="M732" s="125"/>
      <c r="N732" s="126"/>
    </row>
    <row r="733" spans="1:14" x14ac:dyDescent="0.35">
      <c r="A733" s="126"/>
      <c r="B733" s="127"/>
      <c r="C733" s="126"/>
      <c r="D733" s="126"/>
      <c r="E733" s="128"/>
      <c r="F733" s="128"/>
      <c r="G733" s="128"/>
      <c r="H733" s="128"/>
      <c r="I733" s="128"/>
      <c r="J733" s="126"/>
      <c r="K733" s="126"/>
      <c r="L733" s="126"/>
      <c r="M733" s="125"/>
      <c r="N733" s="126"/>
    </row>
    <row r="734" spans="1:14" x14ac:dyDescent="0.35">
      <c r="A734" s="126"/>
      <c r="B734" s="127"/>
      <c r="C734" s="126"/>
      <c r="D734" s="126"/>
      <c r="E734" s="128"/>
      <c r="F734" s="128"/>
      <c r="G734" s="128"/>
      <c r="H734" s="128"/>
      <c r="I734" s="128"/>
      <c r="J734" s="126"/>
      <c r="K734" s="126"/>
      <c r="L734" s="126"/>
      <c r="M734" s="125"/>
      <c r="N734" s="126"/>
    </row>
    <row r="735" spans="1:14" x14ac:dyDescent="0.35">
      <c r="A735" s="126"/>
      <c r="B735" s="127"/>
      <c r="C735" s="126"/>
      <c r="D735" s="126"/>
      <c r="E735" s="128"/>
      <c r="F735" s="128"/>
      <c r="G735" s="128"/>
      <c r="H735" s="128"/>
      <c r="I735" s="128"/>
      <c r="J735" s="126"/>
      <c r="K735" s="126"/>
      <c r="L735" s="126"/>
      <c r="M735" s="125"/>
      <c r="N735" s="126"/>
    </row>
    <row r="736" spans="1:14" x14ac:dyDescent="0.35">
      <c r="A736" s="126"/>
      <c r="B736" s="127"/>
      <c r="C736" s="126"/>
      <c r="D736" s="126"/>
      <c r="E736" s="128"/>
      <c r="F736" s="128"/>
      <c r="G736" s="128"/>
      <c r="H736" s="128"/>
      <c r="I736" s="128"/>
      <c r="J736" s="126"/>
      <c r="K736" s="126"/>
      <c r="L736" s="126"/>
      <c r="M736" s="125"/>
      <c r="N736" s="126"/>
    </row>
    <row r="737" spans="1:14" x14ac:dyDescent="0.35">
      <c r="A737" s="126"/>
      <c r="B737" s="127"/>
      <c r="C737" s="126"/>
      <c r="D737" s="126"/>
      <c r="E737" s="128"/>
      <c r="F737" s="128"/>
      <c r="G737" s="128"/>
      <c r="H737" s="128"/>
      <c r="I737" s="128"/>
      <c r="J737" s="126"/>
      <c r="K737" s="126"/>
      <c r="L737" s="126"/>
      <c r="M737" s="125"/>
      <c r="N737" s="126"/>
    </row>
    <row r="738" spans="1:14" x14ac:dyDescent="0.35">
      <c r="A738" s="126"/>
      <c r="B738" s="127"/>
      <c r="C738" s="126"/>
      <c r="D738" s="126"/>
      <c r="E738" s="128"/>
      <c r="F738" s="128"/>
      <c r="G738" s="128"/>
      <c r="H738" s="128"/>
      <c r="I738" s="128"/>
      <c r="J738" s="126"/>
      <c r="K738" s="126"/>
      <c r="L738" s="126"/>
      <c r="M738" s="125"/>
      <c r="N738" s="126"/>
    </row>
    <row r="739" spans="1:14" x14ac:dyDescent="0.35">
      <c r="A739" s="126"/>
      <c r="B739" s="127"/>
      <c r="C739" s="126"/>
      <c r="D739" s="126"/>
      <c r="E739" s="128"/>
      <c r="F739" s="128"/>
      <c r="G739" s="128"/>
      <c r="H739" s="128"/>
      <c r="I739" s="128"/>
      <c r="J739" s="126"/>
      <c r="K739" s="126"/>
      <c r="L739" s="126"/>
      <c r="M739" s="125"/>
      <c r="N739" s="126"/>
    </row>
    <row r="740" spans="1:14" x14ac:dyDescent="0.35">
      <c r="A740" s="126"/>
      <c r="B740" s="127"/>
      <c r="C740" s="126"/>
      <c r="D740" s="126"/>
      <c r="E740" s="128"/>
      <c r="F740" s="128"/>
      <c r="G740" s="128"/>
      <c r="H740" s="128"/>
      <c r="I740" s="128"/>
      <c r="J740" s="126"/>
      <c r="K740" s="126"/>
      <c r="L740" s="126"/>
      <c r="M740" s="125"/>
      <c r="N740" s="126"/>
    </row>
    <row r="741" spans="1:14" x14ac:dyDescent="0.35">
      <c r="A741" s="126"/>
      <c r="B741" s="127"/>
      <c r="C741" s="126"/>
      <c r="D741" s="126"/>
      <c r="E741" s="128"/>
      <c r="F741" s="128"/>
      <c r="G741" s="128"/>
      <c r="H741" s="128"/>
      <c r="I741" s="128"/>
      <c r="J741" s="126"/>
      <c r="K741" s="126"/>
      <c r="L741" s="126"/>
      <c r="M741" s="125"/>
      <c r="N741" s="126"/>
    </row>
    <row r="742" spans="1:14" x14ac:dyDescent="0.35">
      <c r="A742" s="126"/>
      <c r="B742" s="127"/>
      <c r="C742" s="126"/>
      <c r="D742" s="126"/>
      <c r="E742" s="128"/>
      <c r="F742" s="128"/>
      <c r="G742" s="128"/>
      <c r="H742" s="128"/>
      <c r="I742" s="128"/>
      <c r="J742" s="126"/>
      <c r="K742" s="126"/>
      <c r="L742" s="126"/>
      <c r="M742" s="125"/>
      <c r="N742" s="126"/>
    </row>
    <row r="743" spans="1:14" x14ac:dyDescent="0.35">
      <c r="A743" s="126"/>
      <c r="B743" s="127"/>
      <c r="C743" s="126"/>
      <c r="D743" s="126"/>
      <c r="E743" s="128"/>
      <c r="F743" s="128"/>
      <c r="G743" s="128"/>
      <c r="H743" s="128"/>
      <c r="I743" s="128"/>
      <c r="J743" s="126"/>
      <c r="K743" s="126"/>
      <c r="L743" s="126"/>
      <c r="M743" s="125"/>
      <c r="N743" s="126"/>
    </row>
    <row r="744" spans="1:14" x14ac:dyDescent="0.35">
      <c r="A744" s="126"/>
      <c r="B744" s="127"/>
      <c r="C744" s="126"/>
      <c r="D744" s="126"/>
      <c r="E744" s="128"/>
      <c r="F744" s="128"/>
      <c r="G744" s="128"/>
      <c r="H744" s="128"/>
      <c r="I744" s="128"/>
      <c r="J744" s="126"/>
      <c r="K744" s="126"/>
      <c r="L744" s="126"/>
      <c r="M744" s="125"/>
      <c r="N744" s="126"/>
    </row>
    <row r="745" spans="1:14" x14ac:dyDescent="0.35">
      <c r="A745" s="126"/>
      <c r="B745" s="127"/>
      <c r="C745" s="126"/>
      <c r="D745" s="126"/>
      <c r="E745" s="128"/>
      <c r="F745" s="128"/>
      <c r="G745" s="128"/>
      <c r="H745" s="128"/>
      <c r="I745" s="128"/>
      <c r="J745" s="126"/>
      <c r="K745" s="126"/>
      <c r="L745" s="126"/>
      <c r="M745" s="125"/>
      <c r="N745" s="126"/>
    </row>
    <row r="746" spans="1:14" x14ac:dyDescent="0.35">
      <c r="A746" s="126"/>
      <c r="B746" s="127"/>
      <c r="C746" s="126"/>
      <c r="D746" s="126"/>
      <c r="E746" s="128"/>
      <c r="F746" s="128"/>
      <c r="G746" s="128"/>
      <c r="H746" s="128"/>
      <c r="I746" s="128"/>
      <c r="J746" s="126"/>
      <c r="K746" s="126"/>
      <c r="L746" s="126"/>
      <c r="M746" s="125"/>
      <c r="N746" s="126"/>
    </row>
    <row r="747" spans="1:14" x14ac:dyDescent="0.35">
      <c r="A747" s="126"/>
      <c r="B747" s="127"/>
      <c r="C747" s="126"/>
      <c r="D747" s="126"/>
      <c r="E747" s="128"/>
      <c r="F747" s="128"/>
      <c r="G747" s="128"/>
      <c r="H747" s="128"/>
      <c r="I747" s="128"/>
      <c r="J747" s="126"/>
      <c r="K747" s="126"/>
      <c r="L747" s="126"/>
      <c r="M747" s="125"/>
      <c r="N747" s="126"/>
    </row>
    <row r="748" spans="1:14" x14ac:dyDescent="0.35">
      <c r="A748" s="126"/>
      <c r="B748" s="127"/>
      <c r="C748" s="126"/>
      <c r="D748" s="126"/>
      <c r="E748" s="128"/>
      <c r="F748" s="128"/>
      <c r="G748" s="128"/>
      <c r="H748" s="128"/>
      <c r="I748" s="128"/>
      <c r="J748" s="126"/>
      <c r="K748" s="126"/>
      <c r="L748" s="126"/>
      <c r="M748" s="125"/>
      <c r="N748" s="126"/>
    </row>
    <row r="749" spans="1:14" x14ac:dyDescent="0.35">
      <c r="A749" s="126"/>
      <c r="B749" s="127"/>
      <c r="C749" s="126"/>
      <c r="D749" s="126"/>
      <c r="E749" s="128"/>
      <c r="F749" s="128"/>
      <c r="G749" s="128"/>
      <c r="H749" s="128"/>
      <c r="I749" s="128"/>
      <c r="J749" s="126"/>
      <c r="K749" s="126"/>
      <c r="L749" s="126"/>
      <c r="M749" s="125"/>
      <c r="N749" s="126"/>
    </row>
    <row r="750" spans="1:14" x14ac:dyDescent="0.35">
      <c r="A750" s="126"/>
      <c r="B750" s="127"/>
      <c r="C750" s="126"/>
      <c r="D750" s="126"/>
      <c r="E750" s="128"/>
      <c r="F750" s="128"/>
      <c r="G750" s="128"/>
      <c r="H750" s="128"/>
      <c r="I750" s="128"/>
      <c r="J750" s="126"/>
      <c r="K750" s="126"/>
      <c r="L750" s="126"/>
      <c r="M750" s="125"/>
      <c r="N750" s="126"/>
    </row>
    <row r="751" spans="1:14" x14ac:dyDescent="0.35">
      <c r="A751" s="126"/>
      <c r="B751" s="127"/>
      <c r="C751" s="126"/>
      <c r="D751" s="126"/>
      <c r="E751" s="128"/>
      <c r="F751" s="128"/>
      <c r="G751" s="128"/>
      <c r="H751" s="128"/>
      <c r="I751" s="128"/>
      <c r="J751" s="126"/>
      <c r="K751" s="126"/>
      <c r="L751" s="126"/>
      <c r="M751" s="125"/>
      <c r="N751" s="126"/>
    </row>
    <row r="752" spans="1:14" x14ac:dyDescent="0.35">
      <c r="A752" s="126"/>
      <c r="B752" s="127"/>
      <c r="C752" s="126"/>
      <c r="D752" s="126"/>
      <c r="E752" s="128"/>
      <c r="F752" s="128"/>
      <c r="G752" s="128"/>
      <c r="H752" s="128"/>
      <c r="I752" s="128"/>
      <c r="J752" s="126"/>
      <c r="K752" s="126"/>
      <c r="L752" s="126"/>
      <c r="M752" s="125"/>
      <c r="N752" s="126"/>
    </row>
    <row r="753" spans="1:14" x14ac:dyDescent="0.35">
      <c r="A753" s="126"/>
      <c r="B753" s="127"/>
      <c r="C753" s="126"/>
      <c r="D753" s="126"/>
      <c r="E753" s="128"/>
      <c r="F753" s="128"/>
      <c r="G753" s="128"/>
      <c r="H753" s="128"/>
      <c r="I753" s="128"/>
      <c r="J753" s="126"/>
      <c r="K753" s="126"/>
      <c r="L753" s="126"/>
      <c r="M753" s="125"/>
      <c r="N753" s="126"/>
    </row>
    <row r="754" spans="1:14" x14ac:dyDescent="0.35">
      <c r="A754" s="126"/>
      <c r="B754" s="127"/>
      <c r="C754" s="126"/>
      <c r="D754" s="126"/>
      <c r="E754" s="128"/>
      <c r="F754" s="128"/>
      <c r="G754" s="128"/>
      <c r="H754" s="128"/>
      <c r="I754" s="128"/>
      <c r="J754" s="126"/>
      <c r="K754" s="126"/>
      <c r="L754" s="126"/>
      <c r="M754" s="125"/>
      <c r="N754" s="126"/>
    </row>
    <row r="755" spans="1:14" x14ac:dyDescent="0.35">
      <c r="A755" s="126"/>
      <c r="B755" s="127"/>
      <c r="C755" s="126"/>
      <c r="D755" s="126"/>
      <c r="E755" s="128"/>
      <c r="F755" s="128"/>
      <c r="G755" s="128"/>
      <c r="H755" s="128"/>
      <c r="I755" s="128"/>
      <c r="J755" s="126"/>
      <c r="K755" s="126"/>
      <c r="L755" s="126"/>
      <c r="M755" s="125"/>
      <c r="N755" s="126"/>
    </row>
    <row r="756" spans="1:14" x14ac:dyDescent="0.35">
      <c r="A756" s="126"/>
      <c r="B756" s="127"/>
      <c r="C756" s="126"/>
      <c r="D756" s="126"/>
      <c r="E756" s="128"/>
      <c r="F756" s="128"/>
      <c r="G756" s="128"/>
      <c r="H756" s="128"/>
      <c r="I756" s="128"/>
      <c r="J756" s="126"/>
      <c r="K756" s="126"/>
      <c r="L756" s="126"/>
      <c r="M756" s="125"/>
      <c r="N756" s="126"/>
    </row>
    <row r="757" spans="1:14" x14ac:dyDescent="0.35">
      <c r="A757" s="126"/>
      <c r="B757" s="127"/>
      <c r="C757" s="126"/>
      <c r="D757" s="126"/>
      <c r="E757" s="128"/>
      <c r="F757" s="128"/>
      <c r="G757" s="128"/>
      <c r="H757" s="128"/>
      <c r="I757" s="128"/>
      <c r="J757" s="126"/>
      <c r="K757" s="126"/>
      <c r="L757" s="126"/>
      <c r="M757" s="125"/>
      <c r="N757" s="126"/>
    </row>
    <row r="758" spans="1:14" x14ac:dyDescent="0.35">
      <c r="A758" s="126"/>
      <c r="B758" s="127"/>
      <c r="C758" s="126"/>
      <c r="D758" s="126"/>
      <c r="E758" s="128"/>
      <c r="F758" s="128"/>
      <c r="G758" s="128"/>
      <c r="H758" s="128"/>
      <c r="I758" s="128"/>
      <c r="J758" s="126"/>
      <c r="K758" s="126"/>
      <c r="L758" s="126"/>
      <c r="M758" s="125"/>
      <c r="N758" s="126"/>
    </row>
    <row r="759" spans="1:14" x14ac:dyDescent="0.35">
      <c r="A759" s="126"/>
      <c r="B759" s="127"/>
      <c r="C759" s="126"/>
      <c r="D759" s="126"/>
      <c r="E759" s="128"/>
      <c r="F759" s="128"/>
      <c r="G759" s="128"/>
      <c r="H759" s="128"/>
      <c r="I759" s="128"/>
      <c r="J759" s="126"/>
      <c r="K759" s="126"/>
      <c r="L759" s="126"/>
      <c r="M759" s="125"/>
      <c r="N759" s="126"/>
    </row>
    <row r="760" spans="1:14" x14ac:dyDescent="0.35">
      <c r="A760" s="126"/>
      <c r="B760" s="127"/>
      <c r="C760" s="126"/>
      <c r="D760" s="126"/>
      <c r="E760" s="128"/>
      <c r="F760" s="128"/>
      <c r="G760" s="128"/>
      <c r="H760" s="128"/>
      <c r="I760" s="128"/>
      <c r="J760" s="126"/>
      <c r="K760" s="126"/>
      <c r="L760" s="126"/>
      <c r="M760" s="125"/>
      <c r="N760" s="126"/>
    </row>
    <row r="761" spans="1:14" x14ac:dyDescent="0.35">
      <c r="A761" s="126"/>
      <c r="B761" s="127"/>
      <c r="C761" s="126"/>
      <c r="D761" s="126"/>
      <c r="E761" s="128"/>
      <c r="F761" s="128"/>
      <c r="G761" s="128"/>
      <c r="H761" s="128"/>
      <c r="I761" s="128"/>
      <c r="J761" s="126"/>
      <c r="K761" s="126"/>
      <c r="L761" s="126"/>
      <c r="M761" s="125"/>
      <c r="N761" s="126"/>
    </row>
    <row r="762" spans="1:14" x14ac:dyDescent="0.35">
      <c r="A762" s="126"/>
      <c r="B762" s="127"/>
      <c r="C762" s="126"/>
      <c r="D762" s="126"/>
      <c r="E762" s="128"/>
      <c r="F762" s="128"/>
      <c r="G762" s="128"/>
      <c r="H762" s="128"/>
      <c r="I762" s="128"/>
      <c r="J762" s="126"/>
      <c r="K762" s="126"/>
      <c r="L762" s="126"/>
      <c r="M762" s="125"/>
      <c r="N762" s="126"/>
    </row>
    <row r="763" spans="1:14" x14ac:dyDescent="0.35">
      <c r="A763" s="126"/>
      <c r="B763" s="127"/>
      <c r="C763" s="126"/>
      <c r="D763" s="126"/>
      <c r="E763" s="128"/>
      <c r="F763" s="128"/>
      <c r="G763" s="128"/>
      <c r="H763" s="128"/>
      <c r="I763" s="128"/>
      <c r="J763" s="126"/>
      <c r="K763" s="126"/>
      <c r="L763" s="126"/>
      <c r="M763" s="125"/>
      <c r="N763" s="126"/>
    </row>
    <row r="764" spans="1:14" x14ac:dyDescent="0.35">
      <c r="A764" s="126"/>
      <c r="B764" s="127"/>
      <c r="C764" s="126"/>
      <c r="D764" s="126"/>
      <c r="E764" s="128"/>
      <c r="F764" s="128"/>
      <c r="G764" s="128"/>
      <c r="H764" s="128"/>
      <c r="I764" s="128"/>
      <c r="J764" s="126"/>
      <c r="K764" s="126"/>
      <c r="L764" s="126"/>
      <c r="M764" s="125"/>
      <c r="N764" s="126"/>
    </row>
    <row r="765" spans="1:14" x14ac:dyDescent="0.35">
      <c r="A765" s="126"/>
      <c r="B765" s="127"/>
      <c r="C765" s="126"/>
      <c r="D765" s="126"/>
      <c r="E765" s="128"/>
      <c r="F765" s="128"/>
      <c r="G765" s="128"/>
      <c r="H765" s="128"/>
      <c r="I765" s="128"/>
      <c r="J765" s="126"/>
      <c r="K765" s="126"/>
      <c r="L765" s="126"/>
      <c r="M765" s="125"/>
      <c r="N765" s="126"/>
    </row>
    <row r="766" spans="1:14" x14ac:dyDescent="0.35">
      <c r="A766" s="126"/>
      <c r="B766" s="127"/>
      <c r="C766" s="126"/>
      <c r="D766" s="126"/>
      <c r="E766" s="128"/>
      <c r="F766" s="128"/>
      <c r="G766" s="128"/>
      <c r="H766" s="128"/>
      <c r="I766" s="128"/>
      <c r="J766" s="126"/>
      <c r="K766" s="126"/>
      <c r="L766" s="126"/>
      <c r="M766" s="125"/>
      <c r="N766" s="126"/>
    </row>
    <row r="767" spans="1:14" x14ac:dyDescent="0.35">
      <c r="A767" s="126"/>
      <c r="B767" s="127"/>
      <c r="C767" s="126"/>
      <c r="D767" s="126"/>
      <c r="E767" s="128"/>
      <c r="F767" s="128"/>
      <c r="G767" s="128"/>
      <c r="H767" s="128"/>
      <c r="I767" s="128"/>
      <c r="J767" s="126"/>
      <c r="K767" s="126"/>
      <c r="L767" s="126"/>
      <c r="M767" s="125"/>
      <c r="N767" s="126"/>
    </row>
    <row r="768" spans="1:14" x14ac:dyDescent="0.35">
      <c r="A768" s="126"/>
      <c r="B768" s="127"/>
      <c r="C768" s="126"/>
      <c r="D768" s="126"/>
      <c r="E768" s="128"/>
      <c r="F768" s="128"/>
      <c r="G768" s="128"/>
      <c r="H768" s="128"/>
      <c r="I768" s="128"/>
      <c r="J768" s="126"/>
      <c r="K768" s="126"/>
      <c r="L768" s="126"/>
      <c r="M768" s="125"/>
      <c r="N768" s="126"/>
    </row>
    <row r="769" spans="1:14" x14ac:dyDescent="0.35">
      <c r="A769" s="126"/>
      <c r="B769" s="127"/>
      <c r="C769" s="126"/>
      <c r="D769" s="126"/>
      <c r="E769" s="128"/>
      <c r="F769" s="128"/>
      <c r="G769" s="128"/>
      <c r="H769" s="128"/>
      <c r="I769" s="128"/>
      <c r="J769" s="126"/>
      <c r="K769" s="126"/>
      <c r="L769" s="126"/>
      <c r="M769" s="125"/>
      <c r="N769" s="126"/>
    </row>
    <row r="770" spans="1:14" x14ac:dyDescent="0.35">
      <c r="A770" s="126"/>
      <c r="B770" s="127"/>
      <c r="C770" s="126"/>
      <c r="D770" s="126"/>
      <c r="E770" s="128"/>
      <c r="F770" s="128"/>
      <c r="G770" s="128"/>
      <c r="H770" s="128"/>
      <c r="I770" s="128"/>
      <c r="J770" s="126"/>
      <c r="K770" s="126"/>
      <c r="L770" s="126"/>
      <c r="M770" s="125"/>
      <c r="N770" s="126"/>
    </row>
    <row r="771" spans="1:14" x14ac:dyDescent="0.35">
      <c r="A771" s="126"/>
      <c r="B771" s="127"/>
      <c r="C771" s="126"/>
      <c r="D771" s="126"/>
      <c r="E771" s="128"/>
      <c r="F771" s="128"/>
      <c r="G771" s="128"/>
      <c r="H771" s="128"/>
      <c r="I771" s="128"/>
      <c r="J771" s="126"/>
      <c r="K771" s="126"/>
      <c r="L771" s="126"/>
      <c r="M771" s="125"/>
      <c r="N771" s="126"/>
    </row>
    <row r="772" spans="1:14" x14ac:dyDescent="0.35">
      <c r="A772" s="126"/>
      <c r="B772" s="127"/>
      <c r="C772" s="126"/>
      <c r="D772" s="126"/>
      <c r="E772" s="128"/>
      <c r="F772" s="128"/>
      <c r="G772" s="128"/>
      <c r="H772" s="128"/>
      <c r="I772" s="128"/>
      <c r="J772" s="126"/>
      <c r="K772" s="126"/>
      <c r="L772" s="126"/>
      <c r="M772" s="125"/>
      <c r="N772" s="126"/>
    </row>
    <row r="773" spans="1:14" x14ac:dyDescent="0.35">
      <c r="A773" s="126"/>
      <c r="B773" s="127"/>
      <c r="C773" s="126"/>
      <c r="D773" s="126"/>
      <c r="E773" s="128"/>
      <c r="F773" s="128"/>
      <c r="G773" s="128"/>
      <c r="H773" s="128"/>
      <c r="I773" s="128"/>
      <c r="J773" s="126"/>
      <c r="K773" s="126"/>
      <c r="L773" s="126"/>
      <c r="M773" s="125"/>
      <c r="N773" s="126"/>
    </row>
    <row r="774" spans="1:14" x14ac:dyDescent="0.35">
      <c r="A774" s="126"/>
      <c r="B774" s="127"/>
      <c r="C774" s="126"/>
      <c r="D774" s="126"/>
      <c r="E774" s="128"/>
      <c r="F774" s="128"/>
      <c r="G774" s="128"/>
      <c r="H774" s="128"/>
      <c r="I774" s="128"/>
      <c r="J774" s="126"/>
      <c r="K774" s="126"/>
      <c r="L774" s="126"/>
      <c r="M774" s="125"/>
      <c r="N774" s="126"/>
    </row>
    <row r="775" spans="1:14" x14ac:dyDescent="0.35">
      <c r="A775" s="126"/>
      <c r="B775" s="127"/>
      <c r="C775" s="126"/>
      <c r="D775" s="126"/>
      <c r="E775" s="128"/>
      <c r="F775" s="128"/>
      <c r="G775" s="128"/>
      <c r="H775" s="128"/>
      <c r="I775" s="128"/>
      <c r="J775" s="126"/>
      <c r="K775" s="126"/>
      <c r="L775" s="126"/>
      <c r="M775" s="125"/>
      <c r="N775" s="126"/>
    </row>
    <row r="776" spans="1:14" x14ac:dyDescent="0.35">
      <c r="A776" s="126"/>
      <c r="B776" s="127"/>
      <c r="C776" s="126"/>
      <c r="D776" s="126"/>
      <c r="E776" s="128"/>
      <c r="F776" s="128"/>
      <c r="G776" s="128"/>
      <c r="H776" s="128"/>
      <c r="I776" s="128"/>
      <c r="J776" s="126"/>
      <c r="K776" s="126"/>
      <c r="L776" s="126"/>
      <c r="M776" s="125"/>
      <c r="N776" s="126"/>
    </row>
    <row r="777" spans="1:14" x14ac:dyDescent="0.35">
      <c r="A777" s="126"/>
      <c r="B777" s="127"/>
      <c r="C777" s="126"/>
      <c r="D777" s="126"/>
      <c r="E777" s="128"/>
      <c r="F777" s="128"/>
      <c r="G777" s="128"/>
      <c r="H777" s="128"/>
      <c r="I777" s="128"/>
      <c r="J777" s="126"/>
      <c r="K777" s="126"/>
      <c r="L777" s="126"/>
      <c r="M777" s="125"/>
      <c r="N777" s="126"/>
    </row>
    <row r="778" spans="1:14" x14ac:dyDescent="0.35">
      <c r="A778" s="126"/>
      <c r="B778" s="127"/>
      <c r="C778" s="126"/>
      <c r="D778" s="126"/>
      <c r="E778" s="128"/>
      <c r="F778" s="128"/>
      <c r="G778" s="128"/>
      <c r="H778" s="128"/>
      <c r="I778" s="128"/>
      <c r="J778" s="126"/>
      <c r="K778" s="126"/>
      <c r="L778" s="126"/>
      <c r="M778" s="125"/>
      <c r="N778" s="126"/>
    </row>
    <row r="779" spans="1:14" x14ac:dyDescent="0.35">
      <c r="A779" s="126"/>
      <c r="B779" s="127"/>
      <c r="C779" s="126"/>
      <c r="D779" s="126"/>
      <c r="E779" s="128"/>
      <c r="F779" s="128"/>
      <c r="G779" s="128"/>
      <c r="H779" s="128"/>
      <c r="I779" s="128"/>
      <c r="J779" s="126"/>
      <c r="K779" s="126"/>
      <c r="L779" s="126"/>
      <c r="M779" s="125"/>
      <c r="N779" s="126"/>
    </row>
    <row r="780" spans="1:14" x14ac:dyDescent="0.35">
      <c r="A780" s="126"/>
      <c r="B780" s="127"/>
      <c r="C780" s="126"/>
      <c r="D780" s="126"/>
      <c r="E780" s="128"/>
      <c r="F780" s="128"/>
      <c r="G780" s="128"/>
      <c r="H780" s="128"/>
      <c r="I780" s="128"/>
      <c r="J780" s="126"/>
      <c r="K780" s="126"/>
      <c r="L780" s="126"/>
      <c r="M780" s="125"/>
      <c r="N780" s="126"/>
    </row>
    <row r="781" spans="1:14" x14ac:dyDescent="0.35">
      <c r="A781" s="126"/>
      <c r="B781" s="127"/>
      <c r="C781" s="126"/>
      <c r="D781" s="126"/>
      <c r="E781" s="128"/>
      <c r="F781" s="128"/>
      <c r="G781" s="128"/>
      <c r="H781" s="128"/>
      <c r="I781" s="128"/>
      <c r="J781" s="126"/>
      <c r="K781" s="126"/>
      <c r="L781" s="126"/>
      <c r="M781" s="125"/>
      <c r="N781" s="126"/>
    </row>
    <row r="782" spans="1:14" x14ac:dyDescent="0.35">
      <c r="A782" s="126"/>
      <c r="B782" s="127"/>
      <c r="C782" s="126"/>
      <c r="D782" s="126"/>
      <c r="E782" s="128"/>
      <c r="F782" s="128"/>
      <c r="G782" s="128"/>
      <c r="H782" s="128"/>
      <c r="I782" s="128"/>
      <c r="J782" s="126"/>
      <c r="K782" s="126"/>
      <c r="L782" s="126"/>
      <c r="M782" s="125"/>
      <c r="N782" s="126"/>
    </row>
    <row r="783" spans="1:14" x14ac:dyDescent="0.35">
      <c r="A783" s="126"/>
      <c r="B783" s="127"/>
      <c r="C783" s="126"/>
      <c r="D783" s="126"/>
      <c r="E783" s="128"/>
      <c r="F783" s="128"/>
      <c r="G783" s="128"/>
      <c r="H783" s="128"/>
      <c r="I783" s="128"/>
      <c r="J783" s="126"/>
      <c r="K783" s="126"/>
      <c r="L783" s="126"/>
      <c r="M783" s="125"/>
      <c r="N783" s="126"/>
    </row>
    <row r="784" spans="1:14" x14ac:dyDescent="0.35">
      <c r="A784" s="126"/>
      <c r="B784" s="127"/>
      <c r="C784" s="126"/>
      <c r="D784" s="126"/>
      <c r="E784" s="128"/>
      <c r="F784" s="128"/>
      <c r="G784" s="128"/>
      <c r="H784" s="128"/>
      <c r="I784" s="128"/>
      <c r="J784" s="126"/>
      <c r="K784" s="126"/>
      <c r="L784" s="126"/>
      <c r="M784" s="125"/>
      <c r="N784" s="126"/>
    </row>
    <row r="785" spans="1:14" x14ac:dyDescent="0.35">
      <c r="A785" s="126"/>
      <c r="B785" s="127"/>
      <c r="C785" s="126"/>
      <c r="D785" s="126"/>
      <c r="E785" s="128"/>
      <c r="F785" s="128"/>
      <c r="G785" s="128"/>
      <c r="H785" s="128"/>
      <c r="I785" s="128"/>
      <c r="J785" s="126"/>
      <c r="K785" s="126"/>
      <c r="L785" s="126"/>
      <c r="M785" s="125"/>
      <c r="N785" s="126"/>
    </row>
    <row r="786" spans="1:14" x14ac:dyDescent="0.35">
      <c r="A786" s="126"/>
      <c r="B786" s="127"/>
      <c r="C786" s="126"/>
      <c r="D786" s="126"/>
      <c r="E786" s="128"/>
      <c r="F786" s="128"/>
      <c r="G786" s="128"/>
      <c r="H786" s="128"/>
      <c r="I786" s="128"/>
      <c r="J786" s="126"/>
      <c r="K786" s="126"/>
      <c r="L786" s="126"/>
      <c r="M786" s="125"/>
      <c r="N786" s="126"/>
    </row>
    <row r="787" spans="1:14" x14ac:dyDescent="0.35">
      <c r="A787" s="126"/>
      <c r="B787" s="127"/>
      <c r="C787" s="126"/>
      <c r="D787" s="126"/>
      <c r="E787" s="128"/>
      <c r="F787" s="128"/>
      <c r="G787" s="128"/>
      <c r="H787" s="128"/>
      <c r="I787" s="128"/>
      <c r="J787" s="126"/>
      <c r="K787" s="126"/>
      <c r="L787" s="126"/>
      <c r="M787" s="125"/>
      <c r="N787" s="126"/>
    </row>
    <row r="788" spans="1:14" x14ac:dyDescent="0.35">
      <c r="A788" s="126"/>
      <c r="B788" s="127"/>
      <c r="C788" s="126"/>
      <c r="D788" s="126"/>
      <c r="E788" s="128"/>
      <c r="F788" s="128"/>
      <c r="G788" s="128"/>
      <c r="H788" s="128"/>
      <c r="I788" s="128"/>
      <c r="J788" s="126"/>
      <c r="K788" s="126"/>
      <c r="L788" s="126"/>
      <c r="M788" s="125"/>
      <c r="N788" s="126"/>
    </row>
    <row r="789" spans="1:14" x14ac:dyDescent="0.35">
      <c r="A789" s="126"/>
      <c r="B789" s="127"/>
      <c r="C789" s="126"/>
      <c r="D789" s="126"/>
      <c r="E789" s="128"/>
      <c r="F789" s="128"/>
      <c r="G789" s="128"/>
      <c r="H789" s="128"/>
      <c r="I789" s="128"/>
      <c r="J789" s="126"/>
      <c r="K789" s="126"/>
      <c r="L789" s="126"/>
      <c r="M789" s="125"/>
      <c r="N789" s="126"/>
    </row>
    <row r="790" spans="1:14" x14ac:dyDescent="0.35">
      <c r="A790" s="126"/>
      <c r="B790" s="127"/>
      <c r="C790" s="126"/>
      <c r="D790" s="126"/>
      <c r="E790" s="128"/>
      <c r="F790" s="128"/>
      <c r="G790" s="128"/>
      <c r="H790" s="128"/>
      <c r="I790" s="128"/>
      <c r="J790" s="126"/>
      <c r="K790" s="126"/>
      <c r="L790" s="126"/>
      <c r="M790" s="125"/>
      <c r="N790" s="126"/>
    </row>
    <row r="791" spans="1:14" x14ac:dyDescent="0.35">
      <c r="A791" s="126"/>
      <c r="B791" s="127"/>
      <c r="C791" s="126"/>
      <c r="D791" s="126"/>
      <c r="E791" s="128"/>
      <c r="F791" s="128"/>
      <c r="G791" s="128"/>
      <c r="H791" s="128"/>
      <c r="I791" s="128"/>
      <c r="J791" s="126"/>
      <c r="K791" s="126"/>
      <c r="L791" s="126"/>
      <c r="M791" s="125"/>
      <c r="N791" s="126"/>
    </row>
    <row r="792" spans="1:14" x14ac:dyDescent="0.35">
      <c r="A792" s="126"/>
      <c r="B792" s="127"/>
      <c r="C792" s="126"/>
      <c r="D792" s="126"/>
      <c r="E792" s="128"/>
      <c r="F792" s="128"/>
      <c r="G792" s="128"/>
      <c r="H792" s="128"/>
      <c r="I792" s="128"/>
      <c r="J792" s="126"/>
      <c r="K792" s="126"/>
      <c r="L792" s="126"/>
      <c r="M792" s="125"/>
      <c r="N792" s="126"/>
    </row>
    <row r="793" spans="1:14" x14ac:dyDescent="0.35">
      <c r="A793" s="126"/>
      <c r="B793" s="127"/>
      <c r="C793" s="126"/>
      <c r="D793" s="126"/>
      <c r="E793" s="128"/>
      <c r="F793" s="128"/>
      <c r="G793" s="128"/>
      <c r="H793" s="128"/>
      <c r="I793" s="128"/>
      <c r="J793" s="126"/>
      <c r="K793" s="126"/>
      <c r="L793" s="126"/>
      <c r="M793" s="125"/>
      <c r="N793" s="126"/>
    </row>
    <row r="794" spans="1:14" x14ac:dyDescent="0.35">
      <c r="A794" s="126"/>
      <c r="B794" s="127"/>
      <c r="C794" s="126"/>
      <c r="D794" s="126"/>
      <c r="E794" s="128"/>
      <c r="F794" s="128"/>
      <c r="G794" s="128"/>
      <c r="H794" s="128"/>
      <c r="I794" s="128"/>
      <c r="J794" s="126"/>
      <c r="K794" s="126"/>
      <c r="L794" s="126"/>
      <c r="M794" s="125"/>
      <c r="N794" s="126"/>
    </row>
    <row r="795" spans="1:14" x14ac:dyDescent="0.35">
      <c r="A795" s="126"/>
      <c r="B795" s="127"/>
      <c r="C795" s="126"/>
      <c r="D795" s="126"/>
      <c r="E795" s="128"/>
      <c r="F795" s="128"/>
      <c r="G795" s="128"/>
      <c r="H795" s="128"/>
      <c r="I795" s="128"/>
      <c r="J795" s="126"/>
      <c r="K795" s="126"/>
      <c r="L795" s="126"/>
      <c r="M795" s="125"/>
      <c r="N795" s="126"/>
    </row>
    <row r="796" spans="1:14" x14ac:dyDescent="0.35">
      <c r="A796" s="126"/>
      <c r="B796" s="127"/>
      <c r="C796" s="126"/>
      <c r="D796" s="126"/>
      <c r="E796" s="128"/>
      <c r="F796" s="128"/>
      <c r="G796" s="128"/>
      <c r="H796" s="128"/>
      <c r="I796" s="128"/>
      <c r="J796" s="126"/>
      <c r="K796" s="126"/>
      <c r="L796" s="126"/>
      <c r="M796" s="125"/>
      <c r="N796" s="126"/>
    </row>
    <row r="797" spans="1:14" x14ac:dyDescent="0.35">
      <c r="A797" s="126"/>
      <c r="B797" s="127"/>
      <c r="C797" s="126"/>
      <c r="D797" s="126"/>
      <c r="E797" s="128"/>
      <c r="F797" s="128"/>
      <c r="G797" s="128"/>
      <c r="H797" s="128"/>
      <c r="I797" s="128"/>
      <c r="J797" s="126"/>
      <c r="K797" s="126"/>
      <c r="L797" s="126"/>
      <c r="M797" s="125"/>
      <c r="N797" s="126"/>
    </row>
    <row r="798" spans="1:14" x14ac:dyDescent="0.35">
      <c r="A798" s="126"/>
      <c r="B798" s="127"/>
      <c r="C798" s="126"/>
      <c r="D798" s="126"/>
      <c r="E798" s="128"/>
      <c r="F798" s="128"/>
      <c r="G798" s="128"/>
      <c r="H798" s="128"/>
      <c r="I798" s="128"/>
      <c r="J798" s="126"/>
      <c r="K798" s="126"/>
      <c r="L798" s="126"/>
      <c r="M798" s="125"/>
      <c r="N798" s="126"/>
    </row>
    <row r="799" spans="1:14" x14ac:dyDescent="0.35">
      <c r="A799" s="126"/>
      <c r="B799" s="127"/>
      <c r="C799" s="126"/>
      <c r="D799" s="126"/>
      <c r="E799" s="128"/>
      <c r="F799" s="128"/>
      <c r="G799" s="128"/>
      <c r="H799" s="128"/>
      <c r="I799" s="128"/>
      <c r="J799" s="126"/>
      <c r="K799" s="126"/>
      <c r="L799" s="126"/>
      <c r="M799" s="125"/>
      <c r="N799" s="126"/>
    </row>
    <row r="800" spans="1:14" x14ac:dyDescent="0.35">
      <c r="A800" s="126"/>
      <c r="B800" s="127"/>
      <c r="C800" s="126"/>
      <c r="D800" s="126"/>
      <c r="E800" s="128"/>
      <c r="F800" s="128"/>
      <c r="G800" s="128"/>
      <c r="H800" s="128"/>
      <c r="I800" s="128"/>
      <c r="J800" s="126"/>
      <c r="K800" s="126"/>
      <c r="L800" s="126"/>
      <c r="M800" s="125"/>
      <c r="N800" s="126"/>
    </row>
    <row r="801" spans="1:14" x14ac:dyDescent="0.35">
      <c r="A801" s="126"/>
      <c r="B801" s="127"/>
      <c r="C801" s="126"/>
      <c r="D801" s="126"/>
      <c r="E801" s="128"/>
      <c r="F801" s="128"/>
      <c r="G801" s="128"/>
      <c r="H801" s="128"/>
      <c r="I801" s="128"/>
      <c r="J801" s="126"/>
      <c r="K801" s="126"/>
      <c r="L801" s="126"/>
      <c r="M801" s="125"/>
      <c r="N801" s="126"/>
    </row>
    <row r="802" spans="1:14" x14ac:dyDescent="0.35">
      <c r="A802" s="126"/>
      <c r="B802" s="127"/>
      <c r="C802" s="126"/>
      <c r="D802" s="126"/>
      <c r="E802" s="128"/>
      <c r="F802" s="128"/>
      <c r="G802" s="128"/>
      <c r="H802" s="128"/>
      <c r="I802" s="128"/>
      <c r="J802" s="126"/>
      <c r="K802" s="126"/>
      <c r="L802" s="126"/>
      <c r="M802" s="125"/>
      <c r="N802" s="126"/>
    </row>
    <row r="803" spans="1:14" x14ac:dyDescent="0.35">
      <c r="A803" s="126"/>
      <c r="B803" s="127"/>
      <c r="C803" s="126"/>
      <c r="D803" s="126"/>
      <c r="E803" s="128"/>
      <c r="F803" s="128"/>
      <c r="G803" s="128"/>
      <c r="H803" s="128"/>
      <c r="I803" s="128"/>
      <c r="J803" s="126"/>
      <c r="K803" s="126"/>
      <c r="L803" s="126"/>
      <c r="M803" s="125"/>
      <c r="N803" s="126"/>
    </row>
    <row r="804" spans="1:14" x14ac:dyDescent="0.35">
      <c r="A804" s="126"/>
      <c r="B804" s="127"/>
      <c r="C804" s="126"/>
      <c r="D804" s="126"/>
      <c r="E804" s="128"/>
      <c r="F804" s="128"/>
      <c r="G804" s="128"/>
      <c r="H804" s="128"/>
      <c r="I804" s="128"/>
      <c r="J804" s="126"/>
      <c r="K804" s="126"/>
      <c r="L804" s="126"/>
      <c r="M804" s="125"/>
      <c r="N804" s="126"/>
    </row>
    <row r="805" spans="1:14" x14ac:dyDescent="0.35">
      <c r="A805" s="126"/>
      <c r="B805" s="127"/>
      <c r="C805" s="126"/>
      <c r="D805" s="126"/>
      <c r="E805" s="128"/>
      <c r="F805" s="128"/>
      <c r="G805" s="128"/>
      <c r="H805" s="128"/>
      <c r="I805" s="128"/>
      <c r="J805" s="126"/>
      <c r="K805" s="126"/>
      <c r="L805" s="126"/>
      <c r="M805" s="125"/>
      <c r="N805" s="126"/>
    </row>
    <row r="806" spans="1:14" x14ac:dyDescent="0.35">
      <c r="A806" s="126"/>
      <c r="B806" s="127"/>
      <c r="C806" s="126"/>
      <c r="D806" s="126"/>
      <c r="E806" s="128"/>
      <c r="F806" s="128"/>
      <c r="G806" s="128"/>
      <c r="H806" s="128"/>
      <c r="I806" s="128"/>
      <c r="J806" s="126"/>
      <c r="K806" s="126"/>
      <c r="L806" s="126"/>
      <c r="M806" s="125"/>
      <c r="N806" s="126"/>
    </row>
    <row r="807" spans="1:14" x14ac:dyDescent="0.35">
      <c r="A807" s="126"/>
      <c r="B807" s="127"/>
      <c r="C807" s="126"/>
      <c r="D807" s="126"/>
      <c r="E807" s="128"/>
      <c r="F807" s="128"/>
      <c r="G807" s="128"/>
      <c r="H807" s="128"/>
      <c r="I807" s="128"/>
      <c r="J807" s="126"/>
      <c r="K807" s="126"/>
      <c r="L807" s="126"/>
      <c r="M807" s="125"/>
      <c r="N807" s="126"/>
    </row>
    <row r="808" spans="1:14" x14ac:dyDescent="0.35">
      <c r="A808" s="126"/>
      <c r="B808" s="127"/>
      <c r="C808" s="126"/>
      <c r="D808" s="126"/>
      <c r="E808" s="128"/>
      <c r="F808" s="128"/>
      <c r="G808" s="128"/>
      <c r="H808" s="128"/>
      <c r="I808" s="128"/>
      <c r="J808" s="126"/>
      <c r="K808" s="126"/>
      <c r="L808" s="126"/>
      <c r="M808" s="125"/>
      <c r="N808" s="126"/>
    </row>
    <row r="809" spans="1:14" x14ac:dyDescent="0.35">
      <c r="A809" s="126"/>
      <c r="B809" s="127"/>
      <c r="C809" s="126"/>
      <c r="D809" s="126"/>
      <c r="E809" s="128"/>
      <c r="F809" s="128"/>
      <c r="G809" s="128"/>
      <c r="H809" s="128"/>
      <c r="I809" s="128"/>
      <c r="J809" s="126"/>
      <c r="K809" s="126"/>
      <c r="L809" s="126"/>
      <c r="M809" s="125"/>
      <c r="N809" s="126"/>
    </row>
    <row r="810" spans="1:14" x14ac:dyDescent="0.35">
      <c r="A810" s="126"/>
      <c r="B810" s="127"/>
      <c r="C810" s="126"/>
      <c r="D810" s="126"/>
      <c r="E810" s="128"/>
      <c r="F810" s="128"/>
      <c r="G810" s="128"/>
      <c r="H810" s="128"/>
      <c r="I810" s="128"/>
      <c r="J810" s="126"/>
      <c r="K810" s="126"/>
      <c r="L810" s="126"/>
      <c r="M810" s="125"/>
      <c r="N810" s="126"/>
    </row>
    <row r="811" spans="1:14" x14ac:dyDescent="0.35">
      <c r="A811" s="126"/>
      <c r="B811" s="127"/>
      <c r="C811" s="126"/>
      <c r="D811" s="126"/>
      <c r="E811" s="128"/>
      <c r="F811" s="128"/>
      <c r="G811" s="128"/>
      <c r="H811" s="128"/>
      <c r="I811" s="128"/>
      <c r="J811" s="126"/>
      <c r="K811" s="126"/>
      <c r="L811" s="126"/>
      <c r="M811" s="125"/>
      <c r="N811" s="126"/>
    </row>
    <row r="812" spans="1:14" x14ac:dyDescent="0.35">
      <c r="A812" s="126"/>
      <c r="B812" s="127"/>
      <c r="C812" s="126"/>
      <c r="D812" s="126"/>
      <c r="E812" s="128"/>
      <c r="F812" s="128"/>
      <c r="G812" s="128"/>
      <c r="H812" s="128"/>
      <c r="I812" s="128"/>
      <c r="J812" s="126"/>
      <c r="K812" s="126"/>
      <c r="L812" s="126"/>
      <c r="M812" s="125"/>
      <c r="N812" s="126"/>
    </row>
    <row r="813" spans="1:14" x14ac:dyDescent="0.35">
      <c r="A813" s="126"/>
      <c r="B813" s="127"/>
      <c r="C813" s="126"/>
      <c r="D813" s="126"/>
      <c r="E813" s="128"/>
      <c r="F813" s="128"/>
      <c r="G813" s="128"/>
      <c r="H813" s="128"/>
      <c r="I813" s="128"/>
      <c r="J813" s="126"/>
      <c r="K813" s="126"/>
      <c r="L813" s="126"/>
      <c r="M813" s="125"/>
      <c r="N813" s="126"/>
    </row>
    <row r="814" spans="1:14" x14ac:dyDescent="0.35">
      <c r="A814" s="126"/>
      <c r="B814" s="127"/>
      <c r="C814" s="126"/>
      <c r="D814" s="126"/>
      <c r="E814" s="128"/>
      <c r="F814" s="128"/>
      <c r="G814" s="128"/>
      <c r="H814" s="128"/>
      <c r="I814" s="128"/>
      <c r="J814" s="126"/>
      <c r="K814" s="126"/>
      <c r="L814" s="126"/>
      <c r="M814" s="125"/>
      <c r="N814" s="126"/>
    </row>
    <row r="815" spans="1:14" x14ac:dyDescent="0.35">
      <c r="A815" s="126"/>
      <c r="B815" s="127"/>
      <c r="C815" s="126"/>
      <c r="D815" s="126"/>
      <c r="E815" s="128"/>
      <c r="F815" s="128"/>
      <c r="G815" s="128"/>
      <c r="H815" s="128"/>
      <c r="I815" s="128"/>
      <c r="J815" s="126"/>
      <c r="K815" s="126"/>
      <c r="L815" s="126"/>
      <c r="M815" s="125"/>
      <c r="N815" s="126"/>
    </row>
    <row r="816" spans="1:14" x14ac:dyDescent="0.35">
      <c r="A816" s="126"/>
      <c r="B816" s="127"/>
      <c r="C816" s="126"/>
      <c r="D816" s="126"/>
      <c r="E816" s="128"/>
      <c r="F816" s="128"/>
      <c r="G816" s="128"/>
      <c r="H816" s="128"/>
      <c r="I816" s="128"/>
      <c r="J816" s="126"/>
      <c r="K816" s="126"/>
      <c r="L816" s="126"/>
      <c r="M816" s="125"/>
      <c r="N816" s="126"/>
    </row>
    <row r="817" spans="1:14" x14ac:dyDescent="0.35">
      <c r="A817" s="126"/>
      <c r="B817" s="127"/>
      <c r="C817" s="126"/>
      <c r="D817" s="126"/>
      <c r="E817" s="128"/>
      <c r="F817" s="128"/>
      <c r="G817" s="128"/>
      <c r="H817" s="128"/>
      <c r="I817" s="128"/>
      <c r="J817" s="126"/>
      <c r="K817" s="126"/>
      <c r="L817" s="126"/>
      <c r="M817" s="125"/>
      <c r="N817" s="126"/>
    </row>
    <row r="818" spans="1:14" x14ac:dyDescent="0.35">
      <c r="A818" s="126"/>
      <c r="B818" s="127"/>
      <c r="C818" s="126"/>
      <c r="D818" s="126"/>
      <c r="E818" s="128"/>
      <c r="F818" s="128"/>
      <c r="G818" s="128"/>
      <c r="H818" s="128"/>
      <c r="I818" s="128"/>
      <c r="J818" s="126"/>
      <c r="K818" s="126"/>
      <c r="L818" s="126"/>
      <c r="M818" s="125"/>
      <c r="N818" s="126"/>
    </row>
    <row r="819" spans="1:14" x14ac:dyDescent="0.35">
      <c r="A819" s="126"/>
      <c r="B819" s="127"/>
      <c r="C819" s="126"/>
      <c r="D819" s="126"/>
      <c r="E819" s="128"/>
      <c r="F819" s="128"/>
      <c r="G819" s="128"/>
      <c r="H819" s="128"/>
      <c r="I819" s="128"/>
      <c r="J819" s="126"/>
      <c r="K819" s="126"/>
      <c r="L819" s="126"/>
      <c r="M819" s="125"/>
      <c r="N819" s="126"/>
    </row>
    <row r="820" spans="1:14" x14ac:dyDescent="0.35">
      <c r="A820" s="126"/>
      <c r="B820" s="127"/>
      <c r="C820" s="126"/>
      <c r="D820" s="126"/>
      <c r="E820" s="128"/>
      <c r="F820" s="128"/>
      <c r="G820" s="128"/>
      <c r="H820" s="128"/>
      <c r="I820" s="128"/>
      <c r="J820" s="126"/>
      <c r="K820" s="126"/>
      <c r="L820" s="126"/>
      <c r="M820" s="125"/>
      <c r="N820" s="126"/>
    </row>
    <row r="821" spans="1:14" x14ac:dyDescent="0.35">
      <c r="A821" s="126"/>
      <c r="B821" s="127"/>
      <c r="C821" s="126"/>
      <c r="D821" s="126"/>
      <c r="E821" s="128"/>
      <c r="F821" s="128"/>
      <c r="G821" s="128"/>
      <c r="H821" s="128"/>
      <c r="I821" s="128"/>
      <c r="J821" s="126"/>
      <c r="K821" s="126"/>
      <c r="L821" s="126"/>
      <c r="M821" s="125"/>
      <c r="N821" s="126"/>
    </row>
    <row r="822" spans="1:14" x14ac:dyDescent="0.35">
      <c r="A822" s="126"/>
      <c r="B822" s="127"/>
      <c r="C822" s="126"/>
      <c r="D822" s="126"/>
      <c r="E822" s="128"/>
      <c r="F822" s="128"/>
      <c r="G822" s="128"/>
      <c r="H822" s="128"/>
      <c r="I822" s="128"/>
      <c r="J822" s="126"/>
      <c r="K822" s="126"/>
      <c r="L822" s="126"/>
      <c r="M822" s="125"/>
      <c r="N822" s="126"/>
    </row>
    <row r="823" spans="1:14" x14ac:dyDescent="0.35">
      <c r="A823" s="126"/>
      <c r="B823" s="127"/>
      <c r="C823" s="126"/>
      <c r="D823" s="126"/>
      <c r="E823" s="128"/>
      <c r="F823" s="128"/>
      <c r="G823" s="128"/>
      <c r="H823" s="128"/>
      <c r="I823" s="128"/>
      <c r="J823" s="126"/>
      <c r="K823" s="126"/>
      <c r="L823" s="126"/>
      <c r="M823" s="125"/>
      <c r="N823" s="126"/>
    </row>
    <row r="824" spans="1:14" x14ac:dyDescent="0.35">
      <c r="A824" s="126"/>
      <c r="B824" s="127"/>
      <c r="C824" s="126"/>
      <c r="D824" s="126"/>
      <c r="E824" s="128"/>
      <c r="F824" s="128"/>
      <c r="G824" s="128"/>
      <c r="H824" s="128"/>
      <c r="I824" s="128"/>
      <c r="J824" s="126"/>
      <c r="K824" s="126"/>
      <c r="L824" s="126"/>
      <c r="M824" s="125"/>
      <c r="N824" s="126"/>
    </row>
    <row r="825" spans="1:14" x14ac:dyDescent="0.35">
      <c r="A825" s="126"/>
      <c r="B825" s="127"/>
      <c r="C825" s="126"/>
      <c r="D825" s="126"/>
      <c r="E825" s="128"/>
      <c r="F825" s="128"/>
      <c r="G825" s="128"/>
      <c r="H825" s="128"/>
      <c r="I825" s="128"/>
      <c r="J825" s="126"/>
      <c r="K825" s="126"/>
      <c r="L825" s="126"/>
      <c r="M825" s="125"/>
      <c r="N825" s="126"/>
    </row>
    <row r="826" spans="1:14" x14ac:dyDescent="0.35">
      <c r="A826" s="126"/>
      <c r="B826" s="127"/>
      <c r="C826" s="126"/>
      <c r="D826" s="126"/>
      <c r="E826" s="128"/>
      <c r="F826" s="128"/>
      <c r="G826" s="128"/>
      <c r="H826" s="128"/>
      <c r="I826" s="128"/>
      <c r="J826" s="126"/>
      <c r="K826" s="126"/>
      <c r="L826" s="126"/>
      <c r="M826" s="125"/>
      <c r="N826" s="126"/>
    </row>
    <row r="827" spans="1:14" x14ac:dyDescent="0.35">
      <c r="A827" s="126"/>
      <c r="B827" s="127"/>
      <c r="C827" s="126"/>
      <c r="D827" s="126"/>
      <c r="E827" s="128"/>
      <c r="F827" s="128"/>
      <c r="G827" s="128"/>
      <c r="H827" s="128"/>
      <c r="I827" s="128"/>
      <c r="J827" s="126"/>
      <c r="K827" s="126"/>
      <c r="L827" s="126"/>
      <c r="M827" s="125"/>
      <c r="N827" s="126"/>
    </row>
    <row r="828" spans="1:14" x14ac:dyDescent="0.35">
      <c r="A828" s="126"/>
      <c r="B828" s="127"/>
      <c r="C828" s="126"/>
      <c r="D828" s="126"/>
      <c r="E828" s="128"/>
      <c r="F828" s="128"/>
      <c r="G828" s="128"/>
      <c r="H828" s="128"/>
      <c r="I828" s="128"/>
      <c r="J828" s="126"/>
      <c r="K828" s="126"/>
      <c r="L828" s="126"/>
      <c r="M828" s="125"/>
      <c r="N828" s="126"/>
    </row>
    <row r="829" spans="1:14" x14ac:dyDescent="0.35">
      <c r="A829" s="126"/>
      <c r="B829" s="127"/>
      <c r="C829" s="126"/>
      <c r="D829" s="126"/>
      <c r="E829" s="128"/>
      <c r="F829" s="128"/>
      <c r="G829" s="128"/>
      <c r="H829" s="128"/>
      <c r="I829" s="128"/>
      <c r="J829" s="126"/>
      <c r="K829" s="126"/>
      <c r="L829" s="126"/>
      <c r="M829" s="125"/>
      <c r="N829" s="126"/>
    </row>
    <row r="830" spans="1:14" x14ac:dyDescent="0.35">
      <c r="A830" s="126"/>
      <c r="B830" s="127"/>
      <c r="C830" s="126"/>
      <c r="D830" s="126"/>
      <c r="E830" s="128"/>
      <c r="F830" s="128"/>
      <c r="G830" s="128"/>
      <c r="H830" s="128"/>
      <c r="I830" s="128"/>
      <c r="J830" s="126"/>
      <c r="K830" s="126"/>
      <c r="L830" s="126"/>
      <c r="M830" s="125"/>
      <c r="N830" s="126"/>
    </row>
    <row r="831" spans="1:14" x14ac:dyDescent="0.35">
      <c r="A831" s="126"/>
      <c r="B831" s="127"/>
      <c r="C831" s="126"/>
      <c r="D831" s="126"/>
      <c r="E831" s="128"/>
      <c r="F831" s="128"/>
      <c r="G831" s="128"/>
      <c r="H831" s="128"/>
      <c r="I831" s="128"/>
      <c r="J831" s="126"/>
      <c r="K831" s="126"/>
      <c r="L831" s="126"/>
      <c r="M831" s="125"/>
      <c r="N831" s="126"/>
    </row>
    <row r="832" spans="1:14" x14ac:dyDescent="0.35">
      <c r="A832" s="126"/>
      <c r="B832" s="127"/>
      <c r="C832" s="126"/>
      <c r="D832" s="126"/>
      <c r="E832" s="128"/>
      <c r="F832" s="128"/>
      <c r="G832" s="128"/>
      <c r="H832" s="128"/>
      <c r="I832" s="128"/>
      <c r="J832" s="126"/>
      <c r="K832" s="126"/>
      <c r="L832" s="126"/>
      <c r="M832" s="125"/>
      <c r="N832" s="126"/>
    </row>
    <row r="833" spans="1:14" x14ac:dyDescent="0.35">
      <c r="A833" s="126"/>
      <c r="B833" s="127"/>
      <c r="C833" s="126"/>
      <c r="D833" s="126"/>
      <c r="E833" s="128"/>
      <c r="F833" s="128"/>
      <c r="G833" s="128"/>
      <c r="H833" s="128"/>
      <c r="I833" s="128"/>
      <c r="J833" s="126"/>
      <c r="K833" s="126"/>
      <c r="L833" s="126"/>
      <c r="M833" s="125"/>
      <c r="N833" s="126"/>
    </row>
    <row r="834" spans="1:14" x14ac:dyDescent="0.35">
      <c r="A834" s="126"/>
      <c r="B834" s="127"/>
      <c r="C834" s="126"/>
      <c r="D834" s="126"/>
      <c r="E834" s="128"/>
      <c r="F834" s="128"/>
      <c r="G834" s="128"/>
      <c r="H834" s="128"/>
      <c r="I834" s="128"/>
      <c r="J834" s="126"/>
      <c r="K834" s="126"/>
      <c r="L834" s="126"/>
      <c r="M834" s="125"/>
      <c r="N834" s="126"/>
    </row>
    <row r="835" spans="1:14" x14ac:dyDescent="0.35">
      <c r="A835" s="126"/>
      <c r="B835" s="127"/>
      <c r="C835" s="126"/>
      <c r="D835" s="126"/>
      <c r="E835" s="128"/>
      <c r="F835" s="128"/>
      <c r="G835" s="128"/>
      <c r="H835" s="128"/>
      <c r="I835" s="128"/>
      <c r="J835" s="126"/>
      <c r="K835" s="126"/>
      <c r="L835" s="126"/>
      <c r="M835" s="125"/>
      <c r="N835" s="126"/>
    </row>
    <row r="836" spans="1:14" x14ac:dyDescent="0.35">
      <c r="A836" s="126"/>
      <c r="B836" s="127"/>
      <c r="C836" s="126"/>
      <c r="D836" s="126"/>
      <c r="E836" s="128"/>
      <c r="F836" s="128"/>
      <c r="G836" s="128"/>
      <c r="H836" s="128"/>
      <c r="I836" s="128"/>
      <c r="J836" s="126"/>
      <c r="K836" s="126"/>
      <c r="L836" s="126"/>
      <c r="M836" s="125"/>
      <c r="N836" s="126"/>
    </row>
    <row r="837" spans="1:14" x14ac:dyDescent="0.35">
      <c r="A837" s="126"/>
      <c r="B837" s="127"/>
      <c r="C837" s="126"/>
      <c r="D837" s="126"/>
      <c r="E837" s="128"/>
      <c r="F837" s="128"/>
      <c r="G837" s="128"/>
      <c r="H837" s="128"/>
      <c r="I837" s="128"/>
      <c r="J837" s="126"/>
      <c r="K837" s="126"/>
      <c r="L837" s="126"/>
      <c r="M837" s="125"/>
      <c r="N837" s="126"/>
    </row>
    <row r="838" spans="1:14" x14ac:dyDescent="0.35">
      <c r="A838" s="126"/>
      <c r="B838" s="127"/>
      <c r="C838" s="126"/>
      <c r="D838" s="126"/>
      <c r="E838" s="128"/>
      <c r="F838" s="128"/>
      <c r="G838" s="128"/>
      <c r="H838" s="128"/>
      <c r="I838" s="128"/>
      <c r="J838" s="126"/>
      <c r="K838" s="126"/>
      <c r="L838" s="126"/>
      <c r="M838" s="125"/>
      <c r="N838" s="126"/>
    </row>
    <row r="839" spans="1:14" x14ac:dyDescent="0.35">
      <c r="A839" s="126"/>
      <c r="B839" s="127"/>
      <c r="C839" s="126"/>
      <c r="D839" s="126"/>
      <c r="E839" s="128"/>
      <c r="F839" s="128"/>
      <c r="G839" s="128"/>
      <c r="H839" s="128"/>
      <c r="I839" s="128"/>
      <c r="J839" s="126"/>
      <c r="K839" s="126"/>
      <c r="L839" s="126"/>
      <c r="M839" s="125"/>
      <c r="N839" s="126"/>
    </row>
    <row r="840" spans="1:14" x14ac:dyDescent="0.35">
      <c r="A840" s="126"/>
      <c r="B840" s="127"/>
      <c r="C840" s="126"/>
      <c r="D840" s="126"/>
      <c r="E840" s="128"/>
      <c r="F840" s="128"/>
      <c r="G840" s="128"/>
      <c r="H840" s="128"/>
      <c r="I840" s="128"/>
      <c r="J840" s="126"/>
      <c r="K840" s="126"/>
      <c r="L840" s="126"/>
      <c r="M840" s="125"/>
      <c r="N840" s="126"/>
    </row>
    <row r="841" spans="1:14" x14ac:dyDescent="0.35">
      <c r="A841" s="126"/>
      <c r="B841" s="127"/>
      <c r="C841" s="126"/>
      <c r="D841" s="126"/>
      <c r="E841" s="128"/>
      <c r="F841" s="128"/>
      <c r="G841" s="128"/>
      <c r="H841" s="128"/>
      <c r="I841" s="128"/>
      <c r="J841" s="126"/>
      <c r="K841" s="126"/>
      <c r="L841" s="126"/>
      <c r="M841" s="125"/>
      <c r="N841" s="126"/>
    </row>
    <row r="842" spans="1:14" x14ac:dyDescent="0.35">
      <c r="A842" s="126"/>
      <c r="B842" s="127"/>
      <c r="C842" s="126"/>
      <c r="D842" s="126"/>
      <c r="E842" s="128"/>
      <c r="F842" s="128"/>
      <c r="G842" s="128"/>
      <c r="H842" s="128"/>
      <c r="I842" s="128"/>
      <c r="J842" s="126"/>
      <c r="K842" s="126"/>
      <c r="L842" s="126"/>
      <c r="M842" s="125"/>
      <c r="N842" s="126"/>
    </row>
    <row r="843" spans="1:14" x14ac:dyDescent="0.35">
      <c r="A843" s="126"/>
      <c r="B843" s="127"/>
      <c r="C843" s="126"/>
      <c r="D843" s="126"/>
      <c r="E843" s="128"/>
      <c r="F843" s="128"/>
      <c r="G843" s="128"/>
      <c r="H843" s="128"/>
      <c r="I843" s="128"/>
      <c r="J843" s="126"/>
      <c r="K843" s="126"/>
      <c r="L843" s="126"/>
      <c r="M843" s="125"/>
      <c r="N843" s="126"/>
    </row>
    <row r="844" spans="1:14" x14ac:dyDescent="0.35">
      <c r="A844" s="126"/>
      <c r="B844" s="127"/>
      <c r="C844" s="126"/>
      <c r="D844" s="126"/>
      <c r="E844" s="128"/>
      <c r="F844" s="128"/>
      <c r="G844" s="128"/>
      <c r="H844" s="128"/>
      <c r="I844" s="128"/>
      <c r="J844" s="126"/>
      <c r="K844" s="126"/>
      <c r="L844" s="126"/>
      <c r="M844" s="125"/>
      <c r="N844" s="126"/>
    </row>
    <row r="845" spans="1:14" x14ac:dyDescent="0.35">
      <c r="A845" s="126"/>
      <c r="B845" s="127"/>
      <c r="C845" s="126"/>
      <c r="D845" s="126"/>
      <c r="E845" s="128"/>
      <c r="F845" s="128"/>
      <c r="G845" s="128"/>
      <c r="H845" s="128"/>
      <c r="I845" s="128"/>
      <c r="J845" s="126"/>
      <c r="K845" s="126"/>
      <c r="L845" s="126"/>
      <c r="M845" s="125"/>
      <c r="N845" s="126"/>
    </row>
    <row r="846" spans="1:14" x14ac:dyDescent="0.35">
      <c r="A846" s="126"/>
      <c r="B846" s="127"/>
      <c r="C846" s="126"/>
      <c r="D846" s="126"/>
      <c r="E846" s="128"/>
      <c r="F846" s="128"/>
      <c r="G846" s="128"/>
      <c r="H846" s="128"/>
      <c r="I846" s="128"/>
      <c r="J846" s="126"/>
      <c r="K846" s="126"/>
      <c r="L846" s="126"/>
      <c r="M846" s="125"/>
      <c r="N846" s="126"/>
    </row>
    <row r="847" spans="1:14" x14ac:dyDescent="0.35">
      <c r="A847" s="126"/>
      <c r="B847" s="127"/>
      <c r="C847" s="126"/>
      <c r="D847" s="126"/>
      <c r="E847" s="128"/>
      <c r="F847" s="128"/>
      <c r="G847" s="128"/>
      <c r="H847" s="128"/>
      <c r="I847" s="128"/>
      <c r="J847" s="126"/>
      <c r="K847" s="126"/>
      <c r="L847" s="126"/>
      <c r="M847" s="125"/>
      <c r="N847" s="126"/>
    </row>
    <row r="848" spans="1:14" x14ac:dyDescent="0.35">
      <c r="A848" s="126"/>
      <c r="B848" s="127"/>
      <c r="C848" s="126"/>
      <c r="D848" s="126"/>
      <c r="E848" s="128"/>
      <c r="F848" s="128"/>
      <c r="G848" s="128"/>
      <c r="H848" s="128"/>
      <c r="I848" s="128"/>
      <c r="J848" s="126"/>
      <c r="K848" s="126"/>
      <c r="L848" s="126"/>
      <c r="M848" s="125"/>
      <c r="N848" s="126"/>
    </row>
    <row r="849" spans="1:14" x14ac:dyDescent="0.35">
      <c r="A849" s="126"/>
      <c r="B849" s="127"/>
      <c r="C849" s="126"/>
      <c r="D849" s="126"/>
      <c r="E849" s="128"/>
      <c r="F849" s="128"/>
      <c r="G849" s="128"/>
      <c r="H849" s="128"/>
      <c r="I849" s="128"/>
      <c r="J849" s="126"/>
      <c r="K849" s="126"/>
      <c r="L849" s="126"/>
      <c r="M849" s="125"/>
      <c r="N849" s="126"/>
    </row>
    <row r="850" spans="1:14" x14ac:dyDescent="0.35">
      <c r="A850" s="126"/>
      <c r="B850" s="127"/>
      <c r="C850" s="126"/>
      <c r="D850" s="126"/>
      <c r="E850" s="128"/>
      <c r="F850" s="128"/>
      <c r="G850" s="128"/>
      <c r="H850" s="128"/>
      <c r="I850" s="128"/>
      <c r="J850" s="126"/>
      <c r="K850" s="126"/>
      <c r="L850" s="126"/>
      <c r="M850" s="125"/>
      <c r="N850" s="126"/>
    </row>
    <row r="851" spans="1:14" x14ac:dyDescent="0.35">
      <c r="A851" s="126"/>
      <c r="B851" s="127"/>
      <c r="C851" s="126"/>
      <c r="D851" s="126"/>
      <c r="E851" s="128"/>
      <c r="F851" s="128"/>
      <c r="G851" s="128"/>
      <c r="H851" s="128"/>
      <c r="I851" s="128"/>
      <c r="J851" s="126"/>
      <c r="K851" s="126"/>
      <c r="L851" s="126"/>
      <c r="M851" s="125"/>
      <c r="N851" s="126"/>
    </row>
    <row r="852" spans="1:14" x14ac:dyDescent="0.35">
      <c r="A852" s="126"/>
      <c r="B852" s="127"/>
      <c r="C852" s="126"/>
      <c r="D852" s="126"/>
      <c r="E852" s="128"/>
      <c r="F852" s="128"/>
      <c r="G852" s="128"/>
      <c r="H852" s="128"/>
      <c r="I852" s="128"/>
      <c r="J852" s="126"/>
      <c r="K852" s="126"/>
      <c r="L852" s="126"/>
      <c r="M852" s="125"/>
      <c r="N852" s="126"/>
    </row>
    <row r="853" spans="1:14" x14ac:dyDescent="0.35">
      <c r="A853" s="126"/>
      <c r="B853" s="127"/>
      <c r="C853" s="126"/>
      <c r="D853" s="126"/>
      <c r="E853" s="128"/>
      <c r="F853" s="128"/>
      <c r="G853" s="128"/>
      <c r="H853" s="128"/>
      <c r="I853" s="128"/>
      <c r="J853" s="126"/>
      <c r="K853" s="126"/>
      <c r="L853" s="126"/>
      <c r="M853" s="125"/>
      <c r="N853" s="126"/>
    </row>
    <row r="854" spans="1:14" x14ac:dyDescent="0.35">
      <c r="A854" s="126"/>
      <c r="B854" s="127"/>
      <c r="C854" s="126"/>
      <c r="D854" s="126"/>
      <c r="E854" s="128"/>
      <c r="F854" s="128"/>
      <c r="G854" s="128"/>
      <c r="H854" s="128"/>
      <c r="I854" s="128"/>
      <c r="J854" s="126"/>
      <c r="K854" s="126"/>
      <c r="L854" s="126"/>
      <c r="M854" s="125"/>
      <c r="N854" s="126"/>
    </row>
    <row r="855" spans="1:14" x14ac:dyDescent="0.35">
      <c r="A855" s="126"/>
      <c r="B855" s="127"/>
      <c r="C855" s="126"/>
      <c r="D855" s="126"/>
      <c r="E855" s="128"/>
      <c r="F855" s="128"/>
      <c r="G855" s="128"/>
      <c r="H855" s="128"/>
      <c r="I855" s="128"/>
      <c r="J855" s="126"/>
      <c r="K855" s="126"/>
      <c r="L855" s="126"/>
      <c r="M855" s="125"/>
      <c r="N855" s="126"/>
    </row>
    <row r="856" spans="1:14" x14ac:dyDescent="0.35">
      <c r="A856" s="126"/>
      <c r="B856" s="127"/>
      <c r="C856" s="126"/>
      <c r="D856" s="126"/>
      <c r="E856" s="128"/>
      <c r="F856" s="128"/>
      <c r="G856" s="128"/>
      <c r="H856" s="128"/>
      <c r="I856" s="128"/>
      <c r="J856" s="126"/>
      <c r="K856" s="126"/>
      <c r="L856" s="126"/>
      <c r="M856" s="125"/>
      <c r="N856" s="126"/>
    </row>
    <row r="857" spans="1:14" x14ac:dyDescent="0.35">
      <c r="A857" s="126"/>
      <c r="B857" s="127"/>
      <c r="C857" s="126"/>
      <c r="D857" s="126"/>
      <c r="E857" s="128"/>
      <c r="F857" s="128"/>
      <c r="G857" s="128"/>
      <c r="H857" s="128"/>
      <c r="I857" s="128"/>
      <c r="J857" s="126"/>
      <c r="K857" s="126"/>
      <c r="L857" s="126"/>
      <c r="M857" s="125"/>
      <c r="N857" s="126"/>
    </row>
    <row r="858" spans="1:14" x14ac:dyDescent="0.35">
      <c r="A858" s="126"/>
      <c r="B858" s="127"/>
      <c r="C858" s="126"/>
      <c r="D858" s="126"/>
      <c r="E858" s="128"/>
      <c r="F858" s="128"/>
      <c r="G858" s="128"/>
      <c r="H858" s="128"/>
      <c r="I858" s="128"/>
      <c r="J858" s="126"/>
      <c r="K858" s="126"/>
      <c r="L858" s="126"/>
      <c r="M858" s="125"/>
      <c r="N858" s="126"/>
    </row>
    <row r="859" spans="1:14" x14ac:dyDescent="0.35">
      <c r="A859" s="126"/>
      <c r="B859" s="127"/>
      <c r="C859" s="126"/>
      <c r="D859" s="126"/>
      <c r="E859" s="128"/>
      <c r="F859" s="128"/>
      <c r="G859" s="128"/>
      <c r="H859" s="128"/>
      <c r="I859" s="128"/>
      <c r="J859" s="126"/>
      <c r="K859" s="126"/>
      <c r="L859" s="126"/>
      <c r="M859" s="125"/>
      <c r="N859" s="126"/>
    </row>
    <row r="860" spans="1:14" x14ac:dyDescent="0.35">
      <c r="A860" s="126"/>
      <c r="B860" s="127"/>
      <c r="C860" s="126"/>
      <c r="D860" s="126"/>
      <c r="E860" s="128"/>
      <c r="F860" s="128"/>
      <c r="G860" s="128"/>
      <c r="H860" s="128"/>
      <c r="I860" s="128"/>
      <c r="J860" s="126"/>
      <c r="K860" s="126"/>
      <c r="L860" s="126"/>
      <c r="M860" s="125"/>
      <c r="N860" s="126"/>
    </row>
    <row r="861" spans="1:14" x14ac:dyDescent="0.35">
      <c r="A861" s="126"/>
      <c r="B861" s="127"/>
      <c r="C861" s="126"/>
      <c r="D861" s="126"/>
      <c r="E861" s="128"/>
      <c r="F861" s="128"/>
      <c r="G861" s="128"/>
      <c r="H861" s="128"/>
      <c r="I861" s="128"/>
      <c r="J861" s="126"/>
      <c r="K861" s="126"/>
      <c r="L861" s="126"/>
      <c r="M861" s="125"/>
      <c r="N861" s="126"/>
    </row>
    <row r="862" spans="1:14" x14ac:dyDescent="0.35">
      <c r="A862" s="126"/>
      <c r="B862" s="127"/>
      <c r="C862" s="126"/>
      <c r="D862" s="126"/>
      <c r="E862" s="128"/>
      <c r="F862" s="128"/>
      <c r="G862" s="128"/>
      <c r="H862" s="128"/>
      <c r="I862" s="128"/>
      <c r="J862" s="126"/>
      <c r="K862" s="126"/>
      <c r="L862" s="126"/>
      <c r="M862" s="125"/>
      <c r="N862" s="126"/>
    </row>
    <row r="863" spans="1:14" x14ac:dyDescent="0.35">
      <c r="A863" s="126"/>
      <c r="B863" s="127"/>
      <c r="C863" s="126"/>
      <c r="D863" s="126"/>
      <c r="E863" s="128"/>
      <c r="F863" s="128"/>
      <c r="G863" s="128"/>
      <c r="H863" s="128"/>
      <c r="I863" s="128"/>
      <c r="J863" s="126"/>
      <c r="K863" s="126"/>
      <c r="L863" s="126"/>
      <c r="M863" s="125"/>
      <c r="N863" s="126"/>
    </row>
    <row r="864" spans="1:14" x14ac:dyDescent="0.35">
      <c r="A864" s="126"/>
      <c r="B864" s="127"/>
      <c r="C864" s="126"/>
      <c r="D864" s="126"/>
      <c r="E864" s="128"/>
      <c r="F864" s="128"/>
      <c r="G864" s="128"/>
      <c r="H864" s="128"/>
      <c r="I864" s="128"/>
      <c r="J864" s="126"/>
      <c r="K864" s="126"/>
      <c r="L864" s="126"/>
      <c r="M864" s="125"/>
      <c r="N864" s="126"/>
    </row>
    <row r="865" spans="1:14" x14ac:dyDescent="0.35">
      <c r="A865" s="126"/>
      <c r="B865" s="127"/>
      <c r="C865" s="126"/>
      <c r="D865" s="126"/>
      <c r="E865" s="128"/>
      <c r="F865" s="128"/>
      <c r="G865" s="128"/>
      <c r="H865" s="128"/>
      <c r="I865" s="128"/>
      <c r="J865" s="126"/>
      <c r="K865" s="126"/>
      <c r="L865" s="126"/>
      <c r="M865" s="125"/>
      <c r="N865" s="126"/>
    </row>
    <row r="866" spans="1:14" x14ac:dyDescent="0.35">
      <c r="A866" s="126"/>
      <c r="B866" s="127"/>
      <c r="C866" s="126"/>
      <c r="D866" s="126"/>
      <c r="E866" s="128"/>
      <c r="F866" s="128"/>
      <c r="G866" s="128"/>
      <c r="H866" s="128"/>
      <c r="I866" s="128"/>
      <c r="J866" s="126"/>
      <c r="K866" s="126"/>
      <c r="L866" s="126"/>
      <c r="M866" s="125"/>
      <c r="N866" s="126"/>
    </row>
    <row r="867" spans="1:14" x14ac:dyDescent="0.35">
      <c r="A867" s="126"/>
      <c r="B867" s="127"/>
      <c r="C867" s="126"/>
      <c r="D867" s="126"/>
      <c r="E867" s="128"/>
      <c r="F867" s="128"/>
      <c r="G867" s="128"/>
      <c r="H867" s="128"/>
      <c r="I867" s="128"/>
      <c r="J867" s="126"/>
      <c r="K867" s="126"/>
      <c r="L867" s="126"/>
      <c r="M867" s="125"/>
      <c r="N867" s="126"/>
    </row>
    <row r="868" spans="1:14" x14ac:dyDescent="0.35">
      <c r="A868" s="126"/>
      <c r="B868" s="127"/>
      <c r="C868" s="126"/>
      <c r="D868" s="126"/>
      <c r="E868" s="128"/>
      <c r="F868" s="128"/>
      <c r="G868" s="128"/>
      <c r="H868" s="128"/>
      <c r="I868" s="128"/>
      <c r="J868" s="126"/>
      <c r="K868" s="126"/>
      <c r="L868" s="126"/>
      <c r="M868" s="125"/>
      <c r="N868" s="126"/>
    </row>
    <row r="869" spans="1:14" x14ac:dyDescent="0.35">
      <c r="A869" s="126"/>
      <c r="B869" s="127"/>
      <c r="C869" s="126"/>
      <c r="D869" s="126"/>
      <c r="E869" s="128"/>
      <c r="F869" s="128"/>
      <c r="G869" s="128"/>
      <c r="H869" s="128"/>
      <c r="I869" s="128"/>
      <c r="J869" s="126"/>
      <c r="K869" s="126"/>
      <c r="L869" s="126"/>
      <c r="M869" s="125"/>
      <c r="N869" s="126"/>
    </row>
    <row r="870" spans="1:14" x14ac:dyDescent="0.35">
      <c r="A870" s="126"/>
      <c r="B870" s="127"/>
      <c r="C870" s="126"/>
      <c r="D870" s="126"/>
      <c r="E870" s="128"/>
      <c r="F870" s="128"/>
      <c r="G870" s="128"/>
      <c r="H870" s="128"/>
      <c r="I870" s="128"/>
      <c r="J870" s="126"/>
      <c r="K870" s="126"/>
      <c r="L870" s="126"/>
      <c r="M870" s="125"/>
      <c r="N870" s="126"/>
    </row>
    <row r="871" spans="1:14" x14ac:dyDescent="0.35">
      <c r="A871" s="126"/>
      <c r="B871" s="127"/>
      <c r="C871" s="126"/>
      <c r="D871" s="126"/>
      <c r="E871" s="128"/>
      <c r="F871" s="128"/>
      <c r="G871" s="128"/>
      <c r="H871" s="128"/>
      <c r="I871" s="128"/>
      <c r="J871" s="126"/>
      <c r="K871" s="126"/>
      <c r="L871" s="126"/>
      <c r="M871" s="125"/>
      <c r="N871" s="126"/>
    </row>
    <row r="872" spans="1:14" x14ac:dyDescent="0.35">
      <c r="A872" s="126"/>
      <c r="B872" s="127"/>
      <c r="C872" s="126"/>
      <c r="D872" s="126"/>
      <c r="E872" s="128"/>
      <c r="F872" s="128"/>
      <c r="G872" s="128"/>
      <c r="H872" s="128"/>
      <c r="I872" s="128"/>
      <c r="J872" s="126"/>
      <c r="K872" s="126"/>
      <c r="L872" s="126"/>
      <c r="M872" s="125"/>
      <c r="N872" s="126"/>
    </row>
    <row r="873" spans="1:14" x14ac:dyDescent="0.35">
      <c r="A873" s="126"/>
      <c r="B873" s="127"/>
      <c r="C873" s="126"/>
      <c r="D873" s="126"/>
      <c r="E873" s="128"/>
      <c r="F873" s="128"/>
      <c r="G873" s="128"/>
      <c r="H873" s="128"/>
      <c r="I873" s="128"/>
      <c r="J873" s="126"/>
      <c r="K873" s="126"/>
      <c r="L873" s="126"/>
      <c r="M873" s="125"/>
      <c r="N873" s="126"/>
    </row>
    <row r="874" spans="1:14" x14ac:dyDescent="0.35">
      <c r="A874" s="126"/>
      <c r="B874" s="127"/>
      <c r="C874" s="126"/>
      <c r="D874" s="126"/>
      <c r="E874" s="128"/>
      <c r="F874" s="128"/>
      <c r="G874" s="128"/>
      <c r="H874" s="128"/>
      <c r="I874" s="128"/>
      <c r="J874" s="126"/>
      <c r="K874" s="126"/>
      <c r="L874" s="126"/>
      <c r="M874" s="125"/>
      <c r="N874" s="126"/>
    </row>
    <row r="875" spans="1:14" x14ac:dyDescent="0.35">
      <c r="A875" s="126"/>
      <c r="B875" s="127"/>
      <c r="C875" s="126"/>
      <c r="D875" s="126"/>
      <c r="E875" s="128"/>
      <c r="F875" s="128"/>
      <c r="G875" s="128"/>
      <c r="H875" s="128"/>
      <c r="I875" s="128"/>
      <c r="J875" s="126"/>
      <c r="K875" s="126"/>
      <c r="L875" s="126"/>
      <c r="M875" s="125"/>
      <c r="N875" s="126"/>
    </row>
    <row r="876" spans="1:14" x14ac:dyDescent="0.35">
      <c r="A876" s="126"/>
      <c r="B876" s="127"/>
      <c r="C876" s="126"/>
      <c r="D876" s="126"/>
      <c r="E876" s="128"/>
      <c r="F876" s="128"/>
      <c r="G876" s="128"/>
      <c r="H876" s="128"/>
      <c r="I876" s="128"/>
      <c r="J876" s="126"/>
      <c r="K876" s="126"/>
      <c r="L876" s="126"/>
      <c r="M876" s="125"/>
      <c r="N876" s="126"/>
    </row>
    <row r="877" spans="1:14" x14ac:dyDescent="0.35">
      <c r="A877" s="126"/>
      <c r="B877" s="127"/>
      <c r="C877" s="126"/>
      <c r="D877" s="126"/>
      <c r="E877" s="128"/>
      <c r="F877" s="128"/>
      <c r="G877" s="128"/>
      <c r="H877" s="128"/>
      <c r="I877" s="128"/>
      <c r="J877" s="126"/>
      <c r="K877" s="126"/>
      <c r="L877" s="126"/>
      <c r="M877" s="125"/>
      <c r="N877" s="126"/>
    </row>
    <row r="878" spans="1:14" x14ac:dyDescent="0.35">
      <c r="A878" s="126"/>
      <c r="B878" s="127"/>
      <c r="C878" s="126"/>
      <c r="D878" s="126"/>
      <c r="E878" s="128"/>
      <c r="F878" s="128"/>
      <c r="G878" s="128"/>
      <c r="H878" s="128"/>
      <c r="I878" s="128"/>
      <c r="J878" s="126"/>
      <c r="K878" s="126"/>
      <c r="L878" s="126"/>
      <c r="M878" s="125"/>
      <c r="N878" s="126"/>
    </row>
    <row r="879" spans="1:14" x14ac:dyDescent="0.35">
      <c r="A879" s="126"/>
      <c r="B879" s="127"/>
      <c r="C879" s="126"/>
      <c r="D879" s="126"/>
      <c r="E879" s="128"/>
      <c r="F879" s="128"/>
      <c r="G879" s="128"/>
      <c r="H879" s="128"/>
      <c r="I879" s="128"/>
      <c r="J879" s="126"/>
      <c r="K879" s="126"/>
      <c r="L879" s="126"/>
      <c r="M879" s="125"/>
      <c r="N879" s="126"/>
    </row>
    <row r="880" spans="1:14" x14ac:dyDescent="0.35">
      <c r="A880" s="126"/>
      <c r="B880" s="127"/>
      <c r="C880" s="126"/>
      <c r="D880" s="126"/>
      <c r="E880" s="128"/>
      <c r="F880" s="128"/>
      <c r="G880" s="128"/>
      <c r="H880" s="128"/>
      <c r="I880" s="128"/>
      <c r="J880" s="126"/>
      <c r="K880" s="126"/>
      <c r="L880" s="126"/>
      <c r="M880" s="125"/>
      <c r="N880" s="126"/>
    </row>
    <row r="881" spans="1:14" x14ac:dyDescent="0.35">
      <c r="A881" s="126"/>
      <c r="B881" s="127"/>
      <c r="C881" s="126"/>
      <c r="D881" s="126"/>
      <c r="E881" s="128"/>
      <c r="F881" s="128"/>
      <c r="G881" s="128"/>
      <c r="H881" s="128"/>
      <c r="I881" s="128"/>
      <c r="J881" s="126"/>
      <c r="K881" s="126"/>
      <c r="L881" s="126"/>
      <c r="M881" s="125"/>
      <c r="N881" s="126"/>
    </row>
    <row r="882" spans="1:14" x14ac:dyDescent="0.35">
      <c r="A882" s="126"/>
      <c r="B882" s="127"/>
      <c r="C882" s="126"/>
      <c r="D882" s="126"/>
      <c r="E882" s="128"/>
      <c r="F882" s="128"/>
      <c r="G882" s="128"/>
      <c r="H882" s="128"/>
      <c r="I882" s="128"/>
      <c r="J882" s="126"/>
      <c r="K882" s="126"/>
      <c r="L882" s="126"/>
      <c r="M882" s="125"/>
      <c r="N882" s="126"/>
    </row>
    <row r="883" spans="1:14" x14ac:dyDescent="0.35">
      <c r="A883" s="126"/>
      <c r="B883" s="127"/>
      <c r="C883" s="126"/>
      <c r="D883" s="126"/>
      <c r="E883" s="128"/>
      <c r="F883" s="128"/>
      <c r="G883" s="128"/>
      <c r="H883" s="128"/>
      <c r="I883" s="128"/>
      <c r="J883" s="126"/>
      <c r="K883" s="126"/>
      <c r="L883" s="126"/>
      <c r="M883" s="125"/>
      <c r="N883" s="126"/>
    </row>
    <row r="884" spans="1:14" x14ac:dyDescent="0.35">
      <c r="A884" s="126"/>
      <c r="B884" s="127"/>
      <c r="C884" s="126"/>
      <c r="D884" s="126"/>
      <c r="E884" s="128"/>
      <c r="F884" s="128"/>
      <c r="G884" s="128"/>
      <c r="H884" s="128"/>
      <c r="I884" s="128"/>
      <c r="J884" s="126"/>
      <c r="K884" s="126"/>
      <c r="L884" s="126"/>
      <c r="M884" s="125"/>
      <c r="N884" s="126"/>
    </row>
    <row r="885" spans="1:14" x14ac:dyDescent="0.35">
      <c r="A885" s="126"/>
      <c r="B885" s="127"/>
      <c r="C885" s="126"/>
      <c r="D885" s="126"/>
      <c r="E885" s="128"/>
      <c r="F885" s="128"/>
      <c r="G885" s="128"/>
      <c r="H885" s="128"/>
      <c r="I885" s="128"/>
      <c r="J885" s="126"/>
      <c r="K885" s="126"/>
      <c r="L885" s="126"/>
      <c r="M885" s="125"/>
      <c r="N885" s="126"/>
    </row>
    <row r="886" spans="1:14" x14ac:dyDescent="0.35">
      <c r="A886" s="126"/>
      <c r="B886" s="127"/>
      <c r="C886" s="126"/>
      <c r="D886" s="126"/>
      <c r="E886" s="128"/>
      <c r="F886" s="128"/>
      <c r="G886" s="128"/>
      <c r="H886" s="128"/>
      <c r="I886" s="128"/>
      <c r="J886" s="126"/>
      <c r="K886" s="126"/>
      <c r="L886" s="126"/>
      <c r="M886" s="125"/>
      <c r="N886" s="126"/>
    </row>
    <row r="887" spans="1:14" x14ac:dyDescent="0.35">
      <c r="A887" s="126"/>
      <c r="B887" s="127"/>
      <c r="C887" s="126"/>
      <c r="D887" s="126"/>
      <c r="E887" s="128"/>
      <c r="F887" s="128"/>
      <c r="G887" s="128"/>
      <c r="H887" s="128"/>
      <c r="I887" s="128"/>
      <c r="J887" s="126"/>
      <c r="K887" s="126"/>
      <c r="L887" s="126"/>
      <c r="M887" s="125"/>
      <c r="N887" s="126"/>
    </row>
    <row r="888" spans="1:14" x14ac:dyDescent="0.35">
      <c r="A888" s="126"/>
      <c r="B888" s="127"/>
      <c r="C888" s="126"/>
      <c r="D888" s="126"/>
      <c r="E888" s="128"/>
      <c r="F888" s="128"/>
      <c r="G888" s="128"/>
      <c r="H888" s="128"/>
      <c r="I888" s="128"/>
      <c r="J888" s="126"/>
      <c r="K888" s="126"/>
      <c r="L888" s="126"/>
      <c r="M888" s="125"/>
      <c r="N888" s="126"/>
    </row>
    <row r="889" spans="1:14" x14ac:dyDescent="0.35">
      <c r="A889" s="126"/>
      <c r="B889" s="127"/>
      <c r="C889" s="126"/>
      <c r="D889" s="126"/>
      <c r="E889" s="128"/>
      <c r="F889" s="128"/>
      <c r="G889" s="128"/>
      <c r="H889" s="128"/>
      <c r="I889" s="128"/>
      <c r="J889" s="126"/>
      <c r="K889" s="126"/>
      <c r="L889" s="126"/>
      <c r="M889" s="125"/>
      <c r="N889" s="126"/>
    </row>
    <row r="890" spans="1:14" x14ac:dyDescent="0.35">
      <c r="A890" s="126"/>
      <c r="B890" s="127"/>
      <c r="C890" s="126"/>
      <c r="D890" s="126"/>
      <c r="E890" s="128"/>
      <c r="F890" s="128"/>
      <c r="G890" s="128"/>
      <c r="H890" s="128"/>
      <c r="I890" s="128"/>
      <c r="J890" s="126"/>
      <c r="K890" s="126"/>
      <c r="L890" s="126"/>
      <c r="M890" s="125"/>
      <c r="N890" s="126"/>
    </row>
    <row r="891" spans="1:14" x14ac:dyDescent="0.35">
      <c r="A891" s="126"/>
      <c r="B891" s="127"/>
      <c r="C891" s="126"/>
      <c r="D891" s="126"/>
      <c r="E891" s="128"/>
      <c r="F891" s="128"/>
      <c r="G891" s="128"/>
      <c r="H891" s="128"/>
      <c r="I891" s="128"/>
      <c r="J891" s="126"/>
      <c r="K891" s="126"/>
      <c r="L891" s="126"/>
      <c r="M891" s="125"/>
      <c r="N891" s="126"/>
    </row>
    <row r="892" spans="1:14" x14ac:dyDescent="0.35">
      <c r="A892" s="126"/>
      <c r="B892" s="127"/>
      <c r="C892" s="126"/>
      <c r="D892" s="126"/>
      <c r="E892" s="128"/>
      <c r="F892" s="128"/>
      <c r="G892" s="128"/>
      <c r="H892" s="128"/>
      <c r="I892" s="128"/>
      <c r="J892" s="126"/>
      <c r="K892" s="126"/>
      <c r="L892" s="126"/>
      <c r="M892" s="125"/>
      <c r="N892" s="126"/>
    </row>
    <row r="893" spans="1:14" x14ac:dyDescent="0.35">
      <c r="A893" s="126"/>
      <c r="B893" s="127"/>
      <c r="C893" s="126"/>
      <c r="D893" s="126"/>
      <c r="E893" s="128"/>
      <c r="F893" s="128"/>
      <c r="G893" s="128"/>
      <c r="H893" s="128"/>
      <c r="I893" s="128"/>
      <c r="J893" s="126"/>
      <c r="K893" s="126"/>
      <c r="L893" s="126"/>
      <c r="M893" s="125"/>
      <c r="N893" s="126"/>
    </row>
    <row r="894" spans="1:14" x14ac:dyDescent="0.35">
      <c r="A894" s="126"/>
      <c r="B894" s="127"/>
      <c r="C894" s="126"/>
      <c r="D894" s="126"/>
      <c r="E894" s="128"/>
      <c r="F894" s="128"/>
      <c r="G894" s="128"/>
      <c r="H894" s="128"/>
      <c r="I894" s="128"/>
      <c r="J894" s="126"/>
      <c r="K894" s="126"/>
      <c r="L894" s="126"/>
      <c r="M894" s="125"/>
      <c r="N894" s="126"/>
    </row>
    <row r="895" spans="1:14" x14ac:dyDescent="0.35">
      <c r="A895" s="126"/>
      <c r="B895" s="127"/>
      <c r="C895" s="126"/>
      <c r="D895" s="126"/>
      <c r="E895" s="128"/>
      <c r="F895" s="128"/>
      <c r="G895" s="128"/>
      <c r="H895" s="128"/>
      <c r="I895" s="128"/>
      <c r="J895" s="126"/>
      <c r="K895" s="126"/>
      <c r="L895" s="126"/>
      <c r="M895" s="125"/>
      <c r="N895" s="126"/>
    </row>
    <row r="896" spans="1:14" x14ac:dyDescent="0.35">
      <c r="A896" s="126"/>
      <c r="B896" s="127"/>
      <c r="C896" s="126"/>
      <c r="D896" s="126"/>
      <c r="E896" s="128"/>
      <c r="F896" s="128"/>
      <c r="G896" s="128"/>
      <c r="H896" s="128"/>
      <c r="I896" s="128"/>
      <c r="J896" s="126"/>
      <c r="K896" s="126"/>
      <c r="L896" s="126"/>
      <c r="M896" s="125"/>
      <c r="N896" s="126"/>
    </row>
    <row r="897" spans="1:14" x14ac:dyDescent="0.35">
      <c r="A897" s="126"/>
      <c r="B897" s="127"/>
      <c r="C897" s="126"/>
      <c r="D897" s="126"/>
      <c r="E897" s="128"/>
      <c r="F897" s="128"/>
      <c r="G897" s="128"/>
      <c r="H897" s="128"/>
      <c r="I897" s="128"/>
      <c r="J897" s="126"/>
      <c r="K897" s="126"/>
      <c r="L897" s="126"/>
      <c r="M897" s="125"/>
      <c r="N897" s="126"/>
    </row>
    <row r="898" spans="1:14" x14ac:dyDescent="0.35">
      <c r="A898" s="126"/>
      <c r="B898" s="127"/>
      <c r="C898" s="126"/>
      <c r="D898" s="126"/>
      <c r="E898" s="128"/>
      <c r="F898" s="128"/>
      <c r="G898" s="128"/>
      <c r="H898" s="128"/>
      <c r="I898" s="128"/>
      <c r="J898" s="126"/>
      <c r="K898" s="126"/>
      <c r="L898" s="126"/>
      <c r="M898" s="125"/>
      <c r="N898" s="126"/>
    </row>
    <row r="899" spans="1:14" x14ac:dyDescent="0.35">
      <c r="A899" s="126"/>
      <c r="B899" s="127"/>
      <c r="C899" s="126"/>
      <c r="D899" s="126"/>
      <c r="E899" s="128"/>
      <c r="F899" s="128"/>
      <c r="G899" s="128"/>
      <c r="H899" s="128"/>
      <c r="I899" s="128"/>
      <c r="J899" s="126"/>
      <c r="K899" s="126"/>
      <c r="L899" s="126"/>
      <c r="M899" s="125"/>
      <c r="N899" s="126"/>
    </row>
    <row r="900" spans="1:14" x14ac:dyDescent="0.35">
      <c r="A900" s="126"/>
      <c r="B900" s="127"/>
      <c r="C900" s="126"/>
      <c r="D900" s="126"/>
      <c r="E900" s="128"/>
      <c r="F900" s="128"/>
      <c r="G900" s="128"/>
      <c r="H900" s="128"/>
      <c r="I900" s="128"/>
      <c r="J900" s="126"/>
      <c r="K900" s="126"/>
      <c r="L900" s="126"/>
      <c r="M900" s="125"/>
      <c r="N900" s="126"/>
    </row>
    <row r="901" spans="1:14" x14ac:dyDescent="0.35">
      <c r="A901" s="126"/>
      <c r="B901" s="127"/>
      <c r="C901" s="126"/>
      <c r="D901" s="126"/>
      <c r="E901" s="128"/>
      <c r="F901" s="128"/>
      <c r="G901" s="128"/>
      <c r="H901" s="128"/>
      <c r="I901" s="128"/>
      <c r="J901" s="126"/>
      <c r="K901" s="126"/>
      <c r="L901" s="126"/>
      <c r="M901" s="125"/>
      <c r="N901" s="126"/>
    </row>
    <row r="902" spans="1:14" x14ac:dyDescent="0.35">
      <c r="A902" s="126"/>
      <c r="B902" s="127"/>
      <c r="C902" s="126"/>
      <c r="D902" s="126"/>
      <c r="E902" s="128"/>
      <c r="F902" s="128"/>
      <c r="G902" s="128"/>
      <c r="H902" s="128"/>
      <c r="I902" s="128"/>
      <c r="J902" s="126"/>
      <c r="K902" s="126"/>
      <c r="L902" s="126"/>
      <c r="M902" s="125"/>
      <c r="N902" s="126"/>
    </row>
    <row r="903" spans="1:14" x14ac:dyDescent="0.35">
      <c r="A903" s="126"/>
      <c r="B903" s="127"/>
      <c r="C903" s="126"/>
      <c r="D903" s="126"/>
      <c r="E903" s="128"/>
      <c r="F903" s="128"/>
      <c r="G903" s="128"/>
      <c r="H903" s="128"/>
      <c r="I903" s="128"/>
      <c r="J903" s="126"/>
      <c r="K903" s="126"/>
      <c r="L903" s="126"/>
      <c r="M903" s="125"/>
      <c r="N903" s="126"/>
    </row>
    <row r="904" spans="1:14" x14ac:dyDescent="0.35">
      <c r="A904" s="126"/>
      <c r="B904" s="127"/>
      <c r="C904" s="126"/>
      <c r="D904" s="126"/>
      <c r="E904" s="128"/>
      <c r="F904" s="128"/>
      <c r="G904" s="128"/>
      <c r="H904" s="128"/>
      <c r="I904" s="128"/>
      <c r="J904" s="126"/>
      <c r="K904" s="126"/>
      <c r="L904" s="126"/>
      <c r="M904" s="125"/>
      <c r="N904" s="126"/>
    </row>
    <row r="905" spans="1:14" x14ac:dyDescent="0.35">
      <c r="A905" s="126"/>
      <c r="B905" s="127"/>
      <c r="C905" s="126"/>
      <c r="D905" s="126"/>
      <c r="E905" s="128"/>
      <c r="F905" s="128"/>
      <c r="G905" s="128"/>
      <c r="H905" s="128"/>
      <c r="I905" s="128"/>
      <c r="J905" s="126"/>
      <c r="K905" s="126"/>
      <c r="L905" s="126"/>
      <c r="M905" s="125"/>
      <c r="N905" s="126"/>
    </row>
    <row r="906" spans="1:14" x14ac:dyDescent="0.35">
      <c r="A906" s="126"/>
      <c r="B906" s="127"/>
      <c r="C906" s="126"/>
      <c r="D906" s="126"/>
      <c r="E906" s="128"/>
      <c r="F906" s="128"/>
      <c r="G906" s="128"/>
      <c r="H906" s="128"/>
      <c r="I906" s="128"/>
      <c r="J906" s="126"/>
      <c r="K906" s="126"/>
      <c r="L906" s="126"/>
      <c r="M906" s="125"/>
      <c r="N906" s="126"/>
    </row>
    <row r="907" spans="1:14" x14ac:dyDescent="0.35">
      <c r="A907" s="126"/>
      <c r="B907" s="127"/>
      <c r="C907" s="126"/>
      <c r="D907" s="126"/>
      <c r="E907" s="128"/>
      <c r="F907" s="128"/>
      <c r="G907" s="128"/>
      <c r="H907" s="128"/>
      <c r="I907" s="128"/>
      <c r="J907" s="126"/>
      <c r="K907" s="126"/>
      <c r="L907" s="126"/>
      <c r="M907" s="125"/>
      <c r="N907" s="126"/>
    </row>
    <row r="908" spans="1:14" x14ac:dyDescent="0.35">
      <c r="A908" s="126"/>
      <c r="B908" s="127"/>
      <c r="C908" s="126"/>
      <c r="D908" s="126"/>
      <c r="E908" s="128"/>
      <c r="F908" s="128"/>
      <c r="G908" s="128"/>
      <c r="H908" s="128"/>
      <c r="I908" s="128"/>
      <c r="J908" s="126"/>
      <c r="K908" s="126"/>
      <c r="L908" s="126"/>
      <c r="M908" s="125"/>
      <c r="N908" s="126"/>
    </row>
    <row r="909" spans="1:14" x14ac:dyDescent="0.35">
      <c r="A909" s="126"/>
      <c r="B909" s="127"/>
      <c r="C909" s="126"/>
      <c r="D909" s="126"/>
      <c r="E909" s="128"/>
      <c r="F909" s="128"/>
      <c r="G909" s="128"/>
      <c r="H909" s="128"/>
      <c r="I909" s="128"/>
      <c r="J909" s="126"/>
      <c r="K909" s="126"/>
      <c r="L909" s="126"/>
      <c r="M909" s="125"/>
      <c r="N909" s="126"/>
    </row>
    <row r="910" spans="1:14" x14ac:dyDescent="0.35">
      <c r="A910" s="126"/>
      <c r="B910" s="127"/>
      <c r="C910" s="126"/>
      <c r="D910" s="126"/>
      <c r="E910" s="128"/>
      <c r="F910" s="128"/>
      <c r="G910" s="128"/>
      <c r="H910" s="128"/>
      <c r="I910" s="128"/>
      <c r="J910" s="126"/>
      <c r="K910" s="126"/>
      <c r="L910" s="126"/>
      <c r="M910" s="125"/>
      <c r="N910" s="126"/>
    </row>
    <row r="911" spans="1:14" x14ac:dyDescent="0.35">
      <c r="A911" s="126"/>
      <c r="B911" s="127"/>
      <c r="C911" s="126"/>
      <c r="D911" s="126"/>
      <c r="E911" s="128"/>
      <c r="F911" s="128"/>
      <c r="G911" s="128"/>
      <c r="H911" s="128"/>
      <c r="I911" s="128"/>
      <c r="J911" s="126"/>
      <c r="K911" s="126"/>
      <c r="L911" s="126"/>
      <c r="M911" s="125"/>
      <c r="N911" s="126"/>
    </row>
    <row r="912" spans="1:14" x14ac:dyDescent="0.35">
      <c r="A912" s="126"/>
      <c r="B912" s="127"/>
      <c r="C912" s="126"/>
      <c r="D912" s="126"/>
      <c r="E912" s="128"/>
      <c r="F912" s="128"/>
      <c r="G912" s="128"/>
      <c r="H912" s="128"/>
      <c r="I912" s="128"/>
      <c r="J912" s="126"/>
      <c r="K912" s="126"/>
      <c r="L912" s="126"/>
      <c r="M912" s="125"/>
      <c r="N912" s="126"/>
    </row>
    <row r="913" spans="1:14" x14ac:dyDescent="0.35">
      <c r="A913" s="126"/>
      <c r="B913" s="127"/>
      <c r="C913" s="126"/>
      <c r="D913" s="126"/>
      <c r="E913" s="128"/>
      <c r="F913" s="128"/>
      <c r="G913" s="128"/>
      <c r="H913" s="128"/>
      <c r="I913" s="128"/>
      <c r="J913" s="126"/>
      <c r="K913" s="126"/>
      <c r="L913" s="126"/>
      <c r="M913" s="125"/>
      <c r="N913" s="126"/>
    </row>
    <row r="914" spans="1:14" x14ac:dyDescent="0.35">
      <c r="A914" s="126"/>
      <c r="B914" s="127"/>
      <c r="C914" s="126"/>
      <c r="D914" s="126"/>
      <c r="E914" s="128"/>
      <c r="F914" s="128"/>
      <c r="G914" s="128"/>
      <c r="H914" s="128"/>
      <c r="I914" s="128"/>
      <c r="J914" s="126"/>
      <c r="K914" s="126"/>
      <c r="L914" s="126"/>
      <c r="M914" s="125"/>
      <c r="N914" s="126"/>
    </row>
    <row r="915" spans="1:14" x14ac:dyDescent="0.35">
      <c r="A915" s="126"/>
      <c r="B915" s="127"/>
      <c r="C915" s="126"/>
      <c r="D915" s="126"/>
      <c r="E915" s="128"/>
      <c r="F915" s="128"/>
      <c r="G915" s="128"/>
      <c r="H915" s="128"/>
      <c r="I915" s="128"/>
      <c r="J915" s="126"/>
      <c r="K915" s="126"/>
      <c r="L915" s="126"/>
      <c r="M915" s="125"/>
      <c r="N915" s="126"/>
    </row>
    <row r="916" spans="1:14" x14ac:dyDescent="0.35">
      <c r="A916" s="126"/>
      <c r="B916" s="127"/>
      <c r="C916" s="126"/>
      <c r="D916" s="126"/>
      <c r="E916" s="128"/>
      <c r="F916" s="128"/>
      <c r="G916" s="128"/>
      <c r="H916" s="128"/>
      <c r="I916" s="128"/>
      <c r="J916" s="126"/>
      <c r="K916" s="126"/>
      <c r="L916" s="126"/>
      <c r="M916" s="125"/>
      <c r="N916" s="126"/>
    </row>
    <row r="917" spans="1:14" x14ac:dyDescent="0.35">
      <c r="A917" s="126"/>
      <c r="B917" s="127"/>
      <c r="C917" s="126"/>
      <c r="D917" s="126"/>
      <c r="E917" s="128"/>
      <c r="F917" s="128"/>
      <c r="G917" s="128"/>
      <c r="H917" s="128"/>
      <c r="I917" s="128"/>
      <c r="J917" s="126"/>
      <c r="K917" s="126"/>
      <c r="L917" s="126"/>
      <c r="M917" s="125"/>
      <c r="N917" s="126"/>
    </row>
    <row r="918" spans="1:14" x14ac:dyDescent="0.35">
      <c r="A918" s="126"/>
      <c r="B918" s="127"/>
      <c r="C918" s="126"/>
      <c r="D918" s="126"/>
      <c r="E918" s="128"/>
      <c r="F918" s="128"/>
      <c r="G918" s="128"/>
      <c r="H918" s="128"/>
      <c r="I918" s="128"/>
      <c r="J918" s="126"/>
      <c r="K918" s="126"/>
      <c r="L918" s="126"/>
      <c r="M918" s="125"/>
      <c r="N918" s="126"/>
    </row>
    <row r="919" spans="1:14" x14ac:dyDescent="0.35">
      <c r="A919" s="126"/>
      <c r="B919" s="127"/>
      <c r="C919" s="126"/>
      <c r="D919" s="126"/>
      <c r="E919" s="128"/>
      <c r="F919" s="128"/>
      <c r="G919" s="128"/>
      <c r="H919" s="128"/>
      <c r="I919" s="128"/>
      <c r="J919" s="126"/>
      <c r="K919" s="126"/>
      <c r="L919" s="126"/>
      <c r="M919" s="125"/>
      <c r="N919" s="126"/>
    </row>
    <row r="920" spans="1:14" x14ac:dyDescent="0.35">
      <c r="A920" s="126"/>
      <c r="B920" s="127"/>
      <c r="C920" s="126"/>
      <c r="D920" s="126"/>
      <c r="E920" s="128"/>
      <c r="F920" s="128"/>
      <c r="G920" s="128"/>
      <c r="H920" s="128"/>
      <c r="I920" s="128"/>
      <c r="J920" s="126"/>
      <c r="K920" s="126"/>
      <c r="L920" s="126"/>
      <c r="M920" s="125"/>
      <c r="N920" s="126"/>
    </row>
    <row r="921" spans="1:14" x14ac:dyDescent="0.35">
      <c r="A921" s="126"/>
      <c r="B921" s="127"/>
      <c r="C921" s="126"/>
      <c r="D921" s="126"/>
      <c r="E921" s="128"/>
      <c r="F921" s="128"/>
      <c r="G921" s="128"/>
      <c r="H921" s="128"/>
      <c r="I921" s="128"/>
      <c r="J921" s="126"/>
      <c r="K921" s="126"/>
      <c r="L921" s="126"/>
      <c r="M921" s="125"/>
      <c r="N921" s="126"/>
    </row>
    <row r="922" spans="1:14" x14ac:dyDescent="0.35">
      <c r="A922" s="126"/>
      <c r="B922" s="127"/>
      <c r="C922" s="126"/>
      <c r="D922" s="126"/>
      <c r="E922" s="128"/>
      <c r="F922" s="128"/>
      <c r="G922" s="128"/>
      <c r="H922" s="128"/>
      <c r="I922" s="128"/>
      <c r="J922" s="126"/>
      <c r="K922" s="126"/>
      <c r="L922" s="126"/>
      <c r="M922" s="125"/>
      <c r="N922" s="126"/>
    </row>
    <row r="923" spans="1:14" x14ac:dyDescent="0.35">
      <c r="A923" s="126"/>
      <c r="B923" s="127"/>
      <c r="C923" s="126"/>
      <c r="D923" s="126"/>
      <c r="E923" s="128"/>
      <c r="F923" s="128"/>
      <c r="G923" s="128"/>
      <c r="H923" s="128"/>
      <c r="I923" s="128"/>
      <c r="J923" s="126"/>
      <c r="K923" s="126"/>
      <c r="L923" s="126"/>
      <c r="M923" s="125"/>
      <c r="N923" s="126"/>
    </row>
    <row r="924" spans="1:14" x14ac:dyDescent="0.35">
      <c r="A924" s="126"/>
      <c r="B924" s="127"/>
      <c r="C924" s="126"/>
      <c r="D924" s="126"/>
      <c r="E924" s="128"/>
      <c r="F924" s="128"/>
      <c r="G924" s="128"/>
      <c r="H924" s="128"/>
      <c r="I924" s="128"/>
      <c r="J924" s="126"/>
      <c r="K924" s="126"/>
      <c r="L924" s="126"/>
      <c r="M924" s="125"/>
      <c r="N924" s="126"/>
    </row>
    <row r="925" spans="1:14" x14ac:dyDescent="0.35">
      <c r="A925" s="126"/>
      <c r="B925" s="127"/>
      <c r="C925" s="126"/>
      <c r="D925" s="126"/>
      <c r="E925" s="128"/>
      <c r="F925" s="128"/>
      <c r="G925" s="128"/>
      <c r="H925" s="128"/>
      <c r="I925" s="128"/>
      <c r="J925" s="126"/>
      <c r="K925" s="126"/>
      <c r="L925" s="126"/>
      <c r="M925" s="125"/>
      <c r="N925" s="126"/>
    </row>
    <row r="926" spans="1:14" x14ac:dyDescent="0.35">
      <c r="A926" s="126"/>
      <c r="B926" s="127"/>
      <c r="C926" s="126"/>
      <c r="D926" s="126"/>
      <c r="E926" s="128"/>
      <c r="F926" s="128"/>
      <c r="G926" s="128"/>
      <c r="H926" s="128"/>
      <c r="I926" s="128"/>
      <c r="J926" s="126"/>
      <c r="K926" s="126"/>
      <c r="L926" s="126"/>
      <c r="M926" s="125"/>
      <c r="N926" s="126"/>
    </row>
    <row r="927" spans="1:14" x14ac:dyDescent="0.35">
      <c r="A927" s="126"/>
      <c r="B927" s="127"/>
      <c r="C927" s="126"/>
      <c r="D927" s="126"/>
      <c r="E927" s="128"/>
      <c r="F927" s="128"/>
      <c r="G927" s="128"/>
      <c r="H927" s="128"/>
      <c r="I927" s="128"/>
      <c r="J927" s="126"/>
      <c r="K927" s="126"/>
      <c r="L927" s="126"/>
      <c r="M927" s="125"/>
      <c r="N927" s="126"/>
    </row>
    <row r="928" spans="1:14" x14ac:dyDescent="0.35">
      <c r="A928" s="126"/>
      <c r="B928" s="127"/>
      <c r="C928" s="126"/>
      <c r="D928" s="126"/>
      <c r="E928" s="128"/>
      <c r="F928" s="128"/>
      <c r="G928" s="128"/>
      <c r="H928" s="128"/>
      <c r="I928" s="128"/>
      <c r="J928" s="126"/>
      <c r="K928" s="126"/>
      <c r="L928" s="126"/>
      <c r="M928" s="125"/>
      <c r="N928" s="126"/>
    </row>
    <row r="929" spans="1:14" x14ac:dyDescent="0.35">
      <c r="A929" s="126"/>
      <c r="B929" s="127"/>
      <c r="C929" s="126"/>
      <c r="D929" s="126"/>
      <c r="E929" s="128"/>
      <c r="F929" s="128"/>
      <c r="G929" s="128"/>
      <c r="H929" s="128"/>
      <c r="I929" s="128"/>
      <c r="J929" s="126"/>
      <c r="K929" s="126"/>
      <c r="L929" s="126"/>
      <c r="M929" s="125"/>
      <c r="N929" s="126"/>
    </row>
    <row r="930" spans="1:14" x14ac:dyDescent="0.35">
      <c r="A930" s="126"/>
      <c r="B930" s="127"/>
      <c r="C930" s="126"/>
      <c r="D930" s="126"/>
      <c r="E930" s="128"/>
      <c r="F930" s="128"/>
      <c r="G930" s="128"/>
      <c r="H930" s="128"/>
      <c r="I930" s="128"/>
      <c r="J930" s="126"/>
      <c r="K930" s="126"/>
      <c r="L930" s="126"/>
      <c r="M930" s="125"/>
      <c r="N930" s="126"/>
    </row>
    <row r="931" spans="1:14" x14ac:dyDescent="0.35">
      <c r="A931" s="126"/>
      <c r="B931" s="127"/>
      <c r="C931" s="126"/>
      <c r="D931" s="126"/>
      <c r="E931" s="128"/>
      <c r="F931" s="128"/>
      <c r="G931" s="128"/>
      <c r="H931" s="128"/>
      <c r="I931" s="128"/>
      <c r="J931" s="126"/>
      <c r="K931" s="126"/>
      <c r="L931" s="126"/>
      <c r="M931" s="125"/>
      <c r="N931" s="126"/>
    </row>
    <row r="932" spans="1:14" x14ac:dyDescent="0.35">
      <c r="A932" s="126"/>
      <c r="B932" s="127"/>
      <c r="C932" s="126"/>
      <c r="D932" s="126"/>
      <c r="E932" s="128"/>
      <c r="F932" s="128"/>
      <c r="G932" s="128"/>
      <c r="H932" s="128"/>
      <c r="I932" s="128"/>
      <c r="J932" s="126"/>
      <c r="K932" s="126"/>
      <c r="L932" s="126"/>
      <c r="M932" s="125"/>
      <c r="N932" s="126"/>
    </row>
    <row r="933" spans="1:14" x14ac:dyDescent="0.35">
      <c r="A933" s="126"/>
      <c r="B933" s="127"/>
      <c r="C933" s="126"/>
      <c r="D933" s="126"/>
      <c r="E933" s="128"/>
      <c r="F933" s="128"/>
      <c r="G933" s="128"/>
      <c r="H933" s="128"/>
      <c r="I933" s="128"/>
      <c r="J933" s="126"/>
      <c r="K933" s="126"/>
      <c r="L933" s="126"/>
      <c r="M933" s="125"/>
      <c r="N933" s="126"/>
    </row>
    <row r="934" spans="1:14" x14ac:dyDescent="0.35">
      <c r="A934" s="126"/>
      <c r="B934" s="127"/>
      <c r="C934" s="126"/>
      <c r="D934" s="126"/>
      <c r="E934" s="128"/>
      <c r="F934" s="128"/>
      <c r="G934" s="128"/>
      <c r="H934" s="128"/>
      <c r="I934" s="128"/>
      <c r="J934" s="126"/>
      <c r="K934" s="126"/>
      <c r="L934" s="126"/>
      <c r="M934" s="125"/>
      <c r="N934" s="126"/>
    </row>
    <row r="935" spans="1:14" x14ac:dyDescent="0.35">
      <c r="A935" s="126"/>
      <c r="B935" s="127"/>
      <c r="C935" s="126"/>
      <c r="D935" s="126"/>
      <c r="E935" s="128"/>
      <c r="F935" s="128"/>
      <c r="G935" s="128"/>
      <c r="H935" s="128"/>
      <c r="I935" s="128"/>
      <c r="J935" s="126"/>
      <c r="K935" s="126"/>
      <c r="L935" s="126"/>
      <c r="M935" s="125"/>
      <c r="N935" s="126"/>
    </row>
    <row r="936" spans="1:14" x14ac:dyDescent="0.35">
      <c r="A936" s="126"/>
      <c r="B936" s="127"/>
      <c r="C936" s="126"/>
      <c r="D936" s="126"/>
      <c r="E936" s="128"/>
      <c r="F936" s="128"/>
      <c r="G936" s="128"/>
      <c r="H936" s="128"/>
      <c r="I936" s="128"/>
      <c r="J936" s="126"/>
      <c r="K936" s="126"/>
      <c r="L936" s="126"/>
      <c r="M936" s="125"/>
      <c r="N936" s="126"/>
    </row>
    <row r="937" spans="1:14" x14ac:dyDescent="0.35">
      <c r="A937" s="126"/>
      <c r="B937" s="127"/>
      <c r="C937" s="126"/>
      <c r="D937" s="126"/>
      <c r="E937" s="128"/>
      <c r="F937" s="128"/>
      <c r="G937" s="128"/>
      <c r="H937" s="128"/>
      <c r="I937" s="128"/>
      <c r="J937" s="126"/>
      <c r="K937" s="126"/>
      <c r="L937" s="126"/>
      <c r="M937" s="125"/>
      <c r="N937" s="126"/>
    </row>
    <row r="938" spans="1:14" x14ac:dyDescent="0.35">
      <c r="A938" s="126"/>
      <c r="B938" s="127"/>
      <c r="C938" s="126"/>
      <c r="D938" s="126"/>
      <c r="E938" s="128"/>
      <c r="F938" s="128"/>
      <c r="G938" s="128"/>
      <c r="H938" s="128"/>
      <c r="I938" s="128"/>
      <c r="J938" s="126"/>
      <c r="K938" s="126"/>
      <c r="L938" s="126"/>
      <c r="M938" s="125"/>
      <c r="N938" s="126"/>
    </row>
    <row r="939" spans="1:14" x14ac:dyDescent="0.35">
      <c r="A939" s="126"/>
      <c r="B939" s="127"/>
      <c r="C939" s="126"/>
      <c r="D939" s="126"/>
      <c r="E939" s="128"/>
      <c r="F939" s="128"/>
      <c r="G939" s="128"/>
      <c r="H939" s="128"/>
      <c r="I939" s="128"/>
      <c r="J939" s="126"/>
      <c r="K939" s="126"/>
      <c r="L939" s="126"/>
      <c r="M939" s="125"/>
      <c r="N939" s="126"/>
    </row>
    <row r="940" spans="1:14" x14ac:dyDescent="0.35">
      <c r="A940" s="126"/>
      <c r="B940" s="127"/>
      <c r="C940" s="126"/>
      <c r="D940" s="126"/>
      <c r="E940" s="128"/>
      <c r="F940" s="128"/>
      <c r="G940" s="128"/>
      <c r="H940" s="128"/>
      <c r="I940" s="128"/>
      <c r="J940" s="126"/>
      <c r="K940" s="126"/>
      <c r="L940" s="126"/>
      <c r="M940" s="125"/>
      <c r="N940" s="126"/>
    </row>
    <row r="941" spans="1:14" x14ac:dyDescent="0.35">
      <c r="A941" s="126"/>
      <c r="B941" s="127"/>
      <c r="C941" s="126"/>
      <c r="D941" s="126"/>
      <c r="E941" s="128"/>
      <c r="F941" s="128"/>
      <c r="G941" s="128"/>
      <c r="H941" s="128"/>
      <c r="I941" s="128"/>
      <c r="J941" s="126"/>
      <c r="K941" s="126"/>
      <c r="L941" s="126"/>
      <c r="M941" s="125"/>
      <c r="N941" s="126"/>
    </row>
    <row r="942" spans="1:14" x14ac:dyDescent="0.35">
      <c r="A942" s="126"/>
      <c r="B942" s="127"/>
      <c r="C942" s="126"/>
      <c r="D942" s="126"/>
      <c r="E942" s="128"/>
      <c r="F942" s="128"/>
      <c r="G942" s="128"/>
      <c r="H942" s="128"/>
      <c r="I942" s="128"/>
      <c r="J942" s="126"/>
      <c r="K942" s="126"/>
      <c r="L942" s="126"/>
      <c r="M942" s="125"/>
      <c r="N942" s="126"/>
    </row>
    <row r="943" spans="1:14" x14ac:dyDescent="0.35">
      <c r="A943" s="126"/>
      <c r="B943" s="127"/>
      <c r="C943" s="126"/>
      <c r="D943" s="126"/>
      <c r="E943" s="128"/>
      <c r="F943" s="128"/>
      <c r="G943" s="128"/>
      <c r="H943" s="128"/>
      <c r="I943" s="128"/>
      <c r="J943" s="126"/>
      <c r="K943" s="126"/>
      <c r="L943" s="126"/>
      <c r="M943" s="125"/>
      <c r="N943" s="126"/>
    </row>
    <row r="944" spans="1:14" x14ac:dyDescent="0.35">
      <c r="A944" s="126"/>
      <c r="B944" s="127"/>
      <c r="C944" s="126"/>
      <c r="D944" s="126"/>
      <c r="E944" s="128"/>
      <c r="F944" s="128"/>
      <c r="G944" s="128"/>
      <c r="H944" s="128"/>
      <c r="I944" s="128"/>
      <c r="J944" s="126"/>
      <c r="K944" s="126"/>
      <c r="L944" s="126"/>
      <c r="M944" s="125"/>
      <c r="N944" s="126"/>
    </row>
    <row r="945" spans="1:14" x14ac:dyDescent="0.35">
      <c r="A945" s="126"/>
      <c r="B945" s="127"/>
      <c r="C945" s="126"/>
      <c r="D945" s="126"/>
      <c r="E945" s="128"/>
      <c r="F945" s="128"/>
      <c r="G945" s="128"/>
      <c r="H945" s="128"/>
      <c r="I945" s="128"/>
      <c r="J945" s="126"/>
      <c r="K945" s="126"/>
      <c r="L945" s="126"/>
      <c r="M945" s="125"/>
      <c r="N945" s="126"/>
    </row>
    <row r="946" spans="1:14" x14ac:dyDescent="0.35">
      <c r="A946" s="126"/>
      <c r="B946" s="127"/>
      <c r="C946" s="126"/>
      <c r="D946" s="126"/>
      <c r="E946" s="128"/>
      <c r="F946" s="128"/>
      <c r="G946" s="128"/>
      <c r="H946" s="128"/>
      <c r="I946" s="128"/>
      <c r="J946" s="126"/>
      <c r="K946" s="126"/>
      <c r="L946" s="126"/>
      <c r="M946" s="125"/>
      <c r="N946" s="126"/>
    </row>
    <row r="947" spans="1:14" x14ac:dyDescent="0.35">
      <c r="A947" s="126"/>
      <c r="B947" s="127"/>
      <c r="C947" s="126"/>
      <c r="D947" s="126"/>
      <c r="E947" s="128"/>
      <c r="F947" s="128"/>
      <c r="G947" s="128"/>
      <c r="H947" s="128"/>
      <c r="I947" s="128"/>
      <c r="J947" s="126"/>
      <c r="K947" s="126"/>
      <c r="L947" s="126"/>
      <c r="M947" s="125"/>
      <c r="N947" s="126"/>
    </row>
    <row r="948" spans="1:14" x14ac:dyDescent="0.35">
      <c r="A948" s="126"/>
      <c r="B948" s="127"/>
      <c r="C948" s="126"/>
      <c r="D948" s="126"/>
      <c r="E948" s="128"/>
      <c r="F948" s="128"/>
      <c r="G948" s="128"/>
      <c r="H948" s="128"/>
      <c r="I948" s="128"/>
      <c r="J948" s="126"/>
      <c r="K948" s="126"/>
      <c r="L948" s="126"/>
      <c r="M948" s="125"/>
      <c r="N948" s="126"/>
    </row>
    <row r="949" spans="1:14" x14ac:dyDescent="0.35">
      <c r="A949" s="126"/>
      <c r="B949" s="127"/>
      <c r="C949" s="126"/>
      <c r="D949" s="126"/>
      <c r="E949" s="128"/>
      <c r="F949" s="128"/>
      <c r="G949" s="128"/>
      <c r="H949" s="128"/>
      <c r="I949" s="128"/>
      <c r="J949" s="126"/>
      <c r="K949" s="126"/>
      <c r="L949" s="126"/>
      <c r="M949" s="125"/>
      <c r="N949" s="126"/>
    </row>
    <row r="950" spans="1:14" x14ac:dyDescent="0.35">
      <c r="A950" s="126"/>
      <c r="B950" s="127"/>
      <c r="C950" s="126"/>
      <c r="D950" s="126"/>
      <c r="E950" s="128"/>
      <c r="F950" s="128"/>
      <c r="G950" s="128"/>
      <c r="H950" s="128"/>
      <c r="I950" s="128"/>
      <c r="J950" s="126"/>
      <c r="K950" s="126"/>
      <c r="L950" s="126"/>
      <c r="M950" s="125"/>
      <c r="N950" s="126"/>
    </row>
    <row r="951" spans="1:14" x14ac:dyDescent="0.35">
      <c r="A951" s="126"/>
      <c r="B951" s="127"/>
      <c r="C951" s="126"/>
      <c r="D951" s="126"/>
      <c r="E951" s="128"/>
      <c r="F951" s="128"/>
      <c r="G951" s="128"/>
      <c r="H951" s="128"/>
      <c r="I951" s="128"/>
      <c r="J951" s="126"/>
      <c r="K951" s="126"/>
      <c r="L951" s="126"/>
      <c r="M951" s="125"/>
      <c r="N951" s="126"/>
    </row>
    <row r="952" spans="1:14" x14ac:dyDescent="0.35">
      <c r="A952" s="126"/>
      <c r="B952" s="127"/>
      <c r="C952" s="126"/>
      <c r="D952" s="126"/>
      <c r="E952" s="128"/>
      <c r="F952" s="128"/>
      <c r="G952" s="128"/>
      <c r="H952" s="128"/>
      <c r="I952" s="128"/>
      <c r="J952" s="126"/>
      <c r="K952" s="126"/>
      <c r="L952" s="126"/>
      <c r="M952" s="125"/>
      <c r="N952" s="126"/>
    </row>
    <row r="953" spans="1:14" x14ac:dyDescent="0.35">
      <c r="A953" s="126"/>
      <c r="B953" s="127"/>
      <c r="C953" s="126"/>
      <c r="D953" s="126"/>
      <c r="E953" s="128"/>
      <c r="F953" s="128"/>
      <c r="G953" s="128"/>
      <c r="H953" s="128"/>
      <c r="I953" s="128"/>
      <c r="J953" s="126"/>
      <c r="K953" s="126"/>
      <c r="L953" s="126"/>
      <c r="M953" s="125"/>
      <c r="N953" s="126"/>
    </row>
    <row r="954" spans="1:14" x14ac:dyDescent="0.35">
      <c r="A954" s="126"/>
      <c r="B954" s="127"/>
      <c r="C954" s="126"/>
      <c r="D954" s="126"/>
      <c r="E954" s="128"/>
      <c r="F954" s="128"/>
      <c r="G954" s="128"/>
      <c r="H954" s="128"/>
      <c r="I954" s="128"/>
      <c r="J954" s="126"/>
      <c r="K954" s="126"/>
      <c r="L954" s="126"/>
      <c r="M954" s="125"/>
      <c r="N954" s="126"/>
    </row>
    <row r="955" spans="1:14" x14ac:dyDescent="0.35">
      <c r="A955" s="126"/>
      <c r="B955" s="127"/>
      <c r="C955" s="126"/>
      <c r="D955" s="126"/>
      <c r="E955" s="128"/>
      <c r="F955" s="128"/>
      <c r="G955" s="128"/>
      <c r="H955" s="128"/>
      <c r="I955" s="128"/>
      <c r="J955" s="126"/>
      <c r="K955" s="126"/>
      <c r="L955" s="126"/>
      <c r="M955" s="125"/>
      <c r="N955" s="126"/>
    </row>
    <row r="956" spans="1:14" x14ac:dyDescent="0.35">
      <c r="A956" s="126"/>
      <c r="B956" s="127"/>
      <c r="C956" s="126"/>
      <c r="D956" s="126"/>
      <c r="E956" s="128"/>
      <c r="F956" s="128"/>
      <c r="G956" s="128"/>
      <c r="H956" s="128"/>
      <c r="I956" s="128"/>
      <c r="J956" s="126"/>
      <c r="K956" s="126"/>
      <c r="L956" s="126"/>
      <c r="M956" s="125"/>
      <c r="N956" s="126"/>
    </row>
    <row r="957" spans="1:14" x14ac:dyDescent="0.35">
      <c r="A957" s="126"/>
      <c r="B957" s="127"/>
      <c r="C957" s="126"/>
      <c r="D957" s="126"/>
      <c r="E957" s="128"/>
      <c r="F957" s="128"/>
      <c r="G957" s="128"/>
      <c r="H957" s="128"/>
      <c r="I957" s="128"/>
      <c r="J957" s="126"/>
      <c r="K957" s="126"/>
      <c r="L957" s="126"/>
      <c r="M957" s="125"/>
      <c r="N957" s="126"/>
    </row>
    <row r="958" spans="1:14" x14ac:dyDescent="0.35">
      <c r="A958" s="126"/>
      <c r="B958" s="127"/>
      <c r="C958" s="126"/>
      <c r="D958" s="126"/>
      <c r="E958" s="128"/>
      <c r="F958" s="128"/>
      <c r="G958" s="128"/>
      <c r="H958" s="128"/>
      <c r="I958" s="128"/>
      <c r="J958" s="126"/>
      <c r="K958" s="126"/>
      <c r="L958" s="126"/>
      <c r="M958" s="125"/>
      <c r="N958" s="126"/>
    </row>
    <row r="959" spans="1:14" x14ac:dyDescent="0.35">
      <c r="A959" s="126"/>
      <c r="B959" s="127"/>
      <c r="C959" s="126"/>
      <c r="D959" s="126"/>
      <c r="E959" s="128"/>
      <c r="F959" s="128"/>
      <c r="G959" s="128"/>
      <c r="H959" s="128"/>
      <c r="I959" s="128"/>
      <c r="J959" s="126"/>
      <c r="K959" s="126"/>
      <c r="L959" s="126"/>
      <c r="M959" s="125"/>
      <c r="N959" s="126"/>
    </row>
    <row r="960" spans="1:14" x14ac:dyDescent="0.35">
      <c r="A960" s="126"/>
      <c r="B960" s="127"/>
      <c r="C960" s="126"/>
      <c r="D960" s="126"/>
      <c r="E960" s="128"/>
      <c r="F960" s="128"/>
      <c r="G960" s="128"/>
      <c r="H960" s="128"/>
      <c r="I960" s="128"/>
      <c r="J960" s="126"/>
      <c r="K960" s="126"/>
      <c r="L960" s="126"/>
      <c r="M960" s="125"/>
      <c r="N960" s="126"/>
    </row>
    <row r="961" spans="1:14" x14ac:dyDescent="0.35">
      <c r="A961" s="126"/>
      <c r="B961" s="127"/>
      <c r="C961" s="126"/>
      <c r="D961" s="126"/>
      <c r="E961" s="128"/>
      <c r="F961" s="128"/>
      <c r="G961" s="128"/>
      <c r="H961" s="128"/>
      <c r="I961" s="128"/>
      <c r="J961" s="126"/>
      <c r="K961" s="126"/>
      <c r="L961" s="126"/>
      <c r="M961" s="125"/>
      <c r="N961" s="126"/>
    </row>
    <row r="962" spans="1:14" x14ac:dyDescent="0.35">
      <c r="A962" s="126"/>
      <c r="B962" s="127"/>
      <c r="C962" s="126"/>
      <c r="D962" s="126"/>
      <c r="E962" s="128"/>
      <c r="F962" s="128"/>
      <c r="G962" s="128"/>
      <c r="H962" s="128"/>
      <c r="I962" s="128"/>
      <c r="J962" s="126"/>
      <c r="K962" s="126"/>
      <c r="L962" s="126"/>
      <c r="M962" s="125"/>
      <c r="N962" s="126"/>
    </row>
    <row r="963" spans="1:14" x14ac:dyDescent="0.35">
      <c r="A963" s="126"/>
      <c r="B963" s="127"/>
      <c r="C963" s="126"/>
      <c r="D963" s="126"/>
      <c r="E963" s="128"/>
      <c r="F963" s="128"/>
      <c r="G963" s="128"/>
      <c r="H963" s="128"/>
      <c r="I963" s="128"/>
      <c r="J963" s="126"/>
      <c r="K963" s="126"/>
      <c r="L963" s="126"/>
      <c r="M963" s="125"/>
      <c r="N963" s="126"/>
    </row>
    <row r="964" spans="1:14" x14ac:dyDescent="0.35">
      <c r="A964" s="126"/>
      <c r="B964" s="127"/>
      <c r="C964" s="126"/>
      <c r="D964" s="126"/>
      <c r="E964" s="128"/>
      <c r="F964" s="128"/>
      <c r="G964" s="128"/>
      <c r="H964" s="128"/>
      <c r="I964" s="128"/>
      <c r="J964" s="126"/>
      <c r="K964" s="126"/>
      <c r="L964" s="126"/>
      <c r="M964" s="125"/>
      <c r="N964" s="126"/>
    </row>
    <row r="965" spans="1:14" x14ac:dyDescent="0.35">
      <c r="A965" s="126"/>
      <c r="B965" s="127"/>
      <c r="C965" s="126"/>
      <c r="D965" s="126"/>
      <c r="E965" s="128"/>
      <c r="F965" s="128"/>
      <c r="G965" s="128"/>
      <c r="H965" s="128"/>
      <c r="I965" s="128"/>
      <c r="J965" s="126"/>
      <c r="K965" s="126"/>
      <c r="L965" s="126"/>
      <c r="M965" s="125"/>
      <c r="N965" s="126"/>
    </row>
    <row r="966" spans="1:14" x14ac:dyDescent="0.35">
      <c r="A966" s="126"/>
      <c r="B966" s="127"/>
      <c r="C966" s="126"/>
      <c r="D966" s="126"/>
      <c r="E966" s="128"/>
      <c r="F966" s="128"/>
      <c r="G966" s="128"/>
      <c r="H966" s="128"/>
      <c r="I966" s="128"/>
      <c r="J966" s="126"/>
      <c r="K966" s="126"/>
      <c r="L966" s="126"/>
      <c r="M966" s="125"/>
      <c r="N966" s="126"/>
    </row>
    <row r="967" spans="1:14" x14ac:dyDescent="0.35">
      <c r="A967" s="126"/>
      <c r="B967" s="127"/>
      <c r="C967" s="126"/>
      <c r="D967" s="126"/>
      <c r="E967" s="128"/>
      <c r="F967" s="128"/>
      <c r="G967" s="128"/>
      <c r="H967" s="128"/>
      <c r="I967" s="128"/>
      <c r="J967" s="126"/>
      <c r="K967" s="126"/>
      <c r="L967" s="126"/>
      <c r="M967" s="125"/>
      <c r="N967" s="126"/>
    </row>
    <row r="968" spans="1:14" x14ac:dyDescent="0.35">
      <c r="A968" s="126"/>
      <c r="B968" s="127"/>
      <c r="C968" s="126"/>
      <c r="D968" s="126"/>
      <c r="E968" s="128"/>
      <c r="F968" s="128"/>
      <c r="G968" s="128"/>
      <c r="H968" s="128"/>
      <c r="I968" s="128"/>
      <c r="J968" s="126"/>
      <c r="K968" s="126"/>
      <c r="L968" s="126"/>
      <c r="M968" s="125"/>
      <c r="N968" s="126"/>
    </row>
    <row r="969" spans="1:14" x14ac:dyDescent="0.35">
      <c r="A969" s="126"/>
      <c r="B969" s="127"/>
      <c r="C969" s="126"/>
      <c r="D969" s="126"/>
      <c r="E969" s="128"/>
      <c r="F969" s="128"/>
      <c r="G969" s="128"/>
      <c r="H969" s="128"/>
      <c r="I969" s="128"/>
      <c r="J969" s="126"/>
      <c r="K969" s="126"/>
      <c r="L969" s="126"/>
      <c r="M969" s="125"/>
      <c r="N969" s="126"/>
    </row>
    <row r="970" spans="1:14" x14ac:dyDescent="0.35">
      <c r="A970" s="126"/>
      <c r="B970" s="127"/>
      <c r="C970" s="126"/>
      <c r="D970" s="126"/>
      <c r="E970" s="128"/>
      <c r="F970" s="128"/>
      <c r="G970" s="128"/>
      <c r="H970" s="128"/>
      <c r="I970" s="128"/>
      <c r="J970" s="126"/>
      <c r="K970" s="126"/>
      <c r="L970" s="126"/>
      <c r="M970" s="125"/>
      <c r="N970" s="126"/>
    </row>
    <row r="971" spans="1:14" x14ac:dyDescent="0.35">
      <c r="A971" s="126"/>
      <c r="B971" s="127"/>
      <c r="C971" s="126"/>
      <c r="D971" s="126"/>
      <c r="E971" s="128"/>
      <c r="F971" s="128"/>
      <c r="G971" s="128"/>
      <c r="H971" s="128"/>
      <c r="I971" s="128"/>
      <c r="J971" s="126"/>
      <c r="K971" s="126"/>
      <c r="L971" s="126"/>
      <c r="M971" s="125"/>
      <c r="N971" s="126"/>
    </row>
    <row r="972" spans="1:14" x14ac:dyDescent="0.35">
      <c r="A972" s="126"/>
      <c r="B972" s="127"/>
      <c r="C972" s="126"/>
      <c r="D972" s="126"/>
      <c r="E972" s="128"/>
      <c r="F972" s="128"/>
      <c r="G972" s="128"/>
      <c r="H972" s="128"/>
      <c r="I972" s="128"/>
      <c r="J972" s="126"/>
      <c r="K972" s="126"/>
      <c r="L972" s="126"/>
      <c r="M972" s="125"/>
      <c r="N972" s="126"/>
    </row>
    <row r="973" spans="1:14" x14ac:dyDescent="0.35">
      <c r="A973" s="126"/>
      <c r="B973" s="127"/>
      <c r="C973" s="126"/>
      <c r="D973" s="126"/>
      <c r="E973" s="128"/>
      <c r="F973" s="128"/>
      <c r="G973" s="128"/>
      <c r="H973" s="128"/>
      <c r="I973" s="128"/>
      <c r="J973" s="126"/>
      <c r="K973" s="126"/>
      <c r="L973" s="126"/>
      <c r="M973" s="125"/>
      <c r="N973" s="126"/>
    </row>
    <row r="974" spans="1:14" x14ac:dyDescent="0.35">
      <c r="A974" s="126"/>
      <c r="B974" s="127"/>
      <c r="C974" s="126"/>
      <c r="D974" s="126"/>
      <c r="E974" s="128"/>
      <c r="F974" s="128"/>
      <c r="G974" s="128"/>
      <c r="H974" s="128"/>
      <c r="I974" s="128"/>
      <c r="J974" s="126"/>
      <c r="K974" s="126"/>
      <c r="L974" s="126"/>
      <c r="M974" s="125"/>
      <c r="N974" s="126"/>
    </row>
    <row r="975" spans="1:14" x14ac:dyDescent="0.35">
      <c r="A975" s="126"/>
      <c r="B975" s="127"/>
      <c r="C975" s="126"/>
      <c r="D975" s="126"/>
      <c r="E975" s="128"/>
      <c r="F975" s="128"/>
      <c r="G975" s="128"/>
      <c r="H975" s="128"/>
      <c r="I975" s="128"/>
      <c r="J975" s="126"/>
      <c r="K975" s="126"/>
      <c r="L975" s="126"/>
      <c r="M975" s="125"/>
      <c r="N975" s="126"/>
    </row>
    <row r="976" spans="1:14" x14ac:dyDescent="0.35">
      <c r="A976" s="126"/>
      <c r="B976" s="127"/>
      <c r="C976" s="126"/>
      <c r="D976" s="126"/>
      <c r="E976" s="128"/>
      <c r="F976" s="128"/>
      <c r="G976" s="128"/>
      <c r="H976" s="128"/>
      <c r="I976" s="128"/>
      <c r="J976" s="126"/>
      <c r="K976" s="126"/>
      <c r="L976" s="126"/>
      <c r="M976" s="125"/>
      <c r="N976" s="126"/>
    </row>
    <row r="977" spans="1:14" x14ac:dyDescent="0.35">
      <c r="A977" s="126"/>
      <c r="B977" s="127"/>
      <c r="C977" s="126"/>
      <c r="D977" s="126"/>
      <c r="E977" s="128"/>
      <c r="F977" s="128"/>
      <c r="G977" s="128"/>
      <c r="H977" s="128"/>
      <c r="I977" s="128"/>
      <c r="J977" s="126"/>
      <c r="K977" s="126"/>
      <c r="L977" s="126"/>
      <c r="M977" s="125"/>
      <c r="N977" s="126"/>
    </row>
    <row r="978" spans="1:14" x14ac:dyDescent="0.35">
      <c r="A978" s="126"/>
      <c r="B978" s="127"/>
      <c r="C978" s="126"/>
      <c r="D978" s="126"/>
      <c r="E978" s="128"/>
      <c r="F978" s="128"/>
      <c r="G978" s="128"/>
      <c r="H978" s="128"/>
      <c r="I978" s="128"/>
      <c r="J978" s="126"/>
      <c r="K978" s="126"/>
      <c r="L978" s="126"/>
      <c r="M978" s="125"/>
      <c r="N978" s="126"/>
    </row>
    <row r="979" spans="1:14" x14ac:dyDescent="0.35">
      <c r="A979" s="126"/>
      <c r="B979" s="127"/>
      <c r="C979" s="126"/>
      <c r="D979" s="126"/>
      <c r="E979" s="128"/>
      <c r="F979" s="128"/>
      <c r="G979" s="128"/>
      <c r="H979" s="128"/>
      <c r="I979" s="128"/>
      <c r="J979" s="126"/>
      <c r="K979" s="126"/>
      <c r="L979" s="126"/>
      <c r="M979" s="125"/>
      <c r="N979" s="126"/>
    </row>
    <row r="980" spans="1:14" x14ac:dyDescent="0.35">
      <c r="A980" s="126"/>
      <c r="B980" s="127"/>
      <c r="C980" s="126"/>
      <c r="D980" s="126"/>
      <c r="E980" s="128"/>
      <c r="F980" s="128"/>
      <c r="G980" s="128"/>
      <c r="H980" s="128"/>
      <c r="I980" s="128"/>
      <c r="J980" s="126"/>
      <c r="K980" s="126"/>
      <c r="L980" s="126"/>
      <c r="M980" s="125"/>
      <c r="N980" s="126"/>
    </row>
    <row r="981" spans="1:14" x14ac:dyDescent="0.35">
      <c r="A981" s="126"/>
      <c r="B981" s="127"/>
      <c r="C981" s="126"/>
      <c r="D981" s="126"/>
      <c r="E981" s="128"/>
      <c r="F981" s="128"/>
      <c r="G981" s="128"/>
      <c r="H981" s="128"/>
      <c r="I981" s="128"/>
      <c r="J981" s="126"/>
      <c r="K981" s="126"/>
      <c r="L981" s="126"/>
      <c r="M981" s="125"/>
      <c r="N981" s="126"/>
    </row>
    <row r="982" spans="1:14" x14ac:dyDescent="0.35">
      <c r="A982" s="126"/>
      <c r="B982" s="127"/>
      <c r="C982" s="126"/>
      <c r="D982" s="126"/>
      <c r="E982" s="128"/>
      <c r="F982" s="128"/>
      <c r="G982" s="128"/>
      <c r="H982" s="128"/>
      <c r="I982" s="128"/>
      <c r="J982" s="126"/>
      <c r="K982" s="126"/>
      <c r="L982" s="126"/>
      <c r="M982" s="125"/>
      <c r="N982" s="126"/>
    </row>
    <row r="983" spans="1:14" x14ac:dyDescent="0.35">
      <c r="A983" s="126"/>
      <c r="B983" s="127"/>
      <c r="C983" s="126"/>
      <c r="D983" s="126"/>
      <c r="E983" s="128"/>
      <c r="F983" s="128"/>
      <c r="G983" s="128"/>
      <c r="H983" s="128"/>
      <c r="I983" s="128"/>
      <c r="J983" s="126"/>
      <c r="K983" s="126"/>
      <c r="L983" s="126"/>
      <c r="M983" s="125"/>
      <c r="N983" s="126"/>
    </row>
    <row r="984" spans="1:14" x14ac:dyDescent="0.35">
      <c r="A984" s="126"/>
      <c r="B984" s="127"/>
      <c r="C984" s="126"/>
      <c r="D984" s="126"/>
      <c r="E984" s="128"/>
      <c r="F984" s="128"/>
      <c r="G984" s="128"/>
      <c r="H984" s="128"/>
      <c r="I984" s="128"/>
      <c r="J984" s="126"/>
      <c r="K984" s="126"/>
      <c r="L984" s="126"/>
      <c r="M984" s="125"/>
      <c r="N984" s="126"/>
    </row>
    <row r="985" spans="1:14" x14ac:dyDescent="0.35">
      <c r="A985" s="126"/>
      <c r="B985" s="127"/>
      <c r="C985" s="126"/>
      <c r="D985" s="126"/>
      <c r="E985" s="128"/>
      <c r="F985" s="128"/>
      <c r="G985" s="128"/>
      <c r="H985" s="128"/>
      <c r="I985" s="128"/>
      <c r="J985" s="126"/>
      <c r="K985" s="126"/>
      <c r="L985" s="126"/>
      <c r="M985" s="125"/>
      <c r="N985" s="126"/>
    </row>
    <row r="986" spans="1:14" x14ac:dyDescent="0.35">
      <c r="A986" s="126"/>
      <c r="B986" s="127"/>
      <c r="C986" s="126"/>
      <c r="D986" s="126"/>
      <c r="E986" s="128"/>
      <c r="F986" s="128"/>
      <c r="G986" s="128"/>
      <c r="H986" s="128"/>
      <c r="I986" s="128"/>
      <c r="J986" s="126"/>
      <c r="K986" s="126"/>
      <c r="L986" s="126"/>
      <c r="M986" s="125"/>
      <c r="N986" s="126"/>
    </row>
    <row r="987" spans="1:14" x14ac:dyDescent="0.35">
      <c r="A987" s="126"/>
      <c r="B987" s="127"/>
      <c r="C987" s="126"/>
      <c r="D987" s="126"/>
      <c r="E987" s="128"/>
      <c r="F987" s="128"/>
      <c r="G987" s="128"/>
      <c r="H987" s="128"/>
      <c r="I987" s="128"/>
      <c r="J987" s="126"/>
      <c r="K987" s="126"/>
      <c r="L987" s="126"/>
      <c r="M987" s="125"/>
      <c r="N987" s="126"/>
    </row>
    <row r="988" spans="1:14" x14ac:dyDescent="0.35">
      <c r="A988" s="126"/>
      <c r="B988" s="127"/>
      <c r="C988" s="126"/>
      <c r="D988" s="126"/>
      <c r="E988" s="128"/>
      <c r="F988" s="128"/>
      <c r="G988" s="128"/>
      <c r="H988" s="128"/>
      <c r="I988" s="128"/>
      <c r="J988" s="126"/>
      <c r="K988" s="126"/>
      <c r="L988" s="126"/>
      <c r="M988" s="125"/>
      <c r="N988" s="126"/>
    </row>
    <row r="989" spans="1:14" x14ac:dyDescent="0.35">
      <c r="A989" s="126"/>
      <c r="B989" s="127"/>
      <c r="C989" s="126"/>
      <c r="D989" s="126"/>
      <c r="E989" s="128"/>
      <c r="F989" s="128"/>
      <c r="G989" s="128"/>
      <c r="H989" s="128"/>
      <c r="I989" s="128"/>
      <c r="J989" s="126"/>
      <c r="K989" s="126"/>
      <c r="L989" s="126"/>
      <c r="M989" s="125"/>
      <c r="N989" s="126"/>
    </row>
    <row r="990" spans="1:14" x14ac:dyDescent="0.35">
      <c r="A990" s="126"/>
      <c r="B990" s="127"/>
      <c r="C990" s="126"/>
      <c r="D990" s="126"/>
      <c r="E990" s="128"/>
      <c r="F990" s="128"/>
      <c r="G990" s="128"/>
      <c r="H990" s="128"/>
      <c r="I990" s="128"/>
      <c r="J990" s="126"/>
      <c r="K990" s="126"/>
      <c r="L990" s="126"/>
      <c r="M990" s="125"/>
      <c r="N990" s="126"/>
    </row>
    <row r="991" spans="1:14" x14ac:dyDescent="0.35">
      <c r="A991" s="126"/>
      <c r="B991" s="127"/>
      <c r="C991" s="126"/>
      <c r="D991" s="126"/>
      <c r="E991" s="128"/>
      <c r="F991" s="128"/>
      <c r="G991" s="128"/>
      <c r="H991" s="128"/>
      <c r="I991" s="128"/>
      <c r="J991" s="126"/>
      <c r="K991" s="126"/>
      <c r="L991" s="126"/>
      <c r="M991" s="125"/>
      <c r="N991" s="126"/>
    </row>
    <row r="992" spans="1:14" x14ac:dyDescent="0.35">
      <c r="A992" s="126"/>
      <c r="B992" s="127"/>
      <c r="C992" s="126"/>
      <c r="D992" s="126"/>
      <c r="E992" s="128"/>
      <c r="F992" s="128"/>
      <c r="G992" s="128"/>
      <c r="H992" s="128"/>
      <c r="I992" s="128"/>
      <c r="J992" s="126"/>
      <c r="K992" s="126"/>
      <c r="L992" s="126"/>
      <c r="M992" s="125"/>
      <c r="N992" s="126"/>
    </row>
    <row r="993" spans="1:14" x14ac:dyDescent="0.35">
      <c r="A993" s="126"/>
      <c r="B993" s="127"/>
      <c r="C993" s="126"/>
      <c r="D993" s="126"/>
      <c r="E993" s="128"/>
      <c r="F993" s="128"/>
      <c r="G993" s="128"/>
      <c r="H993" s="128"/>
      <c r="I993" s="128"/>
      <c r="J993" s="126"/>
      <c r="K993" s="126"/>
      <c r="L993" s="126"/>
      <c r="M993" s="125"/>
      <c r="N993" s="126"/>
    </row>
    <row r="994" spans="1:14" x14ac:dyDescent="0.35">
      <c r="A994" s="126"/>
      <c r="B994" s="127"/>
      <c r="C994" s="126"/>
      <c r="D994" s="126"/>
      <c r="E994" s="128"/>
      <c r="F994" s="128"/>
      <c r="G994" s="128"/>
      <c r="H994" s="128"/>
      <c r="I994" s="128"/>
      <c r="J994" s="126"/>
      <c r="K994" s="126"/>
      <c r="L994" s="126"/>
      <c r="M994" s="125"/>
      <c r="N994" s="126"/>
    </row>
    <row r="995" spans="1:14" x14ac:dyDescent="0.35">
      <c r="A995" s="126"/>
      <c r="B995" s="127"/>
      <c r="C995" s="126"/>
      <c r="D995" s="126"/>
      <c r="E995" s="128"/>
      <c r="F995" s="128"/>
      <c r="G995" s="128"/>
      <c r="H995" s="128"/>
      <c r="I995" s="128"/>
      <c r="J995" s="126"/>
      <c r="K995" s="126"/>
      <c r="L995" s="126"/>
      <c r="M995" s="125"/>
      <c r="N995" s="126"/>
    </row>
    <row r="996" spans="1:14" x14ac:dyDescent="0.35">
      <c r="A996" s="126"/>
      <c r="B996" s="127"/>
      <c r="C996" s="126"/>
      <c r="D996" s="126"/>
      <c r="E996" s="128"/>
      <c r="F996" s="128"/>
      <c r="G996" s="128"/>
      <c r="H996" s="128"/>
      <c r="I996" s="128"/>
      <c r="J996" s="126"/>
      <c r="K996" s="126"/>
      <c r="L996" s="126"/>
      <c r="M996" s="125"/>
      <c r="N996" s="126"/>
    </row>
    <row r="997" spans="1:14" x14ac:dyDescent="0.35">
      <c r="A997" s="126"/>
      <c r="B997" s="127"/>
      <c r="C997" s="126"/>
      <c r="D997" s="126"/>
      <c r="E997" s="128"/>
      <c r="F997" s="128"/>
      <c r="G997" s="128"/>
      <c r="H997" s="128"/>
      <c r="I997" s="128"/>
      <c r="J997" s="126"/>
      <c r="K997" s="126"/>
      <c r="L997" s="126"/>
      <c r="M997" s="125"/>
      <c r="N997" s="126"/>
    </row>
    <row r="998" spans="1:14" x14ac:dyDescent="0.35">
      <c r="A998" s="126"/>
      <c r="B998" s="127"/>
      <c r="C998" s="126"/>
      <c r="D998" s="126"/>
      <c r="E998" s="128"/>
      <c r="F998" s="128"/>
      <c r="G998" s="128"/>
      <c r="H998" s="128"/>
      <c r="I998" s="128"/>
      <c r="J998" s="126"/>
      <c r="K998" s="126"/>
      <c r="L998" s="126"/>
      <c r="M998" s="125"/>
      <c r="N998" s="126"/>
    </row>
    <row r="999" spans="1:14" x14ac:dyDescent="0.35">
      <c r="A999" s="126"/>
      <c r="B999" s="127"/>
      <c r="C999" s="126"/>
      <c r="D999" s="126"/>
      <c r="E999" s="128"/>
      <c r="F999" s="128"/>
      <c r="G999" s="128"/>
      <c r="H999" s="128"/>
      <c r="I999" s="128"/>
      <c r="J999" s="126"/>
      <c r="K999" s="126"/>
      <c r="L999" s="126"/>
      <c r="M999" s="125"/>
      <c r="N999" s="126"/>
    </row>
    <row r="1000" spans="1:14" x14ac:dyDescent="0.35">
      <c r="A1000" s="126"/>
      <c r="B1000" s="127"/>
      <c r="C1000" s="126"/>
      <c r="D1000" s="126"/>
      <c r="E1000" s="128"/>
      <c r="F1000" s="128"/>
      <c r="G1000" s="128"/>
      <c r="H1000" s="128"/>
      <c r="I1000" s="128"/>
      <c r="J1000" s="126"/>
      <c r="K1000" s="126"/>
      <c r="L1000" s="126"/>
      <c r="M1000" s="125"/>
      <c r="N1000" s="126"/>
    </row>
    <row r="1001" spans="1:14" x14ac:dyDescent="0.35">
      <c r="A1001" s="126"/>
      <c r="B1001" s="127"/>
      <c r="C1001" s="126"/>
      <c r="D1001" s="126"/>
      <c r="E1001" s="128"/>
      <c r="F1001" s="128"/>
      <c r="G1001" s="128"/>
      <c r="H1001" s="128"/>
      <c r="I1001" s="128"/>
      <c r="J1001" s="126"/>
      <c r="K1001" s="126"/>
      <c r="L1001" s="126"/>
      <c r="M1001" s="125"/>
      <c r="N1001" s="126"/>
    </row>
    <row r="1002" spans="1:14" x14ac:dyDescent="0.35">
      <c r="A1002" s="126"/>
      <c r="B1002" s="127"/>
      <c r="C1002" s="126"/>
      <c r="D1002" s="126"/>
      <c r="E1002" s="128"/>
      <c r="F1002" s="128"/>
      <c r="G1002" s="128"/>
      <c r="H1002" s="128"/>
      <c r="I1002" s="128"/>
      <c r="J1002" s="126"/>
      <c r="K1002" s="126"/>
      <c r="L1002" s="126"/>
      <c r="M1002" s="125"/>
      <c r="N1002" s="126"/>
    </row>
    <row r="1003" spans="1:14" x14ac:dyDescent="0.35">
      <c r="A1003" s="126"/>
      <c r="B1003" s="127"/>
      <c r="C1003" s="126"/>
      <c r="D1003" s="126"/>
      <c r="E1003" s="128"/>
      <c r="F1003" s="128"/>
      <c r="G1003" s="128"/>
      <c r="H1003" s="128"/>
      <c r="I1003" s="128"/>
      <c r="J1003" s="126"/>
      <c r="K1003" s="126"/>
      <c r="L1003" s="126"/>
      <c r="M1003" s="125"/>
      <c r="N1003" s="126"/>
    </row>
    <row r="1004" spans="1:14" x14ac:dyDescent="0.35">
      <c r="A1004" s="126"/>
      <c r="B1004" s="127"/>
      <c r="C1004" s="126"/>
      <c r="D1004" s="126"/>
      <c r="E1004" s="128"/>
      <c r="F1004" s="128"/>
      <c r="G1004" s="128"/>
      <c r="H1004" s="128"/>
      <c r="I1004" s="128"/>
      <c r="J1004" s="126"/>
      <c r="K1004" s="126"/>
      <c r="L1004" s="126"/>
      <c r="M1004" s="125"/>
      <c r="N1004" s="126"/>
    </row>
    <row r="1005" spans="1:14" x14ac:dyDescent="0.35">
      <c r="A1005" s="126"/>
      <c r="B1005" s="127"/>
      <c r="C1005" s="126"/>
      <c r="D1005" s="126"/>
      <c r="E1005" s="128"/>
      <c r="F1005" s="128"/>
      <c r="G1005" s="128"/>
      <c r="H1005" s="128"/>
      <c r="I1005" s="128"/>
      <c r="J1005" s="126"/>
      <c r="K1005" s="126"/>
      <c r="L1005" s="126"/>
      <c r="M1005" s="125"/>
      <c r="N1005" s="126"/>
    </row>
    <row r="1006" spans="1:14" x14ac:dyDescent="0.35">
      <c r="A1006" s="126"/>
      <c r="B1006" s="127"/>
      <c r="C1006" s="126"/>
      <c r="D1006" s="126"/>
      <c r="E1006" s="128"/>
      <c r="F1006" s="128"/>
      <c r="G1006" s="128"/>
      <c r="H1006" s="128"/>
      <c r="I1006" s="128"/>
      <c r="J1006" s="126"/>
      <c r="K1006" s="126"/>
      <c r="L1006" s="126"/>
      <c r="M1006" s="125"/>
      <c r="N1006" s="126"/>
    </row>
    <row r="1007" spans="1:14" x14ac:dyDescent="0.35">
      <c r="A1007" s="126"/>
      <c r="B1007" s="127"/>
      <c r="C1007" s="126"/>
      <c r="D1007" s="126"/>
      <c r="E1007" s="128"/>
      <c r="F1007" s="128"/>
      <c r="G1007" s="128"/>
      <c r="H1007" s="128"/>
      <c r="I1007" s="128"/>
      <c r="J1007" s="126"/>
      <c r="K1007" s="126"/>
      <c r="L1007" s="126"/>
      <c r="M1007" s="125"/>
      <c r="N1007" s="126"/>
    </row>
    <row r="1008" spans="1:14" x14ac:dyDescent="0.35">
      <c r="A1008" s="126"/>
      <c r="B1008" s="127"/>
      <c r="C1008" s="126"/>
      <c r="D1008" s="126"/>
      <c r="E1008" s="128"/>
      <c r="F1008" s="128"/>
      <c r="G1008" s="128"/>
      <c r="H1008" s="128"/>
      <c r="I1008" s="128"/>
      <c r="J1008" s="126"/>
      <c r="K1008" s="126"/>
      <c r="L1008" s="126"/>
      <c r="M1008" s="125"/>
      <c r="N1008" s="126"/>
    </row>
    <row r="1009" spans="1:14" x14ac:dyDescent="0.35">
      <c r="A1009" s="126"/>
      <c r="B1009" s="127"/>
      <c r="C1009" s="126"/>
      <c r="D1009" s="126"/>
      <c r="E1009" s="128"/>
      <c r="F1009" s="128"/>
      <c r="G1009" s="128"/>
      <c r="H1009" s="128"/>
      <c r="I1009" s="128"/>
      <c r="J1009" s="126"/>
      <c r="K1009" s="126"/>
      <c r="L1009" s="126"/>
      <c r="M1009" s="125"/>
      <c r="N1009" s="126"/>
    </row>
    <row r="1010" spans="1:14" x14ac:dyDescent="0.35">
      <c r="A1010" s="126"/>
      <c r="B1010" s="127"/>
      <c r="C1010" s="126"/>
      <c r="D1010" s="126"/>
      <c r="E1010" s="128"/>
      <c r="F1010" s="128"/>
      <c r="G1010" s="128"/>
      <c r="H1010" s="128"/>
      <c r="I1010" s="128"/>
      <c r="J1010" s="126"/>
      <c r="K1010" s="126"/>
      <c r="L1010" s="126"/>
      <c r="M1010" s="125"/>
      <c r="N1010" s="126"/>
    </row>
    <row r="1011" spans="1:14" x14ac:dyDescent="0.35">
      <c r="A1011" s="126"/>
      <c r="B1011" s="127"/>
      <c r="C1011" s="126"/>
      <c r="D1011" s="126"/>
      <c r="E1011" s="128"/>
      <c r="F1011" s="128"/>
      <c r="G1011" s="128"/>
      <c r="H1011" s="128"/>
      <c r="I1011" s="128"/>
      <c r="J1011" s="126"/>
      <c r="K1011" s="126"/>
      <c r="L1011" s="126"/>
      <c r="M1011" s="125"/>
      <c r="N1011" s="126"/>
    </row>
    <row r="1012" spans="1:14" x14ac:dyDescent="0.35">
      <c r="A1012" s="126"/>
      <c r="B1012" s="127"/>
      <c r="C1012" s="126"/>
      <c r="D1012" s="126"/>
      <c r="E1012" s="128"/>
      <c r="F1012" s="128"/>
      <c r="G1012" s="128"/>
      <c r="H1012" s="128"/>
      <c r="I1012" s="128"/>
      <c r="J1012" s="126"/>
      <c r="K1012" s="126"/>
      <c r="L1012" s="126"/>
      <c r="M1012" s="125"/>
      <c r="N1012" s="126"/>
    </row>
    <row r="1013" spans="1:14" x14ac:dyDescent="0.35">
      <c r="A1013" s="126"/>
      <c r="B1013" s="127"/>
      <c r="C1013" s="126"/>
      <c r="D1013" s="126"/>
      <c r="E1013" s="128"/>
      <c r="F1013" s="128"/>
      <c r="G1013" s="128"/>
      <c r="H1013" s="128"/>
      <c r="I1013" s="128"/>
      <c r="J1013" s="126"/>
      <c r="K1013" s="126"/>
      <c r="L1013" s="126"/>
      <c r="M1013" s="125"/>
      <c r="N1013" s="126"/>
    </row>
    <row r="1014" spans="1:14" x14ac:dyDescent="0.35">
      <c r="A1014" s="126"/>
      <c r="B1014" s="127"/>
      <c r="C1014" s="126"/>
      <c r="D1014" s="126"/>
      <c r="E1014" s="128"/>
      <c r="F1014" s="128"/>
      <c r="G1014" s="128"/>
      <c r="H1014" s="128"/>
      <c r="I1014" s="128"/>
      <c r="J1014" s="126"/>
      <c r="K1014" s="126"/>
      <c r="L1014" s="126"/>
      <c r="M1014" s="125"/>
      <c r="N1014" s="126"/>
    </row>
    <row r="1015" spans="1:14" x14ac:dyDescent="0.35">
      <c r="A1015" s="126"/>
      <c r="B1015" s="127"/>
      <c r="C1015" s="126"/>
      <c r="D1015" s="126"/>
      <c r="E1015" s="128"/>
      <c r="F1015" s="128"/>
      <c r="G1015" s="128"/>
      <c r="H1015" s="128"/>
      <c r="I1015" s="128"/>
      <c r="J1015" s="126"/>
      <c r="K1015" s="126"/>
      <c r="L1015" s="126"/>
      <c r="M1015" s="125"/>
      <c r="N1015" s="126"/>
    </row>
    <row r="1016" spans="1:14" x14ac:dyDescent="0.35">
      <c r="A1016" s="126"/>
      <c r="B1016" s="127"/>
      <c r="C1016" s="126"/>
      <c r="D1016" s="126"/>
      <c r="E1016" s="128"/>
      <c r="F1016" s="128"/>
      <c r="G1016" s="128"/>
      <c r="H1016" s="128"/>
      <c r="I1016" s="128"/>
      <c r="J1016" s="126"/>
      <c r="K1016" s="126"/>
      <c r="L1016" s="126"/>
      <c r="M1016" s="125"/>
      <c r="N1016" s="126"/>
    </row>
    <row r="1017" spans="1:14" x14ac:dyDescent="0.35">
      <c r="A1017" s="126"/>
      <c r="B1017" s="127"/>
      <c r="C1017" s="126"/>
      <c r="D1017" s="126"/>
      <c r="E1017" s="128"/>
      <c r="F1017" s="128"/>
      <c r="G1017" s="128"/>
      <c r="H1017" s="128"/>
      <c r="I1017" s="128"/>
      <c r="J1017" s="126"/>
      <c r="K1017" s="126"/>
      <c r="L1017" s="126"/>
      <c r="M1017" s="125"/>
      <c r="N1017" s="126"/>
    </row>
    <row r="1018" spans="1:14" x14ac:dyDescent="0.35">
      <c r="A1018" s="126"/>
      <c r="B1018" s="127"/>
      <c r="C1018" s="126"/>
      <c r="D1018" s="126"/>
      <c r="E1018" s="128"/>
      <c r="F1018" s="128"/>
      <c r="G1018" s="128"/>
      <c r="H1018" s="128"/>
      <c r="I1018" s="128"/>
      <c r="J1018" s="126"/>
      <c r="K1018" s="126"/>
      <c r="L1018" s="126"/>
      <c r="M1018" s="125"/>
      <c r="N1018" s="126"/>
    </row>
    <row r="1019" spans="1:14" x14ac:dyDescent="0.35">
      <c r="A1019" s="126"/>
      <c r="B1019" s="127"/>
      <c r="C1019" s="126"/>
      <c r="D1019" s="126"/>
      <c r="E1019" s="128"/>
      <c r="F1019" s="128"/>
      <c r="G1019" s="128"/>
      <c r="H1019" s="128"/>
      <c r="I1019" s="128"/>
      <c r="J1019" s="126"/>
      <c r="K1019" s="126"/>
      <c r="L1019" s="126"/>
      <c r="M1019" s="125"/>
      <c r="N1019" s="126"/>
    </row>
    <row r="1020" spans="1:14" x14ac:dyDescent="0.35">
      <c r="A1020" s="126"/>
      <c r="B1020" s="127"/>
      <c r="C1020" s="126"/>
      <c r="D1020" s="126"/>
      <c r="E1020" s="128"/>
      <c r="F1020" s="128"/>
      <c r="G1020" s="128"/>
      <c r="H1020" s="128"/>
      <c r="I1020" s="128"/>
      <c r="J1020" s="126"/>
      <c r="K1020" s="126"/>
      <c r="L1020" s="126"/>
      <c r="M1020" s="125"/>
      <c r="N1020" s="126"/>
    </row>
    <row r="1021" spans="1:14" x14ac:dyDescent="0.35">
      <c r="A1021" s="126"/>
      <c r="B1021" s="127"/>
      <c r="C1021" s="126"/>
      <c r="D1021" s="126"/>
      <c r="E1021" s="128"/>
      <c r="F1021" s="128"/>
      <c r="G1021" s="128"/>
      <c r="H1021" s="128"/>
      <c r="I1021" s="128"/>
      <c r="J1021" s="126"/>
      <c r="K1021" s="126"/>
      <c r="L1021" s="126"/>
      <c r="M1021" s="125"/>
      <c r="N1021" s="126"/>
    </row>
    <row r="1022" spans="1:14" x14ac:dyDescent="0.35">
      <c r="A1022" s="126"/>
      <c r="B1022" s="127"/>
      <c r="C1022" s="126"/>
      <c r="D1022" s="126"/>
      <c r="E1022" s="128"/>
      <c r="F1022" s="128"/>
      <c r="G1022" s="128"/>
      <c r="H1022" s="128"/>
      <c r="I1022" s="128"/>
      <c r="J1022" s="126"/>
      <c r="K1022" s="126"/>
      <c r="L1022" s="126"/>
      <c r="M1022" s="125"/>
      <c r="N1022" s="126"/>
    </row>
    <row r="1023" spans="1:14" x14ac:dyDescent="0.35">
      <c r="A1023" s="126"/>
      <c r="B1023" s="127"/>
      <c r="C1023" s="126"/>
      <c r="D1023" s="126"/>
      <c r="E1023" s="128"/>
      <c r="F1023" s="128"/>
      <c r="G1023" s="128"/>
      <c r="H1023" s="128"/>
      <c r="I1023" s="128"/>
      <c r="J1023" s="126"/>
      <c r="K1023" s="126"/>
      <c r="L1023" s="126"/>
      <c r="M1023" s="125"/>
      <c r="N1023" s="126"/>
    </row>
    <row r="1024" spans="1:14" x14ac:dyDescent="0.35">
      <c r="A1024" s="126"/>
      <c r="B1024" s="127"/>
      <c r="C1024" s="126"/>
      <c r="D1024" s="126"/>
      <c r="E1024" s="128"/>
      <c r="F1024" s="128"/>
      <c r="G1024" s="128"/>
      <c r="H1024" s="128"/>
      <c r="I1024" s="128"/>
      <c r="J1024" s="126"/>
      <c r="K1024" s="126"/>
      <c r="L1024" s="126"/>
      <c r="M1024" s="125"/>
      <c r="N1024" s="126"/>
    </row>
    <row r="1025" spans="1:14" x14ac:dyDescent="0.35">
      <c r="A1025" s="126"/>
      <c r="B1025" s="127"/>
      <c r="C1025" s="126"/>
      <c r="D1025" s="126"/>
      <c r="E1025" s="128"/>
      <c r="F1025" s="128"/>
      <c r="G1025" s="128"/>
      <c r="H1025" s="128"/>
      <c r="I1025" s="128"/>
      <c r="J1025" s="126"/>
      <c r="K1025" s="126"/>
      <c r="L1025" s="126"/>
      <c r="M1025" s="125"/>
      <c r="N1025" s="126"/>
    </row>
    <row r="1026" spans="1:14" x14ac:dyDescent="0.35">
      <c r="A1026" s="126"/>
      <c r="B1026" s="127"/>
      <c r="C1026" s="126"/>
      <c r="D1026" s="126"/>
      <c r="E1026" s="128"/>
      <c r="F1026" s="128"/>
      <c r="G1026" s="128"/>
      <c r="H1026" s="128"/>
      <c r="I1026" s="128"/>
      <c r="J1026" s="126"/>
      <c r="K1026" s="126"/>
      <c r="L1026" s="126"/>
      <c r="M1026" s="125"/>
      <c r="N1026" s="126"/>
    </row>
    <row r="1027" spans="1:14" x14ac:dyDescent="0.35">
      <c r="A1027" s="126"/>
      <c r="B1027" s="127"/>
      <c r="C1027" s="126"/>
      <c r="D1027" s="126"/>
      <c r="E1027" s="128"/>
      <c r="F1027" s="128"/>
      <c r="G1027" s="128"/>
      <c r="H1027" s="128"/>
      <c r="I1027" s="128"/>
      <c r="J1027" s="126"/>
      <c r="K1027" s="126"/>
      <c r="L1027" s="126"/>
      <c r="M1027" s="125"/>
      <c r="N1027" s="126"/>
    </row>
    <row r="1028" spans="1:14" x14ac:dyDescent="0.35">
      <c r="A1028" s="126"/>
      <c r="B1028" s="127"/>
      <c r="C1028" s="126"/>
      <c r="D1028" s="126"/>
      <c r="E1028" s="128"/>
      <c r="F1028" s="128"/>
      <c r="G1028" s="128"/>
      <c r="H1028" s="128"/>
      <c r="I1028" s="128"/>
      <c r="J1028" s="126"/>
      <c r="K1028" s="126"/>
      <c r="L1028" s="126"/>
      <c r="M1028" s="125"/>
      <c r="N1028" s="126"/>
    </row>
    <row r="1029" spans="1:14" x14ac:dyDescent="0.35">
      <c r="A1029" s="126"/>
      <c r="B1029" s="127"/>
      <c r="C1029" s="126"/>
      <c r="D1029" s="126"/>
      <c r="E1029" s="128"/>
      <c r="F1029" s="128"/>
      <c r="G1029" s="128"/>
      <c r="H1029" s="128"/>
      <c r="I1029" s="128"/>
      <c r="J1029" s="126"/>
      <c r="K1029" s="126"/>
      <c r="L1029" s="126"/>
      <c r="M1029" s="125"/>
      <c r="N1029" s="126"/>
    </row>
    <row r="1030" spans="1:14" x14ac:dyDescent="0.35">
      <c r="A1030" s="126"/>
      <c r="B1030" s="127"/>
      <c r="C1030" s="126"/>
      <c r="D1030" s="126"/>
      <c r="E1030" s="128"/>
      <c r="F1030" s="128"/>
      <c r="G1030" s="128"/>
      <c r="H1030" s="128"/>
      <c r="I1030" s="128"/>
      <c r="J1030" s="126"/>
      <c r="K1030" s="126"/>
      <c r="L1030" s="126"/>
      <c r="M1030" s="125"/>
      <c r="N1030" s="126"/>
    </row>
    <row r="1031" spans="1:14" x14ac:dyDescent="0.35">
      <c r="A1031" s="126"/>
      <c r="B1031" s="127"/>
      <c r="C1031" s="126"/>
      <c r="D1031" s="126"/>
      <c r="E1031" s="128"/>
      <c r="F1031" s="128"/>
      <c r="G1031" s="128"/>
      <c r="H1031" s="128"/>
      <c r="I1031" s="128"/>
      <c r="J1031" s="126"/>
      <c r="K1031" s="126"/>
      <c r="L1031" s="126"/>
      <c r="M1031" s="125"/>
      <c r="N1031" s="126"/>
    </row>
    <row r="1032" spans="1:14" x14ac:dyDescent="0.35">
      <c r="A1032" s="126"/>
      <c r="B1032" s="127"/>
      <c r="C1032" s="126"/>
      <c r="D1032" s="126"/>
      <c r="E1032" s="128"/>
      <c r="F1032" s="128"/>
      <c r="G1032" s="128"/>
      <c r="H1032" s="128"/>
      <c r="I1032" s="128"/>
      <c r="J1032" s="126"/>
      <c r="K1032" s="126"/>
      <c r="L1032" s="126"/>
      <c r="M1032" s="125"/>
      <c r="N1032" s="126"/>
    </row>
    <row r="1033" spans="1:14" x14ac:dyDescent="0.35">
      <c r="A1033" s="126"/>
      <c r="B1033" s="127"/>
      <c r="C1033" s="126"/>
      <c r="D1033" s="126"/>
      <c r="E1033" s="128"/>
      <c r="F1033" s="128"/>
      <c r="G1033" s="128"/>
      <c r="H1033" s="128"/>
      <c r="I1033" s="128"/>
      <c r="J1033" s="126"/>
      <c r="K1033" s="126"/>
      <c r="L1033" s="126"/>
      <c r="M1033" s="125"/>
      <c r="N1033" s="126"/>
    </row>
    <row r="1034" spans="1:14" x14ac:dyDescent="0.35">
      <c r="A1034" s="126"/>
      <c r="B1034" s="127"/>
      <c r="C1034" s="126"/>
      <c r="D1034" s="126"/>
      <c r="E1034" s="128"/>
      <c r="F1034" s="128"/>
      <c r="G1034" s="128"/>
      <c r="H1034" s="128"/>
      <c r="I1034" s="128"/>
      <c r="J1034" s="126"/>
      <c r="K1034" s="126"/>
      <c r="L1034" s="126"/>
      <c r="M1034" s="125"/>
      <c r="N1034" s="126"/>
    </row>
    <row r="1035" spans="1:14" x14ac:dyDescent="0.35">
      <c r="A1035" s="126"/>
      <c r="B1035" s="127"/>
      <c r="C1035" s="126"/>
      <c r="D1035" s="126"/>
      <c r="E1035" s="128"/>
      <c r="F1035" s="128"/>
      <c r="G1035" s="128"/>
      <c r="H1035" s="128"/>
      <c r="I1035" s="128"/>
      <c r="J1035" s="126"/>
      <c r="K1035" s="126"/>
      <c r="L1035" s="126"/>
      <c r="M1035" s="125"/>
      <c r="N1035" s="126"/>
    </row>
    <row r="1036" spans="1:14" x14ac:dyDescent="0.35">
      <c r="A1036" s="126"/>
      <c r="B1036" s="127"/>
      <c r="C1036" s="126"/>
      <c r="D1036" s="126"/>
      <c r="E1036" s="128"/>
      <c r="F1036" s="128"/>
      <c r="G1036" s="128"/>
      <c r="H1036" s="128"/>
      <c r="I1036" s="128"/>
      <c r="J1036" s="126"/>
      <c r="K1036" s="126"/>
      <c r="L1036" s="126"/>
      <c r="M1036" s="125"/>
      <c r="N1036" s="126"/>
    </row>
    <row r="1037" spans="1:14" x14ac:dyDescent="0.35">
      <c r="A1037" s="126"/>
      <c r="B1037" s="127"/>
      <c r="C1037" s="126"/>
      <c r="D1037" s="126"/>
      <c r="E1037" s="128"/>
      <c r="F1037" s="128"/>
      <c r="G1037" s="128"/>
      <c r="H1037" s="128"/>
      <c r="I1037" s="128"/>
      <c r="J1037" s="126"/>
      <c r="K1037" s="126"/>
      <c r="L1037" s="126"/>
      <c r="M1037" s="125"/>
      <c r="N1037" s="126"/>
    </row>
    <row r="1038" spans="1:14" x14ac:dyDescent="0.35">
      <c r="A1038" s="126"/>
      <c r="B1038" s="127"/>
      <c r="C1038" s="126"/>
      <c r="D1038" s="126"/>
      <c r="E1038" s="128"/>
      <c r="F1038" s="128"/>
      <c r="G1038" s="128"/>
      <c r="H1038" s="128"/>
      <c r="I1038" s="128"/>
      <c r="J1038" s="126"/>
      <c r="K1038" s="126"/>
      <c r="L1038" s="126"/>
      <c r="M1038" s="125"/>
      <c r="N1038" s="126"/>
    </row>
    <row r="1039" spans="1:14" x14ac:dyDescent="0.35">
      <c r="A1039" s="126"/>
      <c r="B1039" s="127"/>
      <c r="C1039" s="126"/>
      <c r="D1039" s="126"/>
      <c r="E1039" s="128"/>
      <c r="F1039" s="128"/>
      <c r="G1039" s="128"/>
      <c r="H1039" s="128"/>
      <c r="I1039" s="128"/>
      <c r="J1039" s="126"/>
      <c r="K1039" s="126"/>
      <c r="L1039" s="126"/>
      <c r="M1039" s="125"/>
      <c r="N1039" s="126"/>
    </row>
    <row r="1040" spans="1:14" x14ac:dyDescent="0.35">
      <c r="A1040" s="126"/>
      <c r="B1040" s="127"/>
      <c r="C1040" s="126"/>
      <c r="D1040" s="126"/>
      <c r="E1040" s="128"/>
      <c r="F1040" s="128"/>
      <c r="G1040" s="128"/>
      <c r="H1040" s="128"/>
      <c r="I1040" s="128"/>
      <c r="J1040" s="126"/>
      <c r="K1040" s="126"/>
      <c r="L1040" s="126"/>
      <c r="M1040" s="125"/>
      <c r="N1040" s="126"/>
    </row>
    <row r="1041" spans="1:14" x14ac:dyDescent="0.35">
      <c r="A1041" s="126"/>
      <c r="B1041" s="127"/>
      <c r="C1041" s="126"/>
      <c r="D1041" s="126"/>
      <c r="E1041" s="128"/>
      <c r="F1041" s="128"/>
      <c r="G1041" s="128"/>
      <c r="H1041" s="128"/>
      <c r="I1041" s="128"/>
      <c r="J1041" s="126"/>
      <c r="K1041" s="126"/>
      <c r="L1041" s="126"/>
      <c r="M1041" s="125"/>
      <c r="N1041" s="126"/>
    </row>
    <row r="1042" spans="1:14" x14ac:dyDescent="0.35">
      <c r="A1042" s="126"/>
      <c r="B1042" s="127"/>
      <c r="C1042" s="126"/>
      <c r="D1042" s="126"/>
      <c r="E1042" s="128"/>
      <c r="F1042" s="128"/>
      <c r="G1042" s="128"/>
      <c r="H1042" s="128"/>
      <c r="I1042" s="128"/>
      <c r="J1042" s="126"/>
      <c r="K1042" s="126"/>
      <c r="L1042" s="126"/>
      <c r="M1042" s="125"/>
      <c r="N1042" s="126"/>
    </row>
    <row r="1043" spans="1:14" x14ac:dyDescent="0.35">
      <c r="A1043" s="126"/>
      <c r="B1043" s="127"/>
      <c r="C1043" s="126"/>
      <c r="D1043" s="126"/>
      <c r="E1043" s="128"/>
      <c r="F1043" s="128"/>
      <c r="G1043" s="128"/>
      <c r="H1043" s="128"/>
      <c r="I1043" s="128"/>
      <c r="J1043" s="126"/>
      <c r="K1043" s="126"/>
      <c r="L1043" s="126"/>
      <c r="M1043" s="125"/>
      <c r="N1043" s="126"/>
    </row>
    <row r="1044" spans="1:14" x14ac:dyDescent="0.35">
      <c r="A1044" s="126"/>
      <c r="B1044" s="127"/>
      <c r="C1044" s="126"/>
      <c r="D1044" s="126"/>
      <c r="E1044" s="128"/>
      <c r="F1044" s="128"/>
      <c r="G1044" s="128"/>
      <c r="H1044" s="128"/>
      <c r="I1044" s="128"/>
      <c r="J1044" s="126"/>
      <c r="K1044" s="126"/>
      <c r="L1044" s="126"/>
      <c r="M1044" s="125"/>
      <c r="N1044" s="126"/>
    </row>
    <row r="1045" spans="1:14" x14ac:dyDescent="0.35">
      <c r="A1045" s="126"/>
      <c r="B1045" s="127"/>
      <c r="C1045" s="126"/>
      <c r="D1045" s="126"/>
      <c r="E1045" s="128"/>
      <c r="F1045" s="128"/>
      <c r="G1045" s="128"/>
      <c r="H1045" s="128"/>
      <c r="I1045" s="128"/>
      <c r="J1045" s="126"/>
      <c r="K1045" s="126"/>
      <c r="L1045" s="126"/>
      <c r="M1045" s="125"/>
      <c r="N1045" s="126"/>
    </row>
    <row r="1046" spans="1:14" x14ac:dyDescent="0.35">
      <c r="A1046" s="126"/>
      <c r="B1046" s="127"/>
      <c r="C1046" s="126"/>
      <c r="D1046" s="126"/>
      <c r="E1046" s="128"/>
      <c r="F1046" s="128"/>
      <c r="G1046" s="128"/>
      <c r="H1046" s="128"/>
      <c r="I1046" s="128"/>
      <c r="J1046" s="126"/>
      <c r="K1046" s="126"/>
      <c r="L1046" s="126"/>
      <c r="M1046" s="125"/>
      <c r="N1046" s="126"/>
    </row>
    <row r="1047" spans="1:14" x14ac:dyDescent="0.35">
      <c r="A1047" s="126"/>
      <c r="B1047" s="127"/>
      <c r="C1047" s="126"/>
      <c r="D1047" s="126"/>
      <c r="E1047" s="128"/>
      <c r="F1047" s="128"/>
      <c r="G1047" s="128"/>
      <c r="H1047" s="128"/>
      <c r="I1047" s="128"/>
      <c r="J1047" s="126"/>
      <c r="K1047" s="126"/>
      <c r="L1047" s="126"/>
      <c r="M1047" s="125"/>
      <c r="N1047" s="126"/>
    </row>
    <row r="1048" spans="1:14" x14ac:dyDescent="0.35">
      <c r="A1048" s="126"/>
      <c r="B1048" s="127"/>
      <c r="C1048" s="126"/>
      <c r="D1048" s="126"/>
      <c r="E1048" s="128"/>
      <c r="F1048" s="128"/>
      <c r="G1048" s="128"/>
      <c r="H1048" s="128"/>
      <c r="I1048" s="128"/>
      <c r="J1048" s="126"/>
      <c r="K1048" s="126"/>
      <c r="L1048" s="126"/>
      <c r="M1048" s="125"/>
      <c r="N1048" s="126"/>
    </row>
    <row r="1049" spans="1:14" x14ac:dyDescent="0.35">
      <c r="A1049" s="126"/>
      <c r="B1049" s="127"/>
      <c r="C1049" s="126"/>
      <c r="D1049" s="126"/>
      <c r="E1049" s="128"/>
      <c r="F1049" s="128"/>
      <c r="G1049" s="128"/>
      <c r="H1049" s="128"/>
      <c r="I1049" s="128"/>
      <c r="J1049" s="126"/>
      <c r="K1049" s="126"/>
      <c r="L1049" s="126"/>
      <c r="M1049" s="125"/>
      <c r="N1049" s="126"/>
    </row>
    <row r="1050" spans="1:14" x14ac:dyDescent="0.35">
      <c r="A1050" s="126"/>
      <c r="B1050" s="127"/>
      <c r="C1050" s="126"/>
      <c r="D1050" s="126"/>
      <c r="E1050" s="128"/>
      <c r="F1050" s="128"/>
      <c r="G1050" s="128"/>
      <c r="H1050" s="128"/>
      <c r="I1050" s="128"/>
      <c r="J1050" s="126"/>
      <c r="K1050" s="126"/>
      <c r="L1050" s="126"/>
      <c r="M1050" s="125"/>
      <c r="N1050" s="126"/>
    </row>
    <row r="1051" spans="1:14" x14ac:dyDescent="0.35">
      <c r="A1051" s="126"/>
      <c r="B1051" s="127"/>
      <c r="C1051" s="126"/>
      <c r="D1051" s="126"/>
      <c r="E1051" s="128"/>
      <c r="F1051" s="128"/>
      <c r="G1051" s="128"/>
      <c r="H1051" s="128"/>
      <c r="I1051" s="128"/>
      <c r="J1051" s="126"/>
      <c r="K1051" s="126"/>
      <c r="L1051" s="126"/>
      <c r="M1051" s="125"/>
      <c r="N1051" s="126"/>
    </row>
    <row r="1052" spans="1:14" x14ac:dyDescent="0.35">
      <c r="A1052" s="126"/>
      <c r="B1052" s="127"/>
      <c r="C1052" s="126"/>
      <c r="D1052" s="126"/>
      <c r="E1052" s="128"/>
      <c r="F1052" s="128"/>
      <c r="G1052" s="128"/>
      <c r="H1052" s="128"/>
      <c r="I1052" s="128"/>
      <c r="J1052" s="126"/>
      <c r="K1052" s="126"/>
      <c r="L1052" s="126"/>
      <c r="M1052" s="125"/>
      <c r="N1052" s="126"/>
    </row>
    <row r="1053" spans="1:14" x14ac:dyDescent="0.35">
      <c r="A1053" s="126"/>
      <c r="B1053" s="127"/>
      <c r="C1053" s="126"/>
      <c r="D1053" s="126"/>
      <c r="E1053" s="128"/>
      <c r="F1053" s="128"/>
      <c r="G1053" s="128"/>
      <c r="H1053" s="128"/>
      <c r="I1053" s="128"/>
      <c r="J1053" s="126"/>
      <c r="K1053" s="126"/>
      <c r="L1053" s="126"/>
      <c r="M1053" s="125"/>
      <c r="N1053" s="126"/>
    </row>
    <row r="1054" spans="1:14" x14ac:dyDescent="0.35">
      <c r="A1054" s="126"/>
      <c r="B1054" s="127"/>
      <c r="C1054" s="126"/>
      <c r="D1054" s="126"/>
      <c r="E1054" s="128"/>
      <c r="F1054" s="128"/>
      <c r="G1054" s="128"/>
      <c r="H1054" s="128"/>
      <c r="I1054" s="128"/>
      <c r="J1054" s="126"/>
      <c r="K1054" s="126"/>
      <c r="L1054" s="126"/>
      <c r="M1054" s="125"/>
      <c r="N1054" s="126"/>
    </row>
    <row r="1055" spans="1:14" x14ac:dyDescent="0.35">
      <c r="A1055" s="126"/>
      <c r="B1055" s="127"/>
      <c r="C1055" s="126"/>
      <c r="D1055" s="126"/>
      <c r="E1055" s="128"/>
      <c r="F1055" s="128"/>
      <c r="G1055" s="128"/>
      <c r="H1055" s="128"/>
      <c r="I1055" s="128"/>
      <c r="J1055" s="126"/>
      <c r="K1055" s="126"/>
      <c r="L1055" s="126"/>
      <c r="M1055" s="125"/>
      <c r="N1055" s="126"/>
    </row>
    <row r="1056" spans="1:14" x14ac:dyDescent="0.35">
      <c r="A1056" s="126"/>
      <c r="B1056" s="127"/>
      <c r="C1056" s="126"/>
      <c r="D1056" s="126"/>
      <c r="E1056" s="128"/>
      <c r="F1056" s="128"/>
      <c r="G1056" s="128"/>
      <c r="H1056" s="128"/>
      <c r="I1056" s="128"/>
      <c r="J1056" s="126"/>
      <c r="K1056" s="126"/>
      <c r="L1056" s="126"/>
      <c r="M1056" s="125"/>
      <c r="N1056" s="126"/>
    </row>
    <row r="1057" spans="1:14" x14ac:dyDescent="0.35">
      <c r="A1057" s="126"/>
      <c r="B1057" s="127"/>
      <c r="C1057" s="126"/>
      <c r="D1057" s="126"/>
      <c r="E1057" s="128"/>
      <c r="F1057" s="128"/>
      <c r="G1057" s="128"/>
      <c r="H1057" s="128"/>
      <c r="I1057" s="128"/>
      <c r="J1057" s="126"/>
      <c r="K1057" s="126"/>
      <c r="L1057" s="126"/>
      <c r="M1057" s="125"/>
      <c r="N1057" s="126"/>
    </row>
    <row r="1058" spans="1:14" x14ac:dyDescent="0.35">
      <c r="A1058" s="126"/>
      <c r="B1058" s="127"/>
      <c r="C1058" s="126"/>
      <c r="D1058" s="126"/>
      <c r="E1058" s="128"/>
      <c r="F1058" s="128"/>
      <c r="G1058" s="128"/>
      <c r="H1058" s="128"/>
      <c r="I1058" s="128"/>
      <c r="J1058" s="126"/>
      <c r="K1058" s="126"/>
      <c r="L1058" s="126"/>
      <c r="M1058" s="125"/>
      <c r="N1058" s="126"/>
    </row>
    <row r="1059" spans="1:14" x14ac:dyDescent="0.35">
      <c r="A1059" s="126"/>
      <c r="B1059" s="127"/>
      <c r="C1059" s="126"/>
      <c r="D1059" s="126"/>
      <c r="E1059" s="128"/>
      <c r="F1059" s="128"/>
      <c r="G1059" s="128"/>
      <c r="H1059" s="128"/>
      <c r="I1059" s="128"/>
      <c r="J1059" s="126"/>
      <c r="K1059" s="126"/>
      <c r="L1059" s="126"/>
      <c r="M1059" s="125"/>
      <c r="N1059" s="126"/>
    </row>
    <row r="1060" spans="1:14" x14ac:dyDescent="0.35">
      <c r="A1060" s="126"/>
      <c r="B1060" s="127"/>
      <c r="C1060" s="126"/>
      <c r="D1060" s="126"/>
      <c r="E1060" s="128"/>
      <c r="F1060" s="128"/>
      <c r="G1060" s="128"/>
      <c r="H1060" s="128"/>
      <c r="I1060" s="128"/>
      <c r="J1060" s="126"/>
      <c r="K1060" s="126"/>
      <c r="L1060" s="126"/>
      <c r="M1060" s="125"/>
      <c r="N1060" s="126"/>
    </row>
    <row r="1061" spans="1:14" x14ac:dyDescent="0.35">
      <c r="A1061" s="126"/>
      <c r="B1061" s="127"/>
      <c r="C1061" s="126"/>
      <c r="D1061" s="126"/>
      <c r="E1061" s="128"/>
      <c r="F1061" s="128"/>
      <c r="G1061" s="128"/>
      <c r="H1061" s="128"/>
      <c r="I1061" s="128"/>
      <c r="J1061" s="126"/>
      <c r="K1061" s="126"/>
      <c r="L1061" s="126"/>
      <c r="M1061" s="125"/>
      <c r="N1061" s="126"/>
    </row>
    <row r="1062" spans="1:14" x14ac:dyDescent="0.35">
      <c r="A1062" s="126"/>
      <c r="B1062" s="127"/>
      <c r="C1062" s="126"/>
      <c r="D1062" s="126"/>
      <c r="E1062" s="128"/>
      <c r="F1062" s="128"/>
      <c r="G1062" s="128"/>
      <c r="H1062" s="128"/>
      <c r="I1062" s="128"/>
      <c r="J1062" s="126"/>
      <c r="K1062" s="126"/>
      <c r="L1062" s="126"/>
      <c r="M1062" s="125"/>
      <c r="N1062" s="126"/>
    </row>
    <row r="1063" spans="1:14" x14ac:dyDescent="0.35">
      <c r="A1063" s="126"/>
      <c r="B1063" s="127"/>
      <c r="C1063" s="126"/>
      <c r="D1063" s="126"/>
      <c r="E1063" s="128"/>
      <c r="F1063" s="128"/>
      <c r="G1063" s="128"/>
      <c r="H1063" s="128"/>
      <c r="I1063" s="128"/>
      <c r="J1063" s="126"/>
      <c r="K1063" s="126"/>
      <c r="L1063" s="126"/>
      <c r="M1063" s="125"/>
      <c r="N1063" s="126"/>
    </row>
    <row r="1064" spans="1:14" x14ac:dyDescent="0.35">
      <c r="A1064" s="126"/>
      <c r="B1064" s="127"/>
      <c r="C1064" s="126"/>
      <c r="D1064" s="126"/>
      <c r="E1064" s="128"/>
      <c r="F1064" s="128"/>
      <c r="G1064" s="128"/>
      <c r="H1064" s="128"/>
      <c r="I1064" s="128"/>
      <c r="J1064" s="126"/>
      <c r="K1064" s="126"/>
      <c r="L1064" s="126"/>
      <c r="M1064" s="125"/>
      <c r="N1064" s="126"/>
    </row>
    <row r="1065" spans="1:14" x14ac:dyDescent="0.35">
      <c r="A1065" s="126"/>
      <c r="B1065" s="127"/>
      <c r="C1065" s="126"/>
      <c r="D1065" s="126"/>
      <c r="E1065" s="128"/>
      <c r="F1065" s="128"/>
      <c r="G1065" s="128"/>
      <c r="H1065" s="128"/>
      <c r="I1065" s="128"/>
      <c r="J1065" s="126"/>
      <c r="K1065" s="126"/>
      <c r="L1065" s="126"/>
      <c r="M1065" s="125"/>
      <c r="N1065" s="126"/>
    </row>
    <row r="1066" spans="1:14" x14ac:dyDescent="0.35">
      <c r="A1066" s="126"/>
      <c r="B1066" s="127"/>
      <c r="C1066" s="126"/>
      <c r="D1066" s="126"/>
      <c r="E1066" s="128"/>
      <c r="F1066" s="128"/>
      <c r="G1066" s="128"/>
      <c r="H1066" s="128"/>
      <c r="I1066" s="128"/>
      <c r="J1066" s="126"/>
      <c r="K1066" s="126"/>
      <c r="L1066" s="126"/>
      <c r="M1066" s="125"/>
      <c r="N1066" s="126"/>
    </row>
    <row r="1067" spans="1:14" x14ac:dyDescent="0.35">
      <c r="A1067" s="126"/>
      <c r="B1067" s="127"/>
      <c r="C1067" s="126"/>
      <c r="D1067" s="126"/>
      <c r="E1067" s="128"/>
      <c r="F1067" s="128"/>
      <c r="G1067" s="128"/>
      <c r="H1067" s="128"/>
      <c r="I1067" s="128"/>
      <c r="J1067" s="126"/>
      <c r="K1067" s="126"/>
      <c r="L1067" s="126"/>
      <c r="M1067" s="125"/>
      <c r="N1067" s="126"/>
    </row>
    <row r="1068" spans="1:14" x14ac:dyDescent="0.35">
      <c r="A1068" s="126"/>
      <c r="B1068" s="127"/>
      <c r="C1068" s="126"/>
      <c r="D1068" s="126"/>
      <c r="E1068" s="128"/>
      <c r="F1068" s="128"/>
      <c r="G1068" s="128"/>
      <c r="H1068" s="128"/>
      <c r="I1068" s="128"/>
      <c r="J1068" s="126"/>
      <c r="K1068" s="126"/>
      <c r="L1068" s="126"/>
      <c r="M1068" s="125"/>
      <c r="N1068" s="126"/>
    </row>
    <row r="1069" spans="1:14" x14ac:dyDescent="0.35">
      <c r="A1069" s="126"/>
      <c r="B1069" s="127"/>
      <c r="C1069" s="126"/>
      <c r="D1069" s="126"/>
      <c r="E1069" s="128"/>
      <c r="F1069" s="128"/>
      <c r="G1069" s="128"/>
      <c r="H1069" s="128"/>
      <c r="I1069" s="128"/>
      <c r="J1069" s="126"/>
      <c r="K1069" s="126"/>
      <c r="L1069" s="126"/>
      <c r="M1069" s="125"/>
      <c r="N1069" s="126"/>
    </row>
    <row r="1070" spans="1:14" x14ac:dyDescent="0.35">
      <c r="A1070" s="126"/>
      <c r="B1070" s="127"/>
      <c r="C1070" s="126"/>
      <c r="D1070" s="126"/>
      <c r="E1070" s="128"/>
      <c r="F1070" s="128"/>
      <c r="G1070" s="128"/>
      <c r="H1070" s="128"/>
      <c r="I1070" s="128"/>
      <c r="J1070" s="126"/>
      <c r="K1070" s="126"/>
      <c r="L1070" s="126"/>
      <c r="M1070" s="125"/>
      <c r="N1070" s="126"/>
    </row>
    <row r="1071" spans="1:14" x14ac:dyDescent="0.35">
      <c r="A1071" s="126"/>
      <c r="B1071" s="127"/>
      <c r="C1071" s="126"/>
      <c r="D1071" s="126"/>
      <c r="E1071" s="128"/>
      <c r="F1071" s="128"/>
      <c r="G1071" s="128"/>
      <c r="H1071" s="128"/>
      <c r="I1071" s="128"/>
      <c r="J1071" s="126"/>
      <c r="K1071" s="126"/>
      <c r="L1071" s="126"/>
      <c r="M1071" s="125"/>
      <c r="N1071" s="126"/>
    </row>
    <row r="1072" spans="1:14" x14ac:dyDescent="0.35">
      <c r="A1072" s="126"/>
      <c r="B1072" s="127"/>
      <c r="C1072" s="126"/>
      <c r="D1072" s="126"/>
      <c r="E1072" s="128"/>
      <c r="F1072" s="128"/>
      <c r="G1072" s="128"/>
      <c r="H1072" s="128"/>
      <c r="I1072" s="128"/>
      <c r="J1072" s="126"/>
      <c r="K1072" s="126"/>
      <c r="L1072" s="126"/>
      <c r="M1072" s="125"/>
      <c r="N1072" s="126"/>
    </row>
    <row r="1073" spans="1:14" x14ac:dyDescent="0.35">
      <c r="A1073" s="126"/>
      <c r="B1073" s="127"/>
      <c r="C1073" s="126"/>
      <c r="D1073" s="126"/>
      <c r="E1073" s="128"/>
      <c r="F1073" s="128"/>
      <c r="G1073" s="128"/>
      <c r="H1073" s="128"/>
      <c r="I1073" s="128"/>
      <c r="J1073" s="126"/>
      <c r="K1073" s="126"/>
      <c r="L1073" s="126"/>
      <c r="M1073" s="125"/>
      <c r="N1073" s="126"/>
    </row>
    <row r="1074" spans="1:14" x14ac:dyDescent="0.35">
      <c r="A1074" s="126"/>
      <c r="B1074" s="127"/>
      <c r="C1074" s="126"/>
      <c r="D1074" s="126"/>
      <c r="E1074" s="128"/>
      <c r="F1074" s="128"/>
      <c r="G1074" s="128"/>
      <c r="H1074" s="128"/>
      <c r="I1074" s="128"/>
      <c r="J1074" s="126"/>
      <c r="K1074" s="126"/>
      <c r="L1074" s="126"/>
      <c r="M1074" s="125"/>
      <c r="N1074" s="126"/>
    </row>
    <row r="1075" spans="1:14" x14ac:dyDescent="0.35">
      <c r="A1075" s="126"/>
      <c r="B1075" s="127"/>
      <c r="C1075" s="126"/>
      <c r="D1075" s="126"/>
      <c r="E1075" s="128"/>
      <c r="F1075" s="128"/>
      <c r="G1075" s="128"/>
      <c r="H1075" s="128"/>
      <c r="I1075" s="128"/>
      <c r="J1075" s="126"/>
      <c r="K1075" s="126"/>
      <c r="L1075" s="126"/>
      <c r="M1075" s="125"/>
      <c r="N1075" s="126"/>
    </row>
    <row r="1076" spans="1:14" x14ac:dyDescent="0.35">
      <c r="A1076" s="126"/>
      <c r="B1076" s="127"/>
      <c r="C1076" s="126"/>
      <c r="D1076" s="126"/>
      <c r="E1076" s="128"/>
      <c r="F1076" s="128"/>
      <c r="G1076" s="128"/>
      <c r="H1076" s="128"/>
      <c r="I1076" s="128"/>
      <c r="J1076" s="126"/>
      <c r="K1076" s="126"/>
      <c r="L1076" s="126"/>
      <c r="M1076" s="125"/>
      <c r="N1076" s="126"/>
    </row>
    <row r="1077" spans="1:14" x14ac:dyDescent="0.35">
      <c r="A1077" s="126"/>
      <c r="B1077" s="127"/>
      <c r="C1077" s="126"/>
      <c r="D1077" s="126"/>
      <c r="E1077" s="128"/>
      <c r="F1077" s="128"/>
      <c r="G1077" s="128"/>
      <c r="H1077" s="128"/>
      <c r="I1077" s="128"/>
      <c r="J1077" s="126"/>
      <c r="K1077" s="126"/>
      <c r="L1077" s="126"/>
      <c r="M1077" s="125"/>
      <c r="N1077" s="126"/>
    </row>
    <row r="1078" spans="1:14" x14ac:dyDescent="0.35">
      <c r="A1078" s="126"/>
      <c r="B1078" s="127"/>
      <c r="C1078" s="126"/>
      <c r="D1078" s="126"/>
      <c r="E1078" s="128"/>
      <c r="F1078" s="128"/>
      <c r="G1078" s="128"/>
      <c r="H1078" s="128"/>
      <c r="I1078" s="128"/>
      <c r="J1078" s="126"/>
      <c r="K1078" s="126"/>
      <c r="L1078" s="126"/>
      <c r="M1078" s="125"/>
      <c r="N1078" s="126"/>
    </row>
    <row r="1079" spans="1:14" x14ac:dyDescent="0.35">
      <c r="A1079" s="126"/>
      <c r="B1079" s="127"/>
      <c r="C1079" s="126"/>
      <c r="D1079" s="126"/>
      <c r="E1079" s="128"/>
      <c r="F1079" s="128"/>
      <c r="G1079" s="128"/>
      <c r="H1079" s="128"/>
      <c r="I1079" s="128"/>
      <c r="J1079" s="126"/>
      <c r="K1079" s="126"/>
      <c r="L1079" s="126"/>
      <c r="M1079" s="125"/>
      <c r="N1079" s="126"/>
    </row>
    <row r="1080" spans="1:14" x14ac:dyDescent="0.35">
      <c r="A1080" s="126"/>
      <c r="B1080" s="127"/>
      <c r="C1080" s="126"/>
      <c r="D1080" s="126"/>
      <c r="E1080" s="128"/>
      <c r="F1080" s="128"/>
      <c r="G1080" s="128"/>
      <c r="H1080" s="128"/>
      <c r="I1080" s="128"/>
      <c r="J1080" s="126"/>
      <c r="K1080" s="126"/>
      <c r="L1080" s="126"/>
      <c r="M1080" s="125"/>
      <c r="N1080" s="126"/>
    </row>
    <row r="1081" spans="1:14" x14ac:dyDescent="0.35">
      <c r="A1081" s="126"/>
      <c r="B1081" s="127"/>
      <c r="C1081" s="126"/>
      <c r="D1081" s="126"/>
      <c r="E1081" s="128"/>
      <c r="F1081" s="128"/>
      <c r="G1081" s="128"/>
      <c r="H1081" s="128"/>
      <c r="I1081" s="128"/>
      <c r="J1081" s="126"/>
      <c r="K1081" s="126"/>
      <c r="L1081" s="126"/>
      <c r="M1081" s="125"/>
      <c r="N1081" s="126"/>
    </row>
    <row r="1082" spans="1:14" x14ac:dyDescent="0.35">
      <c r="A1082" s="126"/>
      <c r="B1082" s="127"/>
      <c r="C1082" s="126"/>
      <c r="D1082" s="126"/>
      <c r="E1082" s="128"/>
      <c r="F1082" s="128"/>
      <c r="G1082" s="128"/>
      <c r="H1082" s="128"/>
      <c r="I1082" s="128"/>
      <c r="J1082" s="126"/>
      <c r="K1082" s="126"/>
      <c r="L1082" s="126"/>
      <c r="M1082" s="125"/>
      <c r="N1082" s="126"/>
    </row>
    <row r="1083" spans="1:14" x14ac:dyDescent="0.35">
      <c r="A1083" s="126"/>
      <c r="B1083" s="127"/>
      <c r="C1083" s="126"/>
      <c r="D1083" s="126"/>
      <c r="E1083" s="128"/>
      <c r="F1083" s="128"/>
      <c r="G1083" s="128"/>
      <c r="H1083" s="128"/>
      <c r="I1083" s="128"/>
      <c r="J1083" s="126"/>
      <c r="K1083" s="126"/>
      <c r="L1083" s="126"/>
      <c r="M1083" s="125"/>
      <c r="N1083" s="126"/>
    </row>
    <row r="1084" spans="1:14" x14ac:dyDescent="0.35">
      <c r="A1084" s="126"/>
      <c r="B1084" s="127"/>
      <c r="C1084" s="126"/>
      <c r="D1084" s="126"/>
      <c r="E1084" s="128"/>
      <c r="F1084" s="128"/>
      <c r="G1084" s="128"/>
      <c r="H1084" s="128"/>
      <c r="I1084" s="128"/>
      <c r="J1084" s="126"/>
      <c r="K1084" s="126"/>
      <c r="L1084" s="126"/>
      <c r="M1084" s="125"/>
      <c r="N1084" s="126"/>
    </row>
    <row r="1085" spans="1:14" x14ac:dyDescent="0.35">
      <c r="A1085" s="126"/>
      <c r="B1085" s="127"/>
      <c r="C1085" s="126"/>
      <c r="D1085" s="126"/>
      <c r="E1085" s="128"/>
      <c r="F1085" s="128"/>
      <c r="G1085" s="128"/>
      <c r="H1085" s="128"/>
      <c r="I1085" s="128"/>
      <c r="J1085" s="126"/>
      <c r="K1085" s="126"/>
      <c r="L1085" s="126"/>
      <c r="M1085" s="125"/>
      <c r="N1085" s="126"/>
    </row>
    <row r="1086" spans="1:14" x14ac:dyDescent="0.35">
      <c r="A1086" s="126"/>
      <c r="B1086" s="127"/>
      <c r="C1086" s="126"/>
      <c r="D1086" s="126"/>
      <c r="E1086" s="128"/>
      <c r="F1086" s="128"/>
      <c r="G1086" s="128"/>
      <c r="H1086" s="128"/>
      <c r="I1086" s="128"/>
      <c r="J1086" s="126"/>
      <c r="K1086" s="126"/>
      <c r="L1086" s="126"/>
      <c r="M1086" s="125"/>
      <c r="N1086" s="126"/>
    </row>
    <row r="1087" spans="1:14" x14ac:dyDescent="0.35">
      <c r="A1087" s="126"/>
      <c r="B1087" s="127"/>
      <c r="C1087" s="126"/>
      <c r="D1087" s="126"/>
      <c r="E1087" s="128"/>
      <c r="F1087" s="128"/>
      <c r="G1087" s="128"/>
      <c r="H1087" s="128"/>
      <c r="I1087" s="128"/>
      <c r="J1087" s="126"/>
      <c r="K1087" s="126"/>
      <c r="L1087" s="126"/>
      <c r="M1087" s="125"/>
      <c r="N1087" s="126"/>
    </row>
    <row r="1088" spans="1:14" x14ac:dyDescent="0.35">
      <c r="A1088" s="126"/>
      <c r="B1088" s="127"/>
      <c r="C1088" s="126"/>
      <c r="D1088" s="126"/>
      <c r="E1088" s="128"/>
      <c r="F1088" s="128"/>
      <c r="G1088" s="128"/>
      <c r="H1088" s="128"/>
      <c r="I1088" s="128"/>
      <c r="J1088" s="126"/>
      <c r="K1088" s="126"/>
      <c r="L1088" s="126"/>
      <c r="M1088" s="125"/>
      <c r="N1088" s="126"/>
    </row>
    <row r="1089" spans="1:14" x14ac:dyDescent="0.35">
      <c r="A1089" s="126"/>
      <c r="B1089" s="127"/>
      <c r="C1089" s="126"/>
      <c r="D1089" s="126"/>
      <c r="E1089" s="128"/>
      <c r="F1089" s="128"/>
      <c r="G1089" s="128"/>
      <c r="H1089" s="128"/>
      <c r="I1089" s="128"/>
      <c r="J1089" s="126"/>
      <c r="K1089" s="126"/>
      <c r="L1089" s="126"/>
      <c r="M1089" s="125"/>
      <c r="N1089" s="126"/>
    </row>
    <row r="1090" spans="1:14" x14ac:dyDescent="0.35">
      <c r="A1090" s="126"/>
      <c r="B1090" s="127"/>
      <c r="C1090" s="126"/>
      <c r="D1090" s="126"/>
      <c r="E1090" s="128"/>
      <c r="F1090" s="128"/>
      <c r="G1090" s="128"/>
      <c r="H1090" s="128"/>
      <c r="I1090" s="128"/>
      <c r="J1090" s="126"/>
      <c r="K1090" s="126"/>
      <c r="L1090" s="126"/>
      <c r="M1090" s="125"/>
      <c r="N1090" s="126"/>
    </row>
    <row r="1091" spans="1:14" x14ac:dyDescent="0.35">
      <c r="A1091" s="126"/>
      <c r="B1091" s="127"/>
      <c r="C1091" s="126"/>
      <c r="D1091" s="126"/>
      <c r="E1091" s="128"/>
      <c r="F1091" s="128"/>
      <c r="G1091" s="128"/>
      <c r="H1091" s="128"/>
      <c r="I1091" s="128"/>
      <c r="J1091" s="126"/>
      <c r="K1091" s="126"/>
      <c r="L1091" s="126"/>
      <c r="M1091" s="125"/>
      <c r="N1091" s="126"/>
    </row>
    <row r="1092" spans="1:14" x14ac:dyDescent="0.35">
      <c r="A1092" s="126"/>
      <c r="B1092" s="127"/>
      <c r="C1092" s="126"/>
      <c r="D1092" s="126"/>
      <c r="E1092" s="128"/>
      <c r="F1092" s="128"/>
      <c r="G1092" s="128"/>
      <c r="H1092" s="128"/>
      <c r="I1092" s="128"/>
      <c r="J1092" s="126"/>
      <c r="K1092" s="126"/>
      <c r="L1092" s="126"/>
      <c r="M1092" s="125"/>
      <c r="N1092" s="126"/>
    </row>
    <row r="1093" spans="1:14" x14ac:dyDescent="0.35">
      <c r="A1093" s="126"/>
      <c r="B1093" s="127"/>
      <c r="C1093" s="126"/>
      <c r="D1093" s="126"/>
      <c r="E1093" s="128"/>
      <c r="F1093" s="128"/>
      <c r="G1093" s="128"/>
      <c r="H1093" s="128"/>
      <c r="I1093" s="128"/>
      <c r="J1093" s="126"/>
      <c r="K1093" s="126"/>
      <c r="L1093" s="126"/>
      <c r="M1093" s="125"/>
      <c r="N1093" s="126"/>
    </row>
    <row r="1094" spans="1:14" x14ac:dyDescent="0.35">
      <c r="A1094" s="126"/>
      <c r="B1094" s="127"/>
      <c r="C1094" s="126"/>
      <c r="D1094" s="126"/>
      <c r="E1094" s="128"/>
      <c r="F1094" s="128"/>
      <c r="G1094" s="128"/>
      <c r="H1094" s="128"/>
      <c r="I1094" s="128"/>
      <c r="J1094" s="126"/>
      <c r="K1094" s="126"/>
      <c r="L1094" s="126"/>
      <c r="M1094" s="125"/>
      <c r="N1094" s="126"/>
    </row>
    <row r="1095" spans="1:14" x14ac:dyDescent="0.35">
      <c r="A1095" s="126"/>
      <c r="B1095" s="127"/>
      <c r="C1095" s="126"/>
      <c r="D1095" s="126"/>
      <c r="E1095" s="128"/>
      <c r="F1095" s="128"/>
      <c r="G1095" s="128"/>
      <c r="H1095" s="128"/>
      <c r="I1095" s="128"/>
      <c r="J1095" s="126"/>
      <c r="K1095" s="126"/>
      <c r="L1095" s="126"/>
      <c r="M1095" s="125"/>
      <c r="N1095" s="126"/>
    </row>
    <row r="1096" spans="1:14" x14ac:dyDescent="0.35">
      <c r="A1096" s="126"/>
      <c r="B1096" s="127"/>
      <c r="C1096" s="126"/>
      <c r="D1096" s="126"/>
      <c r="E1096" s="128"/>
      <c r="F1096" s="128"/>
      <c r="G1096" s="128"/>
      <c r="H1096" s="128"/>
      <c r="I1096" s="128"/>
      <c r="J1096" s="126"/>
      <c r="K1096" s="126"/>
      <c r="L1096" s="126"/>
      <c r="M1096" s="125"/>
      <c r="N1096" s="126"/>
    </row>
    <row r="1097" spans="1:14" x14ac:dyDescent="0.35">
      <c r="A1097" s="126"/>
      <c r="B1097" s="127"/>
      <c r="C1097" s="126"/>
      <c r="D1097" s="126"/>
      <c r="E1097" s="128"/>
      <c r="F1097" s="128"/>
      <c r="G1097" s="128"/>
      <c r="H1097" s="128"/>
      <c r="I1097" s="128"/>
      <c r="J1097" s="126"/>
      <c r="K1097" s="126"/>
      <c r="L1097" s="126"/>
      <c r="M1097" s="125"/>
      <c r="N1097" s="126"/>
    </row>
    <row r="1098" spans="1:14" x14ac:dyDescent="0.35">
      <c r="A1098" s="126"/>
      <c r="B1098" s="127"/>
      <c r="C1098" s="126"/>
      <c r="D1098" s="126"/>
      <c r="E1098" s="128"/>
      <c r="F1098" s="128"/>
      <c r="G1098" s="128"/>
      <c r="H1098" s="128"/>
      <c r="I1098" s="128"/>
      <c r="J1098" s="126"/>
      <c r="K1098" s="126"/>
      <c r="L1098" s="126"/>
      <c r="M1098" s="125"/>
      <c r="N1098" s="126"/>
    </row>
    <row r="1099" spans="1:14" x14ac:dyDescent="0.35">
      <c r="A1099" s="126"/>
      <c r="B1099" s="127"/>
      <c r="C1099" s="126"/>
      <c r="D1099" s="126"/>
      <c r="E1099" s="128"/>
      <c r="F1099" s="128"/>
      <c r="G1099" s="128"/>
      <c r="H1099" s="128"/>
      <c r="I1099" s="128"/>
      <c r="J1099" s="126"/>
      <c r="K1099" s="126"/>
      <c r="L1099" s="126"/>
      <c r="M1099" s="125"/>
      <c r="N1099" s="126"/>
    </row>
    <row r="1100" spans="1:14" x14ac:dyDescent="0.35">
      <c r="A1100" s="126"/>
      <c r="B1100" s="127"/>
      <c r="C1100" s="126"/>
      <c r="D1100" s="126"/>
      <c r="E1100" s="128"/>
      <c r="F1100" s="128"/>
      <c r="G1100" s="128"/>
      <c r="H1100" s="128"/>
      <c r="I1100" s="128"/>
      <c r="J1100" s="126"/>
      <c r="K1100" s="126"/>
      <c r="L1100" s="126"/>
      <c r="M1100" s="125"/>
      <c r="N1100" s="126"/>
    </row>
    <row r="1101" spans="1:14" x14ac:dyDescent="0.35">
      <c r="A1101" s="126"/>
      <c r="B1101" s="127"/>
      <c r="C1101" s="126"/>
      <c r="D1101" s="126"/>
      <c r="E1101" s="128"/>
      <c r="F1101" s="128"/>
      <c r="G1101" s="128"/>
      <c r="H1101" s="128"/>
      <c r="I1101" s="128"/>
      <c r="J1101" s="126"/>
      <c r="K1101" s="126"/>
      <c r="L1101" s="126"/>
      <c r="M1101" s="125"/>
      <c r="N1101" s="126"/>
    </row>
    <row r="1102" spans="1:14" x14ac:dyDescent="0.35">
      <c r="A1102" s="126"/>
      <c r="B1102" s="127"/>
      <c r="C1102" s="126"/>
      <c r="D1102" s="126"/>
      <c r="E1102" s="128"/>
      <c r="F1102" s="128"/>
      <c r="G1102" s="128"/>
      <c r="H1102" s="128"/>
      <c r="I1102" s="128"/>
      <c r="J1102" s="126"/>
      <c r="K1102" s="126"/>
      <c r="L1102" s="126"/>
      <c r="M1102" s="125"/>
      <c r="N1102" s="126"/>
    </row>
    <row r="1103" spans="1:14" x14ac:dyDescent="0.35">
      <c r="A1103" s="126"/>
      <c r="B1103" s="127"/>
      <c r="C1103" s="126"/>
      <c r="D1103" s="126"/>
      <c r="E1103" s="128"/>
      <c r="F1103" s="128"/>
      <c r="G1103" s="128"/>
      <c r="H1103" s="128"/>
      <c r="I1103" s="128"/>
      <c r="J1103" s="126"/>
      <c r="K1103" s="126"/>
      <c r="L1103" s="126"/>
      <c r="M1103" s="125"/>
      <c r="N1103" s="126"/>
    </row>
    <row r="1104" spans="1:14" x14ac:dyDescent="0.35">
      <c r="A1104" s="126"/>
      <c r="B1104" s="127"/>
      <c r="C1104" s="126"/>
      <c r="D1104" s="126"/>
      <c r="E1104" s="128"/>
      <c r="F1104" s="128"/>
      <c r="G1104" s="128"/>
      <c r="H1104" s="128"/>
      <c r="I1104" s="128"/>
      <c r="J1104" s="126"/>
      <c r="K1104" s="126"/>
      <c r="L1104" s="126"/>
      <c r="M1104" s="125"/>
      <c r="N1104" s="126"/>
    </row>
    <row r="1105" spans="1:14" x14ac:dyDescent="0.35">
      <c r="A1105" s="126"/>
      <c r="B1105" s="127"/>
      <c r="C1105" s="126"/>
      <c r="D1105" s="126"/>
      <c r="E1105" s="128"/>
      <c r="F1105" s="128"/>
      <c r="G1105" s="128"/>
      <c r="H1105" s="128"/>
      <c r="I1105" s="128"/>
      <c r="J1105" s="126"/>
      <c r="K1105" s="126"/>
      <c r="L1105" s="126"/>
      <c r="M1105" s="125"/>
      <c r="N1105" s="126"/>
    </row>
    <row r="1106" spans="1:14" x14ac:dyDescent="0.35">
      <c r="A1106" s="126"/>
      <c r="B1106" s="127"/>
      <c r="C1106" s="126"/>
      <c r="D1106" s="126"/>
      <c r="E1106" s="128"/>
      <c r="F1106" s="128"/>
      <c r="G1106" s="128"/>
      <c r="H1106" s="128"/>
      <c r="I1106" s="128"/>
      <c r="J1106" s="126"/>
      <c r="K1106" s="126"/>
      <c r="L1106" s="126"/>
      <c r="M1106" s="125"/>
      <c r="N1106" s="126"/>
    </row>
    <row r="1107" spans="1:14" x14ac:dyDescent="0.35">
      <c r="A1107" s="126"/>
      <c r="B1107" s="127"/>
      <c r="C1107" s="126"/>
      <c r="D1107" s="126"/>
      <c r="E1107" s="128"/>
      <c r="F1107" s="128"/>
      <c r="G1107" s="128"/>
      <c r="H1107" s="128"/>
      <c r="I1107" s="128"/>
      <c r="J1107" s="126"/>
      <c r="K1107" s="126"/>
      <c r="L1107" s="126"/>
      <c r="M1107" s="125"/>
      <c r="N1107" s="126"/>
    </row>
    <row r="1108" spans="1:14" x14ac:dyDescent="0.35">
      <c r="A1108" s="126"/>
      <c r="B1108" s="127"/>
      <c r="C1108" s="126"/>
      <c r="D1108" s="126"/>
      <c r="E1108" s="128"/>
      <c r="F1108" s="128"/>
      <c r="G1108" s="128"/>
      <c r="H1108" s="128"/>
      <c r="I1108" s="128"/>
      <c r="J1108" s="126"/>
      <c r="K1108" s="126"/>
      <c r="L1108" s="126"/>
      <c r="M1108" s="125"/>
      <c r="N1108" s="126"/>
    </row>
    <row r="1109" spans="1:14" x14ac:dyDescent="0.35">
      <c r="A1109" s="126"/>
      <c r="B1109" s="127"/>
      <c r="C1109" s="126"/>
      <c r="D1109" s="126"/>
      <c r="E1109" s="128"/>
      <c r="F1109" s="128"/>
      <c r="G1109" s="126"/>
      <c r="H1109" s="126"/>
      <c r="I1109" s="126"/>
      <c r="J1109" s="126"/>
      <c r="K1109" s="126"/>
      <c r="L1109" s="126"/>
      <c r="M1109" s="125"/>
      <c r="N1109" s="126"/>
    </row>
    <row r="1110" spans="1:14" x14ac:dyDescent="0.35">
      <c r="A1110" s="126"/>
      <c r="B1110" s="127"/>
      <c r="C1110" s="126"/>
      <c r="D1110" s="126"/>
      <c r="E1110" s="128"/>
      <c r="F1110" s="128"/>
      <c r="G1110" s="126"/>
      <c r="H1110" s="126"/>
      <c r="I1110" s="126"/>
      <c r="J1110" s="126"/>
      <c r="K1110" s="126"/>
      <c r="L1110" s="126"/>
      <c r="M1110" s="125"/>
      <c r="N1110" s="126"/>
    </row>
    <row r="1111" spans="1:14" x14ac:dyDescent="0.35">
      <c r="A1111" s="126"/>
      <c r="B1111" s="127"/>
      <c r="C1111" s="126"/>
      <c r="D1111" s="126"/>
      <c r="E1111" s="128"/>
      <c r="F1111" s="128"/>
      <c r="G1111" s="126"/>
      <c r="H1111" s="126"/>
      <c r="I1111" s="126"/>
      <c r="J1111" s="126"/>
      <c r="K1111" s="126"/>
      <c r="L1111" s="126"/>
      <c r="M1111" s="125"/>
      <c r="N1111" s="126"/>
    </row>
    <row r="1112" spans="1:14" x14ac:dyDescent="0.35">
      <c r="A1112" s="126"/>
      <c r="B1112" s="127"/>
      <c r="C1112" s="126"/>
      <c r="D1112" s="126"/>
      <c r="E1112" s="128"/>
      <c r="F1112" s="128"/>
      <c r="G1112" s="126"/>
      <c r="H1112" s="126"/>
      <c r="I1112" s="126"/>
      <c r="J1112" s="126"/>
      <c r="K1112" s="126"/>
      <c r="L1112" s="126"/>
      <c r="M1112" s="125"/>
      <c r="N1112" s="126"/>
    </row>
    <row r="1113" spans="1:14" x14ac:dyDescent="0.35">
      <c r="A1113" s="126"/>
      <c r="B1113" s="127"/>
      <c r="C1113" s="126"/>
      <c r="D1113" s="126"/>
      <c r="E1113" s="128"/>
      <c r="F1113" s="128"/>
      <c r="G1113" s="126"/>
      <c r="H1113" s="126"/>
      <c r="I1113" s="126"/>
      <c r="J1113" s="126"/>
      <c r="K1113" s="126"/>
      <c r="L1113" s="126"/>
      <c r="M1113" s="125"/>
      <c r="N1113" s="126"/>
    </row>
    <row r="1114" spans="1:14" x14ac:dyDescent="0.35">
      <c r="A1114" s="126"/>
      <c r="B1114" s="127"/>
      <c r="C1114" s="126"/>
      <c r="D1114" s="126"/>
      <c r="E1114" s="128"/>
      <c r="F1114" s="128"/>
      <c r="G1114" s="126"/>
      <c r="H1114" s="126"/>
      <c r="I1114" s="126"/>
      <c r="J1114" s="126"/>
      <c r="K1114" s="126"/>
      <c r="L1114" s="126"/>
      <c r="M1114" s="125"/>
      <c r="N1114" s="126"/>
    </row>
    <row r="1115" spans="1:14" x14ac:dyDescent="0.35">
      <c r="A1115" s="126"/>
      <c r="B1115" s="127"/>
      <c r="C1115" s="126"/>
      <c r="D1115" s="126"/>
      <c r="E1115" s="128"/>
      <c r="F1115" s="128"/>
      <c r="G1115" s="126"/>
      <c r="H1115" s="126"/>
      <c r="I1115" s="126"/>
      <c r="J1115" s="126"/>
      <c r="K1115" s="126"/>
      <c r="L1115" s="126"/>
      <c r="M1115" s="125"/>
      <c r="N1115" s="126"/>
    </row>
    <row r="1116" spans="1:14" x14ac:dyDescent="0.35">
      <c r="A1116" s="126"/>
      <c r="B1116" s="127"/>
      <c r="C1116" s="126"/>
      <c r="D1116" s="126"/>
      <c r="E1116" s="128"/>
      <c r="F1116" s="128"/>
      <c r="G1116" s="126"/>
      <c r="H1116" s="126"/>
      <c r="I1116" s="126"/>
      <c r="J1116" s="126"/>
      <c r="K1116" s="126"/>
      <c r="L1116" s="126"/>
      <c r="M1116" s="125"/>
      <c r="N1116" s="126"/>
    </row>
    <row r="1117" spans="1:14" x14ac:dyDescent="0.35">
      <c r="A1117" s="126"/>
      <c r="B1117" s="127"/>
      <c r="C1117" s="126"/>
      <c r="D1117" s="126"/>
      <c r="E1117" s="128"/>
      <c r="F1117" s="128"/>
      <c r="G1117" s="126"/>
      <c r="H1117" s="126"/>
      <c r="I1117" s="126"/>
      <c r="J1117" s="126"/>
      <c r="K1117" s="126"/>
      <c r="L1117" s="126"/>
      <c r="M1117" s="125"/>
      <c r="N1117" s="126"/>
    </row>
    <row r="1118" spans="1:14" x14ac:dyDescent="0.35">
      <c r="A1118" s="126"/>
      <c r="B1118" s="127"/>
      <c r="C1118" s="126"/>
      <c r="D1118" s="126"/>
      <c r="E1118" s="128"/>
      <c r="F1118" s="128"/>
      <c r="G1118" s="126"/>
      <c r="H1118" s="126"/>
      <c r="I1118" s="126"/>
      <c r="J1118" s="126"/>
      <c r="K1118" s="126"/>
      <c r="L1118" s="126"/>
      <c r="M1118" s="125"/>
      <c r="N1118" s="126"/>
    </row>
    <row r="1119" spans="1:14" x14ac:dyDescent="0.35">
      <c r="A1119" s="126"/>
      <c r="B1119" s="127"/>
      <c r="C1119" s="126"/>
      <c r="D1119" s="126"/>
      <c r="E1119" s="128"/>
      <c r="F1119" s="128"/>
      <c r="G1119" s="126"/>
      <c r="H1119" s="126"/>
      <c r="I1119" s="126"/>
      <c r="J1119" s="126"/>
      <c r="K1119" s="126"/>
      <c r="L1119" s="126"/>
      <c r="M1119" s="125"/>
      <c r="N1119" s="126"/>
    </row>
    <row r="1120" spans="1:14" x14ac:dyDescent="0.35">
      <c r="A1120" s="126"/>
      <c r="B1120" s="127"/>
      <c r="C1120" s="126"/>
      <c r="D1120" s="126"/>
      <c r="E1120" s="128"/>
      <c r="F1120" s="128"/>
      <c r="G1120" s="126"/>
      <c r="H1120" s="126"/>
      <c r="I1120" s="126"/>
      <c r="J1120" s="126"/>
      <c r="K1120" s="126"/>
      <c r="L1120" s="126"/>
      <c r="M1120" s="125"/>
      <c r="N1120" s="126"/>
    </row>
    <row r="1121" spans="1:14" x14ac:dyDescent="0.35">
      <c r="A1121" s="126"/>
      <c r="B1121" s="127"/>
      <c r="C1121" s="126"/>
      <c r="D1121" s="126"/>
      <c r="E1121" s="128"/>
      <c r="F1121" s="128"/>
      <c r="G1121" s="126"/>
      <c r="H1121" s="126"/>
      <c r="I1121" s="126"/>
      <c r="J1121" s="126"/>
      <c r="K1121" s="126"/>
      <c r="L1121" s="126"/>
      <c r="M1121" s="125"/>
      <c r="N1121" s="126"/>
    </row>
    <row r="1122" spans="1:14" x14ac:dyDescent="0.35">
      <c r="A1122" s="126"/>
      <c r="B1122" s="127"/>
      <c r="C1122" s="126"/>
      <c r="D1122" s="126"/>
      <c r="E1122" s="128"/>
      <c r="F1122" s="128"/>
      <c r="G1122" s="126"/>
      <c r="H1122" s="126"/>
      <c r="I1122" s="126"/>
      <c r="J1122" s="126"/>
      <c r="K1122" s="126"/>
      <c r="L1122" s="126"/>
      <c r="M1122" s="125"/>
      <c r="N1122" s="126"/>
    </row>
    <row r="1123" spans="1:14" x14ac:dyDescent="0.35">
      <c r="A1123" s="126"/>
      <c r="B1123" s="127"/>
      <c r="C1123" s="126"/>
      <c r="D1123" s="126"/>
      <c r="E1123" s="128"/>
      <c r="F1123" s="128"/>
      <c r="G1123" s="126"/>
      <c r="H1123" s="126"/>
      <c r="I1123" s="126"/>
      <c r="J1123" s="126"/>
      <c r="K1123" s="126"/>
      <c r="L1123" s="126"/>
      <c r="M1123" s="125"/>
      <c r="N1123" s="126"/>
    </row>
    <row r="1124" spans="1:14" x14ac:dyDescent="0.35">
      <c r="A1124" s="126"/>
      <c r="B1124" s="127"/>
      <c r="C1124" s="126"/>
      <c r="D1124" s="126"/>
      <c r="E1124" s="128"/>
      <c r="F1124" s="128"/>
      <c r="G1124" s="126"/>
      <c r="H1124" s="126"/>
      <c r="I1124" s="126"/>
      <c r="J1124" s="126"/>
      <c r="K1124" s="126"/>
      <c r="L1124" s="126"/>
      <c r="M1124" s="125"/>
      <c r="N1124" s="126"/>
    </row>
    <row r="1125" spans="1:14" x14ac:dyDescent="0.35">
      <c r="A1125" s="126"/>
      <c r="B1125" s="127"/>
      <c r="C1125" s="126"/>
      <c r="D1125" s="126"/>
      <c r="E1125" s="128"/>
      <c r="F1125" s="128"/>
      <c r="G1125" s="126"/>
      <c r="H1125" s="126"/>
      <c r="I1125" s="126"/>
      <c r="J1125" s="126"/>
      <c r="K1125" s="126"/>
      <c r="L1125" s="126"/>
      <c r="M1125" s="125"/>
      <c r="N1125" s="126"/>
    </row>
    <row r="1126" spans="1:14" x14ac:dyDescent="0.35">
      <c r="A1126" s="126"/>
      <c r="B1126" s="127"/>
      <c r="C1126" s="126"/>
      <c r="D1126" s="126"/>
      <c r="E1126" s="128"/>
      <c r="F1126" s="128"/>
      <c r="G1126" s="126"/>
      <c r="H1126" s="126"/>
      <c r="I1126" s="126"/>
      <c r="J1126" s="126"/>
      <c r="K1126" s="126"/>
      <c r="L1126" s="126"/>
      <c r="M1126" s="125"/>
      <c r="N1126" s="126"/>
    </row>
    <row r="1127" spans="1:14" x14ac:dyDescent="0.35">
      <c r="A1127" s="126"/>
      <c r="B1127" s="127"/>
      <c r="C1127" s="126"/>
      <c r="D1127" s="126"/>
      <c r="E1127" s="128"/>
      <c r="F1127" s="128"/>
      <c r="G1127" s="126"/>
      <c r="H1127" s="126"/>
      <c r="I1127" s="126"/>
      <c r="J1127" s="126"/>
      <c r="K1127" s="126"/>
      <c r="L1127" s="126"/>
      <c r="M1127" s="125"/>
      <c r="N1127" s="126"/>
    </row>
    <row r="1128" spans="1:14" x14ac:dyDescent="0.35">
      <c r="A1128" s="126"/>
      <c r="B1128" s="127"/>
      <c r="C1128" s="126"/>
      <c r="D1128" s="126"/>
      <c r="E1128" s="128"/>
      <c r="F1128" s="128"/>
      <c r="G1128" s="126"/>
      <c r="H1128" s="126"/>
      <c r="I1128" s="126"/>
      <c r="J1128" s="126"/>
      <c r="K1128" s="126"/>
      <c r="L1128" s="126"/>
      <c r="M1128" s="125"/>
      <c r="N1128" s="126"/>
    </row>
    <row r="1129" spans="1:14" x14ac:dyDescent="0.35">
      <c r="A1129" s="126"/>
      <c r="B1129" s="127"/>
      <c r="C1129" s="126"/>
      <c r="D1129" s="126"/>
      <c r="E1129" s="128"/>
      <c r="F1129" s="128"/>
      <c r="G1129" s="126"/>
      <c r="H1129" s="126"/>
      <c r="I1129" s="126"/>
      <c r="J1129" s="126"/>
      <c r="K1129" s="126"/>
      <c r="L1129" s="126"/>
      <c r="M1129" s="125"/>
      <c r="N1129" s="126"/>
    </row>
    <row r="1130" spans="1:14" x14ac:dyDescent="0.35">
      <c r="A1130" s="126"/>
      <c r="B1130" s="127"/>
      <c r="C1130" s="126"/>
      <c r="D1130" s="126"/>
      <c r="E1130" s="128"/>
      <c r="F1130" s="128"/>
      <c r="G1130" s="126"/>
      <c r="H1130" s="126"/>
      <c r="I1130" s="126"/>
      <c r="J1130" s="126"/>
      <c r="K1130" s="126"/>
      <c r="L1130" s="126"/>
      <c r="M1130" s="125"/>
      <c r="N1130" s="126"/>
    </row>
    <row r="1131" spans="1:14" x14ac:dyDescent="0.35">
      <c r="A1131" s="126"/>
      <c r="B1131" s="127"/>
      <c r="C1131" s="126"/>
      <c r="D1131" s="126"/>
      <c r="E1131" s="128"/>
      <c r="F1131" s="128"/>
      <c r="G1131" s="126"/>
      <c r="H1131" s="126"/>
      <c r="I1131" s="126"/>
      <c r="J1131" s="126"/>
      <c r="K1131" s="126"/>
      <c r="L1131" s="126"/>
      <c r="M1131" s="125"/>
      <c r="N1131" s="126"/>
    </row>
    <row r="1132" spans="1:14" x14ac:dyDescent="0.35">
      <c r="A1132" s="126"/>
      <c r="B1132" s="127"/>
      <c r="C1132" s="126"/>
      <c r="D1132" s="126"/>
      <c r="E1132" s="128"/>
      <c r="F1132" s="128"/>
      <c r="G1132" s="126"/>
      <c r="H1132" s="126"/>
      <c r="I1132" s="126"/>
      <c r="J1132" s="126"/>
      <c r="K1132" s="126"/>
      <c r="L1132" s="126"/>
      <c r="M1132" s="125"/>
      <c r="N1132" s="126"/>
    </row>
    <row r="1133" spans="1:14" x14ac:dyDescent="0.35">
      <c r="A1133" s="126"/>
      <c r="B1133" s="127"/>
      <c r="C1133" s="126"/>
      <c r="D1133" s="126"/>
      <c r="E1133" s="128"/>
      <c r="F1133" s="128"/>
      <c r="G1133" s="126"/>
      <c r="H1133" s="126"/>
      <c r="I1133" s="126"/>
      <c r="J1133" s="126"/>
      <c r="K1133" s="126"/>
      <c r="L1133" s="126"/>
      <c r="M1133" s="125"/>
      <c r="N1133" s="126"/>
    </row>
    <row r="1134" spans="1:14" x14ac:dyDescent="0.35">
      <c r="A1134" s="126"/>
      <c r="B1134" s="127"/>
      <c r="C1134" s="126"/>
      <c r="D1134" s="126"/>
      <c r="E1134" s="128"/>
      <c r="F1134" s="128"/>
      <c r="G1134" s="126"/>
      <c r="H1134" s="126"/>
      <c r="I1134" s="126"/>
      <c r="J1134" s="126"/>
      <c r="K1134" s="126"/>
      <c r="L1134" s="126"/>
      <c r="M1134" s="125"/>
      <c r="N1134" s="126"/>
    </row>
    <row r="1135" spans="1:14" x14ac:dyDescent="0.35">
      <c r="A1135" s="126"/>
      <c r="B1135" s="127"/>
      <c r="C1135" s="126"/>
      <c r="D1135" s="126"/>
      <c r="E1135" s="128"/>
      <c r="F1135" s="128"/>
      <c r="G1135" s="126"/>
      <c r="H1135" s="126"/>
      <c r="I1135" s="126"/>
      <c r="J1135" s="126"/>
      <c r="K1135" s="126"/>
      <c r="L1135" s="126"/>
      <c r="M1135" s="125"/>
      <c r="N1135" s="126"/>
    </row>
    <row r="1136" spans="1:14" x14ac:dyDescent="0.35">
      <c r="A1136" s="126"/>
      <c r="B1136" s="127"/>
      <c r="C1136" s="126"/>
      <c r="D1136" s="126"/>
      <c r="E1136" s="128"/>
      <c r="F1136" s="128"/>
      <c r="G1136" s="126"/>
      <c r="H1136" s="126"/>
      <c r="I1136" s="126"/>
      <c r="J1136" s="126"/>
      <c r="K1136" s="126"/>
      <c r="L1136" s="126"/>
      <c r="M1136" s="125"/>
      <c r="N1136" s="126"/>
    </row>
    <row r="1137" spans="1:14" x14ac:dyDescent="0.35">
      <c r="A1137" s="126"/>
      <c r="B1137" s="127"/>
      <c r="C1137" s="126"/>
      <c r="D1137" s="126"/>
      <c r="E1137" s="128"/>
      <c r="F1137" s="128"/>
      <c r="G1137" s="126"/>
      <c r="H1137" s="126"/>
      <c r="I1137" s="126"/>
      <c r="J1137" s="126"/>
      <c r="K1137" s="126"/>
      <c r="L1137" s="126"/>
      <c r="M1137" s="125"/>
      <c r="N1137" s="126"/>
    </row>
    <row r="1138" spans="1:14" x14ac:dyDescent="0.35">
      <c r="A1138" s="126"/>
      <c r="B1138" s="127"/>
      <c r="C1138" s="126"/>
      <c r="D1138" s="126"/>
      <c r="E1138" s="128"/>
      <c r="F1138" s="128"/>
      <c r="G1138" s="126"/>
      <c r="H1138" s="126"/>
      <c r="I1138" s="126"/>
      <c r="J1138" s="126"/>
      <c r="K1138" s="126"/>
      <c r="L1138" s="126"/>
      <c r="M1138" s="125"/>
      <c r="N1138" s="126"/>
    </row>
    <row r="1139" spans="1:14" x14ac:dyDescent="0.35">
      <c r="A1139" s="126"/>
      <c r="B1139" s="127"/>
      <c r="C1139" s="126"/>
      <c r="D1139" s="126"/>
      <c r="E1139" s="128"/>
      <c r="F1139" s="128"/>
      <c r="G1139" s="126"/>
      <c r="H1139" s="126"/>
      <c r="I1139" s="126"/>
      <c r="J1139" s="126"/>
      <c r="K1139" s="126"/>
      <c r="L1139" s="126"/>
      <c r="M1139" s="125"/>
      <c r="N1139" s="126"/>
    </row>
    <row r="1140" spans="1:14" x14ac:dyDescent="0.35">
      <c r="A1140" s="126"/>
      <c r="B1140" s="127"/>
      <c r="C1140" s="126"/>
      <c r="D1140" s="126"/>
      <c r="E1140" s="128"/>
      <c r="F1140" s="128"/>
      <c r="G1140" s="126"/>
      <c r="H1140" s="126"/>
      <c r="I1140" s="126"/>
      <c r="J1140" s="126"/>
      <c r="K1140" s="126"/>
      <c r="L1140" s="126"/>
      <c r="M1140" s="125"/>
      <c r="N1140" s="126"/>
    </row>
    <row r="1141" spans="1:14" x14ac:dyDescent="0.35">
      <c r="A1141" s="126"/>
      <c r="B1141" s="127"/>
      <c r="C1141" s="126"/>
      <c r="D1141" s="126"/>
      <c r="E1141" s="128"/>
      <c r="F1141" s="128"/>
      <c r="G1141" s="126"/>
      <c r="H1141" s="126"/>
      <c r="I1141" s="126"/>
      <c r="J1141" s="126"/>
      <c r="K1141" s="126"/>
      <c r="L1141" s="126"/>
      <c r="M1141" s="125"/>
      <c r="N1141" s="126"/>
    </row>
    <row r="1142" spans="1:14" x14ac:dyDescent="0.35">
      <c r="A1142" s="126"/>
      <c r="B1142" s="127"/>
      <c r="C1142" s="126"/>
      <c r="D1142" s="126"/>
      <c r="E1142" s="128"/>
      <c r="F1142" s="128"/>
      <c r="G1142" s="126"/>
      <c r="H1142" s="126"/>
      <c r="I1142" s="126"/>
      <c r="J1142" s="126"/>
      <c r="K1142" s="126"/>
      <c r="L1142" s="126"/>
      <c r="M1142" s="125"/>
      <c r="N1142" s="126"/>
    </row>
    <row r="1143" spans="1:14" x14ac:dyDescent="0.35">
      <c r="A1143" s="126"/>
      <c r="B1143" s="127"/>
      <c r="C1143" s="126"/>
      <c r="D1143" s="126"/>
      <c r="E1143" s="128"/>
      <c r="F1143" s="128"/>
      <c r="G1143" s="126"/>
      <c r="H1143" s="126"/>
      <c r="I1143" s="126"/>
      <c r="J1143" s="126"/>
      <c r="K1143" s="126"/>
      <c r="L1143" s="126"/>
      <c r="M1143" s="125"/>
      <c r="N1143" s="126"/>
    </row>
    <row r="1144" spans="1:14" x14ac:dyDescent="0.35">
      <c r="A1144" s="126"/>
      <c r="B1144" s="127"/>
      <c r="C1144" s="126"/>
      <c r="D1144" s="126"/>
      <c r="E1144" s="128"/>
      <c r="F1144" s="128"/>
      <c r="G1144" s="126"/>
      <c r="H1144" s="126"/>
      <c r="I1144" s="126"/>
      <c r="J1144" s="126"/>
      <c r="K1144" s="126"/>
      <c r="L1144" s="126"/>
      <c r="M1144" s="125"/>
      <c r="N1144" s="126"/>
    </row>
    <row r="1145" spans="1:14" x14ac:dyDescent="0.35">
      <c r="A1145" s="126"/>
      <c r="B1145" s="127"/>
      <c r="C1145" s="126"/>
      <c r="D1145" s="126"/>
      <c r="E1145" s="128"/>
      <c r="F1145" s="128"/>
      <c r="G1145" s="126"/>
      <c r="H1145" s="126"/>
      <c r="I1145" s="126"/>
      <c r="J1145" s="126"/>
      <c r="K1145" s="126"/>
      <c r="L1145" s="126"/>
      <c r="M1145" s="125"/>
      <c r="N1145" s="126"/>
    </row>
    <row r="1146" spans="1:14" x14ac:dyDescent="0.35">
      <c r="A1146" s="126"/>
      <c r="B1146" s="127"/>
      <c r="C1146" s="126"/>
      <c r="D1146" s="126"/>
      <c r="E1146" s="128"/>
      <c r="F1146" s="128"/>
      <c r="G1146" s="126"/>
      <c r="H1146" s="126"/>
      <c r="I1146" s="126"/>
      <c r="J1146" s="126"/>
      <c r="K1146" s="126"/>
      <c r="L1146" s="126"/>
      <c r="M1146" s="125"/>
      <c r="N1146" s="126"/>
    </row>
    <row r="1147" spans="1:14" x14ac:dyDescent="0.35">
      <c r="A1147" s="126"/>
      <c r="B1147" s="127"/>
      <c r="C1147" s="126"/>
      <c r="D1147" s="126"/>
      <c r="E1147" s="128"/>
      <c r="F1147" s="128"/>
      <c r="G1147" s="126"/>
      <c r="H1147" s="126"/>
      <c r="I1147" s="126"/>
      <c r="J1147" s="126"/>
      <c r="K1147" s="126"/>
      <c r="L1147" s="126"/>
      <c r="M1147" s="125"/>
      <c r="N1147" s="126"/>
    </row>
    <row r="1148" spans="1:14" x14ac:dyDescent="0.35">
      <c r="A1148" s="126"/>
      <c r="B1148" s="127"/>
      <c r="C1148" s="126"/>
      <c r="D1148" s="126"/>
      <c r="E1148" s="128"/>
      <c r="F1148" s="128"/>
      <c r="G1148" s="126"/>
      <c r="H1148" s="126"/>
      <c r="I1148" s="126"/>
      <c r="J1148" s="126"/>
      <c r="K1148" s="126"/>
      <c r="L1148" s="126"/>
      <c r="M1148" s="125"/>
      <c r="N1148" s="126"/>
    </row>
    <row r="1149" spans="1:14" x14ac:dyDescent="0.35">
      <c r="A1149" s="126"/>
      <c r="B1149" s="127"/>
      <c r="C1149" s="126"/>
      <c r="D1149" s="126"/>
      <c r="E1149" s="128"/>
      <c r="F1149" s="128"/>
      <c r="G1149" s="126"/>
      <c r="H1149" s="126"/>
      <c r="I1149" s="126"/>
      <c r="J1149" s="126"/>
      <c r="K1149" s="126"/>
      <c r="L1149" s="126"/>
      <c r="M1149" s="125"/>
      <c r="N1149" s="126"/>
    </row>
    <row r="1150" spans="1:14" x14ac:dyDescent="0.35">
      <c r="A1150" s="126"/>
      <c r="B1150" s="127"/>
      <c r="C1150" s="126"/>
      <c r="D1150" s="126"/>
      <c r="E1150" s="128"/>
      <c r="F1150" s="128"/>
      <c r="G1150" s="126"/>
      <c r="H1150" s="126"/>
      <c r="I1150" s="126"/>
      <c r="J1150" s="126"/>
      <c r="K1150" s="126"/>
      <c r="L1150" s="126"/>
      <c r="M1150" s="125"/>
      <c r="N1150" s="126"/>
    </row>
    <row r="1151" spans="1:14" x14ac:dyDescent="0.35">
      <c r="A1151" s="126"/>
      <c r="B1151" s="127"/>
      <c r="C1151" s="126"/>
      <c r="D1151" s="126"/>
      <c r="E1151" s="128"/>
      <c r="F1151" s="128"/>
      <c r="G1151" s="126"/>
      <c r="H1151" s="126"/>
      <c r="I1151" s="126"/>
      <c r="J1151" s="126"/>
      <c r="K1151" s="126"/>
      <c r="L1151" s="126"/>
      <c r="M1151" s="125"/>
      <c r="N1151" s="126"/>
    </row>
    <row r="1152" spans="1:14" x14ac:dyDescent="0.35">
      <c r="A1152" s="126"/>
      <c r="B1152" s="127"/>
      <c r="C1152" s="126"/>
      <c r="D1152" s="126"/>
      <c r="E1152" s="128"/>
      <c r="F1152" s="128"/>
      <c r="G1152" s="126"/>
      <c r="H1152" s="126"/>
      <c r="I1152" s="126"/>
      <c r="J1152" s="126"/>
      <c r="K1152" s="126"/>
      <c r="L1152" s="126"/>
      <c r="M1152" s="125"/>
      <c r="N1152" s="126"/>
    </row>
    <row r="1153" spans="1:14" x14ac:dyDescent="0.35">
      <c r="A1153" s="126"/>
      <c r="B1153" s="127"/>
      <c r="C1153" s="126"/>
      <c r="D1153" s="126"/>
      <c r="E1153" s="128"/>
      <c r="F1153" s="128"/>
      <c r="G1153" s="126"/>
      <c r="H1153" s="126"/>
      <c r="I1153" s="126"/>
      <c r="J1153" s="126"/>
      <c r="K1153" s="126"/>
      <c r="L1153" s="126"/>
      <c r="M1153" s="125"/>
      <c r="N1153" s="126"/>
    </row>
    <row r="1154" spans="1:14" x14ac:dyDescent="0.35">
      <c r="A1154" s="126"/>
      <c r="B1154" s="127"/>
      <c r="C1154" s="126"/>
      <c r="D1154" s="126"/>
      <c r="E1154" s="128"/>
      <c r="F1154" s="128"/>
      <c r="G1154" s="126"/>
      <c r="H1154" s="126"/>
      <c r="I1154" s="126"/>
      <c r="J1154" s="126"/>
      <c r="K1154" s="126"/>
      <c r="L1154" s="126"/>
      <c r="M1154" s="125"/>
      <c r="N1154" s="126"/>
    </row>
    <row r="1155" spans="1:14" x14ac:dyDescent="0.35">
      <c r="A1155" s="126"/>
      <c r="B1155" s="127"/>
      <c r="C1155" s="126"/>
      <c r="D1155" s="126"/>
      <c r="E1155" s="128"/>
      <c r="F1155" s="128"/>
      <c r="G1155" s="126"/>
      <c r="H1155" s="126"/>
      <c r="I1155" s="126"/>
      <c r="J1155" s="126"/>
      <c r="K1155" s="126"/>
      <c r="L1155" s="126"/>
      <c r="M1155" s="125"/>
      <c r="N1155" s="126"/>
    </row>
    <row r="1156" spans="1:14" x14ac:dyDescent="0.35">
      <c r="A1156" s="126"/>
      <c r="B1156" s="127"/>
      <c r="C1156" s="126"/>
      <c r="D1156" s="126"/>
      <c r="E1156" s="128"/>
      <c r="F1156" s="128"/>
      <c r="G1156" s="126"/>
      <c r="H1156" s="126"/>
      <c r="I1156" s="126"/>
      <c r="J1156" s="126"/>
      <c r="K1156" s="126"/>
      <c r="L1156" s="126"/>
      <c r="M1156" s="125"/>
      <c r="N1156" s="126"/>
    </row>
    <row r="1157" spans="1:14" x14ac:dyDescent="0.35">
      <c r="A1157" s="126"/>
      <c r="B1157" s="127"/>
      <c r="C1157" s="126"/>
      <c r="D1157" s="126"/>
      <c r="E1157" s="128"/>
      <c r="F1157" s="128"/>
      <c r="G1157" s="126"/>
      <c r="H1157" s="126"/>
      <c r="I1157" s="126"/>
      <c r="J1157" s="126"/>
      <c r="K1157" s="126"/>
      <c r="L1157" s="126"/>
      <c r="M1157" s="125"/>
      <c r="N1157" s="126"/>
    </row>
    <row r="1158" spans="1:14" x14ac:dyDescent="0.35">
      <c r="A1158" s="126"/>
      <c r="B1158" s="127"/>
      <c r="C1158" s="126"/>
      <c r="D1158" s="126"/>
      <c r="E1158" s="128"/>
      <c r="F1158" s="128"/>
      <c r="G1158" s="126"/>
      <c r="H1158" s="126"/>
      <c r="I1158" s="126"/>
      <c r="J1158" s="126"/>
      <c r="K1158" s="126"/>
      <c r="L1158" s="126"/>
      <c r="M1158" s="125"/>
      <c r="N1158" s="126"/>
    </row>
    <row r="1159" spans="1:14" x14ac:dyDescent="0.35">
      <c r="A1159" s="126"/>
      <c r="B1159" s="127"/>
      <c r="C1159" s="126"/>
      <c r="D1159" s="126"/>
      <c r="E1159" s="128"/>
      <c r="F1159" s="128"/>
      <c r="G1159" s="126"/>
      <c r="H1159" s="126"/>
      <c r="I1159" s="126"/>
      <c r="J1159" s="126"/>
      <c r="K1159" s="126"/>
      <c r="L1159" s="126"/>
      <c r="M1159" s="125"/>
      <c r="N1159" s="126"/>
    </row>
    <row r="1160" spans="1:14" x14ac:dyDescent="0.35">
      <c r="A1160" s="126"/>
      <c r="B1160" s="127"/>
      <c r="C1160" s="126"/>
      <c r="D1160" s="126"/>
      <c r="E1160" s="128"/>
      <c r="F1160" s="128"/>
      <c r="G1160" s="126"/>
      <c r="H1160" s="126"/>
      <c r="I1160" s="126"/>
      <c r="J1160" s="126"/>
      <c r="K1160" s="126"/>
      <c r="L1160" s="126"/>
      <c r="M1160" s="125"/>
      <c r="N1160" s="126"/>
    </row>
    <row r="1161" spans="1:14" x14ac:dyDescent="0.35">
      <c r="A1161" s="126"/>
      <c r="B1161" s="127"/>
      <c r="C1161" s="126"/>
      <c r="D1161" s="126"/>
      <c r="E1161" s="128"/>
      <c r="F1161" s="128"/>
      <c r="G1161" s="126"/>
      <c r="H1161" s="126"/>
      <c r="I1161" s="126"/>
      <c r="J1161" s="126"/>
      <c r="K1161" s="126"/>
      <c r="L1161" s="126"/>
      <c r="M1161" s="125"/>
      <c r="N1161" s="126"/>
    </row>
    <row r="1162" spans="1:14" x14ac:dyDescent="0.35">
      <c r="A1162" s="126"/>
      <c r="B1162" s="127"/>
      <c r="C1162" s="126"/>
      <c r="D1162" s="126"/>
      <c r="E1162" s="128"/>
      <c r="F1162" s="128"/>
      <c r="G1162" s="126"/>
      <c r="H1162" s="126"/>
      <c r="I1162" s="126"/>
      <c r="J1162" s="126"/>
      <c r="K1162" s="126"/>
      <c r="L1162" s="126"/>
      <c r="M1162" s="125"/>
      <c r="N1162" s="126"/>
    </row>
    <row r="1163" spans="1:14" x14ac:dyDescent="0.35">
      <c r="A1163" s="126"/>
      <c r="B1163" s="127"/>
      <c r="C1163" s="126"/>
      <c r="D1163" s="126"/>
      <c r="E1163" s="128"/>
      <c r="F1163" s="128"/>
      <c r="G1163" s="126"/>
      <c r="H1163" s="126"/>
      <c r="I1163" s="126"/>
      <c r="J1163" s="126"/>
      <c r="K1163" s="126"/>
      <c r="L1163" s="126"/>
      <c r="M1163" s="125"/>
      <c r="N1163" s="126"/>
    </row>
    <row r="1164" spans="1:14" x14ac:dyDescent="0.35">
      <c r="A1164" s="126"/>
      <c r="B1164" s="127"/>
      <c r="C1164" s="126"/>
      <c r="D1164" s="126"/>
      <c r="E1164" s="128"/>
      <c r="F1164" s="128"/>
      <c r="G1164" s="126"/>
      <c r="H1164" s="126"/>
      <c r="I1164" s="126"/>
      <c r="J1164" s="126"/>
      <c r="K1164" s="126"/>
      <c r="L1164" s="126"/>
      <c r="M1164" s="125"/>
      <c r="N1164" s="126"/>
    </row>
    <row r="1165" spans="1:14" x14ac:dyDescent="0.35">
      <c r="A1165" s="126"/>
      <c r="B1165" s="127"/>
      <c r="C1165" s="126"/>
      <c r="D1165" s="126"/>
      <c r="E1165" s="128"/>
      <c r="F1165" s="128"/>
      <c r="G1165" s="126"/>
      <c r="H1165" s="126"/>
      <c r="I1165" s="126"/>
      <c r="J1165" s="126"/>
      <c r="K1165" s="126"/>
      <c r="L1165" s="126"/>
      <c r="M1165" s="125"/>
      <c r="N1165" s="126"/>
    </row>
    <row r="1166" spans="1:14" x14ac:dyDescent="0.35">
      <c r="A1166" s="126"/>
      <c r="B1166" s="127"/>
      <c r="C1166" s="126"/>
      <c r="D1166" s="126"/>
      <c r="E1166" s="128"/>
      <c r="F1166" s="128"/>
      <c r="G1166" s="126"/>
      <c r="H1166" s="126"/>
      <c r="I1166" s="126"/>
      <c r="J1166" s="126"/>
      <c r="K1166" s="126"/>
      <c r="L1166" s="126"/>
      <c r="M1166" s="125"/>
      <c r="N1166" s="126"/>
    </row>
    <row r="1167" spans="1:14" x14ac:dyDescent="0.35">
      <c r="A1167" s="126"/>
      <c r="B1167" s="127"/>
      <c r="C1167" s="126"/>
      <c r="D1167" s="126"/>
      <c r="E1167" s="128"/>
      <c r="F1167" s="128"/>
      <c r="G1167" s="126"/>
      <c r="H1167" s="126"/>
      <c r="I1167" s="126"/>
      <c r="J1167" s="126"/>
      <c r="K1167" s="126"/>
      <c r="L1167" s="126"/>
      <c r="M1167" s="125"/>
      <c r="N1167" s="126"/>
    </row>
    <row r="1168" spans="1:14" x14ac:dyDescent="0.35">
      <c r="A1168" s="126"/>
      <c r="B1168" s="127"/>
      <c r="C1168" s="126"/>
      <c r="D1168" s="126"/>
      <c r="E1168" s="128"/>
      <c r="F1168" s="128"/>
      <c r="G1168" s="126"/>
      <c r="H1168" s="126"/>
      <c r="I1168" s="126"/>
      <c r="J1168" s="126"/>
      <c r="K1168" s="126"/>
      <c r="L1168" s="126"/>
      <c r="M1168" s="125"/>
      <c r="N1168" s="126"/>
    </row>
    <row r="1169" spans="1:14" x14ac:dyDescent="0.35">
      <c r="A1169" s="126"/>
      <c r="B1169" s="127"/>
      <c r="C1169" s="126"/>
      <c r="D1169" s="126"/>
      <c r="E1169" s="128"/>
      <c r="F1169" s="128"/>
      <c r="G1169" s="126"/>
      <c r="H1169" s="126"/>
      <c r="I1169" s="126"/>
      <c r="J1169" s="126"/>
      <c r="K1169" s="126"/>
      <c r="L1169" s="126"/>
      <c r="M1169" s="125"/>
      <c r="N1169" s="126"/>
    </row>
    <row r="1170" spans="1:14" x14ac:dyDescent="0.35">
      <c r="A1170" s="126"/>
      <c r="B1170" s="127"/>
      <c r="C1170" s="126"/>
      <c r="D1170" s="126"/>
      <c r="E1170" s="128"/>
      <c r="F1170" s="128"/>
      <c r="G1170" s="126"/>
      <c r="H1170" s="126"/>
      <c r="I1170" s="126"/>
      <c r="J1170" s="126"/>
      <c r="K1170" s="126"/>
      <c r="L1170" s="126"/>
      <c r="M1170" s="125"/>
      <c r="N1170" s="126"/>
    </row>
    <row r="1171" spans="1:14" x14ac:dyDescent="0.35">
      <c r="A1171" s="126"/>
      <c r="B1171" s="127"/>
      <c r="C1171" s="126"/>
      <c r="D1171" s="126"/>
      <c r="E1171" s="128"/>
      <c r="F1171" s="128"/>
      <c r="G1171" s="126"/>
      <c r="H1171" s="126"/>
      <c r="I1171" s="126"/>
      <c r="J1171" s="126"/>
      <c r="K1171" s="126"/>
      <c r="L1171" s="126"/>
      <c r="M1171" s="125"/>
      <c r="N1171" s="126"/>
    </row>
    <row r="1172" spans="1:14" x14ac:dyDescent="0.35">
      <c r="A1172" s="126"/>
      <c r="B1172" s="127"/>
      <c r="C1172" s="126"/>
      <c r="D1172" s="126"/>
      <c r="E1172" s="128"/>
      <c r="F1172" s="128"/>
      <c r="G1172" s="126"/>
      <c r="H1172" s="126"/>
      <c r="I1172" s="126"/>
      <c r="J1172" s="126"/>
      <c r="K1172" s="126"/>
      <c r="L1172" s="126"/>
      <c r="M1172" s="125"/>
      <c r="N1172" s="126"/>
    </row>
    <row r="1173" spans="1:14" x14ac:dyDescent="0.35">
      <c r="A1173" s="126"/>
      <c r="B1173" s="127"/>
      <c r="C1173" s="126"/>
      <c r="D1173" s="126"/>
      <c r="E1173" s="128"/>
      <c r="F1173" s="128"/>
      <c r="G1173" s="126"/>
      <c r="H1173" s="126"/>
      <c r="I1173" s="126"/>
      <c r="J1173" s="126"/>
      <c r="K1173" s="126"/>
      <c r="L1173" s="126"/>
      <c r="M1173" s="125"/>
      <c r="N1173" s="126"/>
    </row>
    <row r="1174" spans="1:14" x14ac:dyDescent="0.35">
      <c r="A1174" s="126"/>
      <c r="B1174" s="127"/>
      <c r="C1174" s="126"/>
      <c r="D1174" s="126"/>
      <c r="E1174" s="128"/>
      <c r="F1174" s="128"/>
      <c r="G1174" s="126"/>
      <c r="H1174" s="126"/>
      <c r="I1174" s="126"/>
      <c r="J1174" s="126"/>
      <c r="K1174" s="126"/>
      <c r="L1174" s="126"/>
      <c r="M1174" s="125"/>
      <c r="N1174" s="126"/>
    </row>
    <row r="1175" spans="1:14" x14ac:dyDescent="0.35">
      <c r="A1175" s="126"/>
      <c r="B1175" s="127"/>
      <c r="C1175" s="126"/>
      <c r="D1175" s="126"/>
      <c r="E1175" s="128"/>
      <c r="F1175" s="128"/>
      <c r="G1175" s="126"/>
      <c r="H1175" s="126"/>
      <c r="I1175" s="126"/>
      <c r="J1175" s="126"/>
      <c r="K1175" s="126"/>
      <c r="L1175" s="126"/>
      <c r="M1175" s="125"/>
      <c r="N1175" s="126"/>
    </row>
    <row r="1176" spans="1:14" x14ac:dyDescent="0.35">
      <c r="A1176" s="126"/>
      <c r="B1176" s="127"/>
      <c r="C1176" s="126"/>
      <c r="D1176" s="126"/>
      <c r="E1176" s="128"/>
      <c r="F1176" s="128"/>
      <c r="G1176" s="126"/>
      <c r="H1176" s="126"/>
      <c r="I1176" s="126"/>
      <c r="J1176" s="126"/>
      <c r="K1176" s="126"/>
      <c r="L1176" s="126"/>
      <c r="M1176" s="125"/>
      <c r="N1176" s="126"/>
    </row>
    <row r="1177" spans="1:14" x14ac:dyDescent="0.35">
      <c r="A1177" s="126"/>
      <c r="B1177" s="127"/>
      <c r="C1177" s="126"/>
      <c r="D1177" s="126"/>
      <c r="E1177" s="128"/>
      <c r="F1177" s="128"/>
      <c r="G1177" s="126"/>
      <c r="H1177" s="126"/>
      <c r="I1177" s="126"/>
      <c r="J1177" s="126"/>
      <c r="K1177" s="126"/>
      <c r="L1177" s="126"/>
      <c r="M1177" s="125"/>
      <c r="N1177" s="126"/>
    </row>
    <row r="1178" spans="1:14" x14ac:dyDescent="0.35">
      <c r="A1178" s="126"/>
      <c r="B1178" s="127"/>
      <c r="C1178" s="126"/>
      <c r="D1178" s="126"/>
      <c r="E1178" s="128"/>
      <c r="F1178" s="128"/>
      <c r="G1178" s="126"/>
      <c r="H1178" s="126"/>
      <c r="I1178" s="126"/>
      <c r="J1178" s="126"/>
      <c r="K1178" s="126"/>
      <c r="L1178" s="126"/>
      <c r="M1178" s="125"/>
      <c r="N1178" s="126"/>
    </row>
    <row r="1179" spans="1:14" x14ac:dyDescent="0.35">
      <c r="A1179" s="126"/>
      <c r="B1179" s="127"/>
      <c r="C1179" s="126"/>
      <c r="D1179" s="126"/>
      <c r="E1179" s="128"/>
      <c r="F1179" s="128"/>
      <c r="G1179" s="126"/>
      <c r="H1179" s="126"/>
      <c r="I1179" s="126"/>
      <c r="J1179" s="126"/>
      <c r="K1179" s="126"/>
      <c r="L1179" s="126"/>
      <c r="M1179" s="125"/>
      <c r="N1179" s="126"/>
    </row>
    <row r="1180" spans="1:14" x14ac:dyDescent="0.35">
      <c r="A1180" s="126"/>
      <c r="B1180" s="127"/>
      <c r="C1180" s="126"/>
      <c r="D1180" s="126"/>
      <c r="E1180" s="128"/>
      <c r="F1180" s="128"/>
      <c r="G1180" s="126"/>
      <c r="H1180" s="126"/>
      <c r="I1180" s="126"/>
      <c r="J1180" s="126"/>
      <c r="K1180" s="126"/>
      <c r="L1180" s="126"/>
      <c r="M1180" s="125"/>
      <c r="N1180" s="126"/>
    </row>
    <row r="1181" spans="1:14" x14ac:dyDescent="0.35">
      <c r="A1181" s="126"/>
      <c r="B1181" s="127"/>
      <c r="C1181" s="126"/>
      <c r="D1181" s="126"/>
      <c r="E1181" s="128"/>
      <c r="F1181" s="128"/>
      <c r="G1181" s="126"/>
      <c r="H1181" s="126"/>
      <c r="I1181" s="126"/>
      <c r="J1181" s="126"/>
      <c r="K1181" s="126"/>
      <c r="L1181" s="126"/>
      <c r="M1181" s="125"/>
      <c r="N1181" s="126"/>
    </row>
    <row r="1182" spans="1:14" x14ac:dyDescent="0.35">
      <c r="A1182" s="126"/>
      <c r="B1182" s="127"/>
      <c r="C1182" s="126"/>
      <c r="D1182" s="126"/>
      <c r="E1182" s="128"/>
      <c r="F1182" s="128"/>
      <c r="G1182" s="126"/>
      <c r="H1182" s="126"/>
      <c r="I1182" s="126"/>
      <c r="J1182" s="126"/>
      <c r="K1182" s="126"/>
      <c r="L1182" s="126"/>
      <c r="M1182" s="125"/>
      <c r="N1182" s="126"/>
    </row>
    <row r="1183" spans="1:14" x14ac:dyDescent="0.35">
      <c r="A1183" s="126"/>
      <c r="B1183" s="127"/>
      <c r="C1183" s="126"/>
      <c r="D1183" s="126"/>
      <c r="E1183" s="128"/>
      <c r="F1183" s="128"/>
      <c r="G1183" s="126"/>
      <c r="H1183" s="126"/>
      <c r="I1183" s="126"/>
      <c r="J1183" s="126"/>
      <c r="K1183" s="126"/>
      <c r="L1183" s="126"/>
      <c r="M1183" s="125"/>
      <c r="N1183" s="126"/>
    </row>
    <row r="1184" spans="1:14" x14ac:dyDescent="0.35">
      <c r="A1184" s="126"/>
      <c r="B1184" s="127"/>
      <c r="C1184" s="126"/>
      <c r="D1184" s="126"/>
      <c r="E1184" s="128"/>
      <c r="F1184" s="128"/>
      <c r="G1184" s="126"/>
      <c r="H1184" s="126"/>
      <c r="I1184" s="126"/>
      <c r="J1184" s="126"/>
      <c r="K1184" s="126"/>
      <c r="L1184" s="126"/>
      <c r="M1184" s="125"/>
      <c r="N1184" s="126"/>
    </row>
    <row r="1185" spans="1:14" x14ac:dyDescent="0.35">
      <c r="A1185" s="126"/>
      <c r="B1185" s="127"/>
      <c r="C1185" s="126"/>
      <c r="D1185" s="126"/>
      <c r="E1185" s="128"/>
      <c r="F1185" s="128"/>
      <c r="G1185" s="126"/>
      <c r="H1185" s="126"/>
      <c r="I1185" s="126"/>
      <c r="J1185" s="126"/>
      <c r="K1185" s="126"/>
      <c r="L1185" s="126"/>
      <c r="M1185" s="125"/>
      <c r="N1185" s="126"/>
    </row>
    <row r="1186" spans="1:14" x14ac:dyDescent="0.35">
      <c r="A1186" s="126"/>
      <c r="B1186" s="127"/>
      <c r="C1186" s="126"/>
      <c r="D1186" s="126"/>
      <c r="E1186" s="128"/>
      <c r="F1186" s="128"/>
      <c r="G1186" s="126"/>
      <c r="H1186" s="126"/>
      <c r="I1186" s="126"/>
      <c r="J1186" s="126"/>
      <c r="K1186" s="126"/>
      <c r="L1186" s="126"/>
      <c r="M1186" s="125"/>
      <c r="N1186" s="126"/>
    </row>
    <row r="1187" spans="1:14" x14ac:dyDescent="0.35">
      <c r="A1187" s="126"/>
      <c r="B1187" s="127"/>
      <c r="C1187" s="126"/>
      <c r="D1187" s="126"/>
      <c r="E1187" s="128"/>
      <c r="F1187" s="128"/>
      <c r="G1187" s="126"/>
      <c r="H1187" s="126"/>
      <c r="I1187" s="126"/>
      <c r="J1187" s="126"/>
      <c r="K1187" s="126"/>
      <c r="L1187" s="126"/>
      <c r="M1187" s="125"/>
      <c r="N1187" s="126"/>
    </row>
    <row r="1188" spans="1:14" x14ac:dyDescent="0.35">
      <c r="A1188" s="126"/>
      <c r="B1188" s="127"/>
      <c r="C1188" s="126"/>
      <c r="D1188" s="126"/>
      <c r="E1188" s="128"/>
      <c r="F1188" s="128"/>
      <c r="G1188" s="126"/>
      <c r="H1188" s="126"/>
      <c r="I1188" s="126"/>
      <c r="J1188" s="126"/>
      <c r="K1188" s="126"/>
      <c r="L1188" s="126"/>
      <c r="M1188" s="125"/>
      <c r="N1188" s="126"/>
    </row>
    <row r="1189" spans="1:14" x14ac:dyDescent="0.35">
      <c r="A1189" s="126"/>
      <c r="B1189" s="127"/>
      <c r="C1189" s="126"/>
      <c r="D1189" s="126"/>
      <c r="E1189" s="128"/>
      <c r="F1189" s="128"/>
      <c r="G1189" s="126"/>
      <c r="H1189" s="126"/>
      <c r="I1189" s="126"/>
      <c r="J1189" s="126"/>
      <c r="K1189" s="126"/>
      <c r="L1189" s="126"/>
      <c r="M1189" s="125"/>
      <c r="N1189" s="126"/>
    </row>
    <row r="1190" spans="1:14" x14ac:dyDescent="0.35">
      <c r="A1190" s="126"/>
      <c r="B1190" s="127"/>
      <c r="C1190" s="126"/>
      <c r="D1190" s="126"/>
      <c r="E1190" s="128"/>
      <c r="F1190" s="128"/>
      <c r="G1190" s="126"/>
      <c r="H1190" s="126"/>
      <c r="I1190" s="126"/>
      <c r="J1190" s="126"/>
      <c r="K1190" s="126"/>
      <c r="L1190" s="126"/>
      <c r="M1190" s="125"/>
      <c r="N1190" s="126"/>
    </row>
    <row r="1191" spans="1:14" x14ac:dyDescent="0.35">
      <c r="A1191" s="126"/>
      <c r="B1191" s="127"/>
      <c r="C1191" s="126"/>
      <c r="D1191" s="126"/>
      <c r="E1191" s="128"/>
      <c r="F1191" s="128"/>
      <c r="G1191" s="126"/>
      <c r="H1191" s="126"/>
      <c r="I1191" s="126"/>
      <c r="J1191" s="126"/>
      <c r="K1191" s="126"/>
      <c r="L1191" s="126"/>
      <c r="M1191" s="125"/>
      <c r="N1191" s="126"/>
    </row>
    <row r="1192" spans="1:14" x14ac:dyDescent="0.35">
      <c r="A1192" s="126"/>
      <c r="B1192" s="127"/>
      <c r="C1192" s="126"/>
      <c r="D1192" s="126"/>
      <c r="E1192" s="128"/>
      <c r="F1192" s="128"/>
      <c r="G1192" s="126"/>
      <c r="H1192" s="126"/>
      <c r="I1192" s="126"/>
      <c r="J1192" s="126"/>
      <c r="K1192" s="126"/>
      <c r="L1192" s="126"/>
      <c r="M1192" s="125"/>
      <c r="N1192" s="126"/>
    </row>
    <row r="1193" spans="1:14" x14ac:dyDescent="0.35">
      <c r="A1193" s="126"/>
      <c r="B1193" s="127"/>
      <c r="C1193" s="126"/>
      <c r="D1193" s="126"/>
      <c r="E1193" s="128"/>
      <c r="F1193" s="128"/>
      <c r="G1193" s="126"/>
      <c r="H1193" s="126"/>
      <c r="I1193" s="126"/>
      <c r="J1193" s="126"/>
      <c r="K1193" s="126"/>
      <c r="L1193" s="126"/>
      <c r="M1193" s="125"/>
      <c r="N1193" s="126"/>
    </row>
    <row r="1194" spans="1:14" x14ac:dyDescent="0.35">
      <c r="A1194" s="126"/>
      <c r="B1194" s="127"/>
      <c r="C1194" s="126"/>
      <c r="D1194" s="126"/>
      <c r="E1194" s="128"/>
      <c r="F1194" s="128"/>
      <c r="G1194" s="126"/>
      <c r="H1194" s="126"/>
      <c r="I1194" s="126"/>
      <c r="J1194" s="126"/>
      <c r="K1194" s="126"/>
      <c r="L1194" s="126"/>
      <c r="M1194" s="125"/>
      <c r="N1194" s="126"/>
    </row>
    <row r="1195" spans="1:14" x14ac:dyDescent="0.35">
      <c r="A1195" s="126"/>
      <c r="B1195" s="127"/>
      <c r="C1195" s="126"/>
      <c r="D1195" s="126"/>
      <c r="E1195" s="128"/>
      <c r="F1195" s="128"/>
      <c r="G1195" s="126"/>
      <c r="H1195" s="126"/>
      <c r="I1195" s="126"/>
      <c r="J1195" s="126"/>
      <c r="K1195" s="126"/>
      <c r="L1195" s="126"/>
      <c r="M1195" s="125"/>
      <c r="N1195" s="126"/>
    </row>
    <row r="1196" spans="1:14" x14ac:dyDescent="0.35">
      <c r="A1196" s="126"/>
      <c r="B1196" s="127"/>
      <c r="C1196" s="126"/>
      <c r="D1196" s="126"/>
      <c r="E1196" s="128"/>
      <c r="F1196" s="128"/>
      <c r="G1196" s="126"/>
      <c r="H1196" s="126"/>
      <c r="I1196" s="126"/>
      <c r="J1196" s="126"/>
      <c r="K1196" s="126"/>
      <c r="L1196" s="126"/>
      <c r="M1196" s="125"/>
      <c r="N1196" s="126"/>
    </row>
    <row r="1197" spans="1:14" x14ac:dyDescent="0.35">
      <c r="A1197" s="126"/>
      <c r="B1197" s="127"/>
      <c r="C1197" s="126"/>
      <c r="D1197" s="126"/>
      <c r="E1197" s="128"/>
      <c r="F1197" s="128"/>
      <c r="G1197" s="126"/>
      <c r="H1197" s="126"/>
      <c r="I1197" s="126"/>
      <c r="J1197" s="126"/>
      <c r="K1197" s="126"/>
      <c r="L1197" s="126"/>
      <c r="M1197" s="125"/>
      <c r="N1197" s="126"/>
    </row>
    <row r="1198" spans="1:14" x14ac:dyDescent="0.35">
      <c r="A1198" s="126"/>
      <c r="B1198" s="127"/>
      <c r="C1198" s="126"/>
      <c r="D1198" s="126"/>
      <c r="E1198" s="128"/>
      <c r="F1198" s="128"/>
      <c r="G1198" s="126"/>
      <c r="H1198" s="126"/>
      <c r="I1198" s="126"/>
      <c r="J1198" s="126"/>
      <c r="K1198" s="126"/>
      <c r="L1198" s="126"/>
      <c r="M1198" s="125"/>
      <c r="N1198" s="126"/>
    </row>
    <row r="1199" spans="1:14" x14ac:dyDescent="0.35">
      <c r="A1199" s="126"/>
      <c r="B1199" s="127"/>
      <c r="C1199" s="126"/>
      <c r="D1199" s="126"/>
      <c r="E1199" s="128"/>
      <c r="F1199" s="128"/>
      <c r="G1199" s="126"/>
      <c r="H1199" s="126"/>
      <c r="I1199" s="126"/>
      <c r="J1199" s="126"/>
      <c r="K1199" s="126"/>
      <c r="L1199" s="126"/>
      <c r="M1199" s="125"/>
      <c r="N1199" s="126"/>
    </row>
    <row r="1200" spans="1:14" x14ac:dyDescent="0.35">
      <c r="A1200" s="126"/>
      <c r="B1200" s="127"/>
      <c r="C1200" s="126"/>
      <c r="D1200" s="126"/>
      <c r="E1200" s="128"/>
      <c r="F1200" s="128"/>
      <c r="G1200" s="126"/>
      <c r="H1200" s="126"/>
      <c r="I1200" s="126"/>
      <c r="J1200" s="126"/>
      <c r="K1200" s="126"/>
      <c r="L1200" s="126"/>
      <c r="M1200" s="125"/>
      <c r="N1200" s="126"/>
    </row>
    <row r="1201" spans="1:14" x14ac:dyDescent="0.35">
      <c r="A1201" s="126"/>
      <c r="B1201" s="127"/>
      <c r="C1201" s="126"/>
      <c r="D1201" s="126"/>
      <c r="E1201" s="128"/>
      <c r="F1201" s="128"/>
      <c r="G1201" s="126"/>
      <c r="H1201" s="126"/>
      <c r="I1201" s="126"/>
      <c r="J1201" s="126"/>
      <c r="K1201" s="126"/>
      <c r="L1201" s="126"/>
      <c r="M1201" s="125"/>
      <c r="N1201" s="126"/>
    </row>
    <row r="1202" spans="1:14" x14ac:dyDescent="0.35">
      <c r="A1202" s="126"/>
      <c r="B1202" s="127"/>
      <c r="C1202" s="126"/>
      <c r="D1202" s="126"/>
      <c r="E1202" s="128"/>
      <c r="F1202" s="128"/>
      <c r="G1202" s="126"/>
      <c r="H1202" s="126"/>
      <c r="I1202" s="126"/>
      <c r="J1202" s="126"/>
      <c r="K1202" s="126"/>
      <c r="L1202" s="126"/>
      <c r="M1202" s="125"/>
      <c r="N1202" s="126"/>
    </row>
    <row r="1203" spans="1:14" x14ac:dyDescent="0.35">
      <c r="A1203" s="126"/>
      <c r="B1203" s="127"/>
      <c r="C1203" s="126"/>
      <c r="D1203" s="126"/>
      <c r="E1203" s="128"/>
      <c r="F1203" s="128"/>
      <c r="G1203" s="126"/>
      <c r="H1203" s="126"/>
      <c r="I1203" s="126"/>
      <c r="J1203" s="126"/>
      <c r="K1203" s="126"/>
      <c r="L1203" s="126"/>
      <c r="M1203" s="125"/>
      <c r="N1203" s="126"/>
    </row>
    <row r="1204" spans="1:14" x14ac:dyDescent="0.35">
      <c r="A1204" s="126"/>
      <c r="B1204" s="127"/>
      <c r="C1204" s="126"/>
      <c r="D1204" s="126"/>
      <c r="E1204" s="128"/>
      <c r="F1204" s="128"/>
      <c r="G1204" s="126"/>
      <c r="H1204" s="126"/>
      <c r="I1204" s="126"/>
      <c r="J1204" s="126"/>
      <c r="K1204" s="126"/>
      <c r="L1204" s="126"/>
      <c r="M1204" s="125"/>
      <c r="N1204" s="126"/>
    </row>
    <row r="1205" spans="1:14" x14ac:dyDescent="0.35">
      <c r="A1205" s="126"/>
      <c r="B1205" s="127"/>
      <c r="C1205" s="126"/>
      <c r="D1205" s="126"/>
      <c r="E1205" s="128"/>
      <c r="F1205" s="128"/>
      <c r="G1205" s="126"/>
      <c r="H1205" s="126"/>
      <c r="I1205" s="126"/>
      <c r="J1205" s="126"/>
      <c r="K1205" s="126"/>
      <c r="L1205" s="126"/>
      <c r="M1205" s="125"/>
      <c r="N1205" s="126"/>
    </row>
    <row r="1206" spans="1:14" x14ac:dyDescent="0.35">
      <c r="A1206" s="126"/>
      <c r="B1206" s="127"/>
      <c r="C1206" s="126"/>
      <c r="D1206" s="126"/>
      <c r="E1206" s="128"/>
      <c r="F1206" s="128"/>
      <c r="G1206" s="126"/>
      <c r="H1206" s="126"/>
      <c r="I1206" s="126"/>
      <c r="J1206" s="126"/>
      <c r="K1206" s="126"/>
      <c r="L1206" s="126"/>
      <c r="M1206" s="125"/>
      <c r="N1206" s="126"/>
    </row>
    <row r="1207" spans="1:14" x14ac:dyDescent="0.35">
      <c r="A1207" s="126"/>
      <c r="B1207" s="127"/>
      <c r="C1207" s="126"/>
      <c r="D1207" s="126"/>
      <c r="E1207" s="128"/>
      <c r="F1207" s="128"/>
      <c r="G1207" s="126"/>
      <c r="H1207" s="126"/>
      <c r="I1207" s="126"/>
      <c r="J1207" s="126"/>
      <c r="K1207" s="126"/>
      <c r="L1207" s="126"/>
      <c r="M1207" s="125"/>
      <c r="N1207" s="126"/>
    </row>
    <row r="1208" spans="1:14" x14ac:dyDescent="0.35">
      <c r="A1208" s="126"/>
      <c r="B1208" s="127"/>
      <c r="C1208" s="126"/>
      <c r="D1208" s="126"/>
      <c r="E1208" s="128"/>
      <c r="F1208" s="128"/>
      <c r="G1208" s="126"/>
      <c r="H1208" s="126"/>
      <c r="I1208" s="126"/>
      <c r="J1208" s="126"/>
      <c r="K1208" s="126"/>
      <c r="L1208" s="126"/>
      <c r="M1208" s="125"/>
      <c r="N1208" s="126"/>
    </row>
    <row r="1209" spans="1:14" x14ac:dyDescent="0.35">
      <c r="A1209" s="126"/>
      <c r="B1209" s="127"/>
      <c r="C1209" s="126"/>
      <c r="D1209" s="126"/>
      <c r="E1209" s="128"/>
      <c r="F1209" s="128"/>
      <c r="G1209" s="126"/>
      <c r="H1209" s="126"/>
      <c r="I1209" s="126"/>
      <c r="J1209" s="126"/>
      <c r="K1209" s="126"/>
      <c r="L1209" s="126"/>
      <c r="M1209" s="125"/>
      <c r="N1209" s="126"/>
    </row>
    <row r="1210" spans="1:14" x14ac:dyDescent="0.35">
      <c r="A1210" s="126"/>
      <c r="B1210" s="127"/>
      <c r="C1210" s="126"/>
      <c r="D1210" s="126"/>
      <c r="E1210" s="128"/>
      <c r="F1210" s="128"/>
      <c r="G1210" s="126"/>
      <c r="H1210" s="126"/>
      <c r="I1210" s="126"/>
      <c r="J1210" s="126"/>
      <c r="K1210" s="126"/>
      <c r="L1210" s="126"/>
      <c r="M1210" s="125"/>
      <c r="N1210" s="126"/>
    </row>
    <row r="1211" spans="1:14" x14ac:dyDescent="0.35">
      <c r="A1211" s="126"/>
      <c r="B1211" s="127"/>
      <c r="C1211" s="126"/>
      <c r="D1211" s="126"/>
      <c r="E1211" s="128"/>
      <c r="F1211" s="128"/>
      <c r="G1211" s="126"/>
      <c r="H1211" s="126"/>
      <c r="I1211" s="126"/>
      <c r="J1211" s="126"/>
      <c r="K1211" s="126"/>
      <c r="L1211" s="126"/>
      <c r="M1211" s="125"/>
      <c r="N1211" s="126"/>
    </row>
    <row r="1212" spans="1:14" x14ac:dyDescent="0.35">
      <c r="A1212" s="126"/>
      <c r="B1212" s="127"/>
      <c r="C1212" s="126"/>
      <c r="D1212" s="126"/>
      <c r="E1212" s="128"/>
      <c r="F1212" s="128"/>
      <c r="G1212" s="126"/>
      <c r="H1212" s="126"/>
      <c r="I1212" s="126"/>
      <c r="J1212" s="126"/>
      <c r="K1212" s="126"/>
      <c r="L1212" s="126"/>
      <c r="M1212" s="125"/>
      <c r="N1212" s="126"/>
    </row>
    <row r="1213" spans="1:14" x14ac:dyDescent="0.35">
      <c r="A1213" s="126"/>
      <c r="B1213" s="127"/>
      <c r="C1213" s="126"/>
      <c r="D1213" s="126"/>
      <c r="E1213" s="128"/>
      <c r="F1213" s="128"/>
      <c r="G1213" s="126"/>
      <c r="H1213" s="126"/>
      <c r="I1213" s="126"/>
      <c r="J1213" s="126"/>
      <c r="K1213" s="126"/>
      <c r="L1213" s="126"/>
      <c r="M1213" s="125"/>
      <c r="N1213" s="126"/>
    </row>
    <row r="1214" spans="1:14" x14ac:dyDescent="0.35">
      <c r="A1214" s="126"/>
      <c r="B1214" s="127"/>
      <c r="C1214" s="126"/>
      <c r="D1214" s="126"/>
      <c r="E1214" s="128"/>
      <c r="F1214" s="128"/>
      <c r="G1214" s="126"/>
      <c r="H1214" s="126"/>
      <c r="I1214" s="126"/>
      <c r="J1214" s="126"/>
      <c r="K1214" s="126"/>
      <c r="L1214" s="126"/>
      <c r="M1214" s="125"/>
      <c r="N1214" s="126"/>
    </row>
    <row r="1215" spans="1:14" x14ac:dyDescent="0.35">
      <c r="A1215" s="126"/>
      <c r="B1215" s="127"/>
      <c r="C1215" s="126"/>
      <c r="D1215" s="126"/>
      <c r="E1215" s="128"/>
      <c r="F1215" s="128"/>
      <c r="G1215" s="126"/>
      <c r="H1215" s="126"/>
      <c r="I1215" s="126"/>
      <c r="J1215" s="126"/>
      <c r="K1215" s="126"/>
      <c r="L1215" s="126"/>
      <c r="M1215" s="125"/>
      <c r="N1215" s="126"/>
    </row>
    <row r="1216" spans="1:14" x14ac:dyDescent="0.35">
      <c r="A1216" s="126"/>
      <c r="B1216" s="127"/>
      <c r="C1216" s="126"/>
      <c r="D1216" s="126"/>
      <c r="E1216" s="128"/>
      <c r="F1216" s="128"/>
      <c r="G1216" s="126"/>
      <c r="H1216" s="126"/>
      <c r="I1216" s="126"/>
      <c r="J1216" s="126"/>
      <c r="K1216" s="126"/>
      <c r="L1216" s="126"/>
      <c r="M1216" s="125"/>
      <c r="N1216" s="126"/>
    </row>
    <row r="1217" spans="1:14" x14ac:dyDescent="0.35">
      <c r="A1217" s="126"/>
      <c r="B1217" s="127"/>
      <c r="C1217" s="126"/>
      <c r="D1217" s="126"/>
      <c r="E1217" s="128"/>
      <c r="F1217" s="128"/>
      <c r="G1217" s="126"/>
      <c r="H1217" s="126"/>
      <c r="I1217" s="126"/>
      <c r="J1217" s="126"/>
      <c r="K1217" s="126"/>
      <c r="L1217" s="126"/>
      <c r="M1217" s="125"/>
      <c r="N1217" s="126"/>
    </row>
    <row r="1218" spans="1:14" x14ac:dyDescent="0.35">
      <c r="A1218" s="126"/>
      <c r="B1218" s="127"/>
      <c r="C1218" s="126"/>
      <c r="D1218" s="126"/>
      <c r="E1218" s="128"/>
      <c r="F1218" s="128"/>
      <c r="G1218" s="126"/>
      <c r="H1218" s="126"/>
      <c r="I1218" s="126"/>
      <c r="J1218" s="126"/>
      <c r="K1218" s="126"/>
      <c r="L1218" s="126"/>
      <c r="M1218" s="125"/>
      <c r="N1218" s="126"/>
    </row>
    <row r="1219" spans="1:14" x14ac:dyDescent="0.35">
      <c r="A1219" s="126"/>
      <c r="B1219" s="127"/>
      <c r="C1219" s="126"/>
      <c r="D1219" s="126"/>
      <c r="E1219" s="128"/>
      <c r="F1219" s="128"/>
      <c r="G1219" s="126"/>
      <c r="H1219" s="126"/>
      <c r="I1219" s="126"/>
      <c r="J1219" s="126"/>
      <c r="K1219" s="126"/>
      <c r="L1219" s="126"/>
      <c r="M1219" s="125"/>
      <c r="N1219" s="126"/>
    </row>
    <row r="1220" spans="1:14" x14ac:dyDescent="0.35">
      <c r="A1220" s="126"/>
      <c r="B1220" s="127"/>
      <c r="C1220" s="126"/>
      <c r="D1220" s="126"/>
      <c r="E1220" s="128"/>
      <c r="F1220" s="128"/>
      <c r="G1220" s="126"/>
      <c r="H1220" s="126"/>
      <c r="I1220" s="126"/>
      <c r="J1220" s="126"/>
      <c r="K1220" s="126"/>
      <c r="L1220" s="126"/>
      <c r="M1220" s="125"/>
      <c r="N1220" s="126"/>
    </row>
    <row r="1221" spans="1:14" x14ac:dyDescent="0.35">
      <c r="A1221" s="126"/>
      <c r="B1221" s="127"/>
      <c r="C1221" s="126"/>
      <c r="D1221" s="126"/>
      <c r="E1221" s="128"/>
      <c r="F1221" s="128"/>
      <c r="G1221" s="126"/>
      <c r="H1221" s="126"/>
      <c r="I1221" s="126"/>
      <c r="J1221" s="126"/>
      <c r="K1221" s="126"/>
      <c r="L1221" s="126"/>
      <c r="M1221" s="125"/>
      <c r="N1221" s="126"/>
    </row>
    <row r="1222" spans="1:14" x14ac:dyDescent="0.35">
      <c r="A1222" s="126"/>
      <c r="B1222" s="127"/>
      <c r="C1222" s="126"/>
      <c r="D1222" s="126"/>
      <c r="E1222" s="128"/>
      <c r="F1222" s="128"/>
      <c r="G1222" s="126"/>
      <c r="H1222" s="126"/>
      <c r="I1222" s="126"/>
      <c r="J1222" s="126"/>
      <c r="K1222" s="126"/>
      <c r="L1222" s="126"/>
      <c r="M1222" s="125"/>
      <c r="N1222" s="126"/>
    </row>
    <row r="1223" spans="1:14" x14ac:dyDescent="0.35">
      <c r="A1223" s="126"/>
      <c r="B1223" s="127"/>
      <c r="C1223" s="126"/>
      <c r="D1223" s="126"/>
      <c r="E1223" s="128"/>
      <c r="F1223" s="128"/>
      <c r="G1223" s="126"/>
      <c r="H1223" s="126"/>
      <c r="I1223" s="126"/>
      <c r="J1223" s="126"/>
      <c r="K1223" s="126"/>
      <c r="L1223" s="126"/>
      <c r="M1223" s="125"/>
      <c r="N1223" s="126"/>
    </row>
    <row r="1224" spans="1:14" x14ac:dyDescent="0.35">
      <c r="A1224" s="126"/>
      <c r="B1224" s="127"/>
      <c r="C1224" s="126"/>
      <c r="D1224" s="126"/>
      <c r="E1224" s="128"/>
      <c r="F1224" s="128"/>
      <c r="G1224" s="126"/>
      <c r="H1224" s="126"/>
      <c r="I1224" s="126"/>
      <c r="J1224" s="126"/>
      <c r="K1224" s="126"/>
      <c r="L1224" s="126"/>
      <c r="M1224" s="125"/>
      <c r="N1224" s="126"/>
    </row>
    <row r="1225" spans="1:14" x14ac:dyDescent="0.35">
      <c r="A1225" s="126"/>
      <c r="B1225" s="127"/>
      <c r="C1225" s="126"/>
      <c r="D1225" s="126"/>
      <c r="E1225" s="128"/>
      <c r="F1225" s="128"/>
      <c r="G1225" s="126"/>
      <c r="H1225" s="126"/>
      <c r="I1225" s="126"/>
      <c r="J1225" s="126"/>
      <c r="K1225" s="126"/>
      <c r="L1225" s="126"/>
      <c r="M1225" s="125"/>
      <c r="N1225" s="126"/>
    </row>
    <row r="1226" spans="1:14" x14ac:dyDescent="0.35">
      <c r="A1226" s="126"/>
      <c r="B1226" s="127"/>
      <c r="C1226" s="126"/>
      <c r="D1226" s="126"/>
      <c r="E1226" s="128"/>
      <c r="F1226" s="128"/>
      <c r="G1226" s="126"/>
      <c r="H1226" s="126"/>
      <c r="I1226" s="126"/>
      <c r="J1226" s="126"/>
      <c r="K1226" s="126"/>
      <c r="L1226" s="126"/>
      <c r="M1226" s="125"/>
      <c r="N1226" s="126"/>
    </row>
    <row r="1227" spans="1:14" x14ac:dyDescent="0.35">
      <c r="A1227" s="126"/>
      <c r="B1227" s="127"/>
      <c r="C1227" s="126"/>
      <c r="D1227" s="126"/>
      <c r="E1227" s="128"/>
      <c r="F1227" s="128"/>
      <c r="G1227" s="126"/>
      <c r="H1227" s="126"/>
      <c r="I1227" s="126"/>
      <c r="J1227" s="126"/>
      <c r="K1227" s="126"/>
      <c r="L1227" s="126"/>
      <c r="M1227" s="125"/>
      <c r="N1227" s="126"/>
    </row>
    <row r="1228" spans="1:14" x14ac:dyDescent="0.35">
      <c r="A1228" s="126"/>
      <c r="B1228" s="127"/>
      <c r="C1228" s="126"/>
      <c r="D1228" s="126"/>
      <c r="E1228" s="128"/>
      <c r="F1228" s="128"/>
      <c r="G1228" s="126"/>
      <c r="H1228" s="126"/>
      <c r="I1228" s="126"/>
      <c r="J1228" s="126"/>
      <c r="K1228" s="126"/>
      <c r="L1228" s="126"/>
      <c r="M1228" s="125"/>
      <c r="N1228" s="126"/>
    </row>
    <row r="1229" spans="1:14" x14ac:dyDescent="0.35">
      <c r="A1229" s="126"/>
      <c r="B1229" s="127"/>
      <c r="C1229" s="126"/>
      <c r="D1229" s="126"/>
      <c r="E1229" s="128"/>
      <c r="F1229" s="128"/>
      <c r="G1229" s="126"/>
      <c r="H1229" s="126"/>
      <c r="I1229" s="126"/>
      <c r="J1229" s="126"/>
      <c r="K1229" s="126"/>
      <c r="L1229" s="126"/>
      <c r="M1229" s="125"/>
      <c r="N1229" s="126"/>
    </row>
    <row r="1230" spans="1:14" x14ac:dyDescent="0.35">
      <c r="A1230" s="126"/>
      <c r="B1230" s="127"/>
      <c r="C1230" s="126"/>
      <c r="D1230" s="126"/>
      <c r="E1230" s="128"/>
      <c r="F1230" s="128"/>
      <c r="G1230" s="126"/>
      <c r="H1230" s="126"/>
      <c r="I1230" s="126"/>
      <c r="J1230" s="126"/>
      <c r="K1230" s="126"/>
      <c r="L1230" s="126"/>
      <c r="M1230" s="125"/>
      <c r="N1230" s="126"/>
    </row>
    <row r="1231" spans="1:14" x14ac:dyDescent="0.35">
      <c r="A1231" s="126"/>
      <c r="B1231" s="127"/>
      <c r="C1231" s="126"/>
      <c r="D1231" s="126"/>
      <c r="E1231" s="128"/>
      <c r="F1231" s="128"/>
      <c r="G1231" s="126"/>
      <c r="H1231" s="126"/>
      <c r="I1231" s="126"/>
      <c r="J1231" s="126"/>
      <c r="K1231" s="126"/>
      <c r="L1231" s="126"/>
      <c r="M1231" s="125"/>
      <c r="N1231" s="126"/>
    </row>
    <row r="1232" spans="1:14" x14ac:dyDescent="0.35">
      <c r="A1232" s="126"/>
      <c r="B1232" s="127"/>
      <c r="C1232" s="126"/>
      <c r="D1232" s="126"/>
      <c r="E1232" s="128"/>
      <c r="F1232" s="128"/>
      <c r="G1232" s="126"/>
      <c r="H1232" s="126"/>
      <c r="I1232" s="126"/>
      <c r="J1232" s="126"/>
      <c r="K1232" s="126"/>
      <c r="L1232" s="126"/>
      <c r="M1232" s="125"/>
      <c r="N1232" s="126"/>
    </row>
    <row r="1233" spans="1:14" x14ac:dyDescent="0.35">
      <c r="A1233" s="126"/>
      <c r="B1233" s="127"/>
      <c r="C1233" s="126"/>
      <c r="D1233" s="126"/>
      <c r="E1233" s="128"/>
      <c r="F1233" s="128"/>
      <c r="G1233" s="126"/>
      <c r="H1233" s="126"/>
      <c r="I1233" s="126"/>
      <c r="J1233" s="126"/>
      <c r="K1233" s="126"/>
      <c r="L1233" s="126"/>
      <c r="M1233" s="125"/>
      <c r="N1233" s="126"/>
    </row>
    <row r="1234" spans="1:14" x14ac:dyDescent="0.35">
      <c r="A1234" s="126"/>
      <c r="B1234" s="127"/>
      <c r="C1234" s="126"/>
      <c r="D1234" s="126"/>
      <c r="E1234" s="128"/>
      <c r="F1234" s="128"/>
      <c r="G1234" s="126"/>
      <c r="H1234" s="126"/>
      <c r="I1234" s="126"/>
      <c r="J1234" s="126"/>
      <c r="K1234" s="126"/>
      <c r="L1234" s="126"/>
      <c r="M1234" s="125"/>
      <c r="N1234" s="126"/>
    </row>
    <row r="1235" spans="1:14" x14ac:dyDescent="0.35">
      <c r="A1235" s="126"/>
      <c r="B1235" s="127"/>
      <c r="C1235" s="126"/>
      <c r="D1235" s="126"/>
      <c r="E1235" s="128"/>
      <c r="F1235" s="128"/>
      <c r="G1235" s="126"/>
      <c r="H1235" s="126"/>
      <c r="I1235" s="126"/>
      <c r="J1235" s="126"/>
      <c r="K1235" s="126"/>
      <c r="L1235" s="126"/>
      <c r="M1235" s="125"/>
      <c r="N1235" s="126"/>
    </row>
    <row r="1236" spans="1:14" x14ac:dyDescent="0.35">
      <c r="A1236" s="126"/>
      <c r="B1236" s="127"/>
      <c r="C1236" s="126"/>
      <c r="D1236" s="126"/>
      <c r="E1236" s="128"/>
      <c r="F1236" s="128"/>
      <c r="G1236" s="126"/>
      <c r="H1236" s="126"/>
      <c r="I1236" s="126"/>
      <c r="J1236" s="126"/>
      <c r="K1236" s="126"/>
      <c r="L1236" s="126"/>
      <c r="M1236" s="125"/>
      <c r="N1236" s="126"/>
    </row>
    <row r="1237" spans="1:14" x14ac:dyDescent="0.35">
      <c r="A1237" s="126"/>
      <c r="B1237" s="127"/>
      <c r="C1237" s="126"/>
      <c r="D1237" s="126"/>
      <c r="E1237" s="128"/>
      <c r="F1237" s="128"/>
      <c r="G1237" s="126"/>
      <c r="H1237" s="126"/>
      <c r="I1237" s="126"/>
      <c r="J1237" s="126"/>
      <c r="K1237" s="126"/>
      <c r="L1237" s="126"/>
      <c r="M1237" s="125"/>
      <c r="N1237" s="126"/>
    </row>
    <row r="1238" spans="1:14" x14ac:dyDescent="0.35">
      <c r="A1238" s="126"/>
      <c r="B1238" s="127"/>
      <c r="C1238" s="126"/>
      <c r="D1238" s="126"/>
      <c r="E1238" s="128"/>
      <c r="F1238" s="128"/>
      <c r="G1238" s="126"/>
      <c r="H1238" s="126"/>
      <c r="I1238" s="126"/>
      <c r="J1238" s="126"/>
      <c r="K1238" s="126"/>
      <c r="L1238" s="126"/>
      <c r="M1238" s="125"/>
      <c r="N1238" s="126"/>
    </row>
    <row r="1239" spans="1:14" x14ac:dyDescent="0.35">
      <c r="A1239" s="126"/>
      <c r="B1239" s="127"/>
      <c r="C1239" s="126"/>
      <c r="D1239" s="126"/>
      <c r="E1239" s="128"/>
      <c r="F1239" s="128"/>
      <c r="G1239" s="126"/>
      <c r="H1239" s="126"/>
      <c r="I1239" s="126"/>
      <c r="J1239" s="126"/>
      <c r="K1239" s="126"/>
      <c r="L1239" s="126"/>
      <c r="M1239" s="125"/>
      <c r="N1239" s="126"/>
    </row>
    <row r="1240" spans="1:14" x14ac:dyDescent="0.35">
      <c r="B1240" s="22"/>
      <c r="E1240" s="113"/>
      <c r="F1240" s="113"/>
      <c r="M1240" s="125"/>
    </row>
    <row r="1241" spans="1:14" x14ac:dyDescent="0.35">
      <c r="B1241" s="22"/>
      <c r="E1241" s="113"/>
      <c r="F1241" s="113"/>
      <c r="M1241" s="125"/>
    </row>
    <row r="1242" spans="1:14" x14ac:dyDescent="0.35">
      <c r="B1242" s="22"/>
      <c r="E1242" s="113"/>
      <c r="F1242" s="113"/>
      <c r="M1242" s="125"/>
    </row>
    <row r="1243" spans="1:14" x14ac:dyDescent="0.35">
      <c r="B1243" s="22"/>
      <c r="E1243" s="113"/>
      <c r="F1243" s="113"/>
      <c r="M1243" s="125"/>
    </row>
    <row r="1244" spans="1:14" x14ac:dyDescent="0.35">
      <c r="B1244" s="22"/>
      <c r="E1244" s="113"/>
      <c r="F1244" s="113"/>
      <c r="M1244" s="125"/>
    </row>
    <row r="1245" spans="1:14" x14ac:dyDescent="0.35">
      <c r="B1245" s="22"/>
      <c r="E1245" s="113"/>
      <c r="F1245" s="113"/>
      <c r="M1245" s="125"/>
    </row>
    <row r="1246" spans="1:14" x14ac:dyDescent="0.35">
      <c r="B1246" s="22"/>
      <c r="E1246" s="113"/>
      <c r="F1246" s="113"/>
      <c r="M1246" s="125"/>
    </row>
    <row r="1247" spans="1:14" x14ac:dyDescent="0.35">
      <c r="B1247" s="22"/>
      <c r="E1247" s="113"/>
      <c r="F1247" s="113"/>
      <c r="M1247" s="125"/>
    </row>
    <row r="1248" spans="1:14" x14ac:dyDescent="0.35">
      <c r="B1248" s="22"/>
      <c r="E1248" s="113"/>
      <c r="F1248" s="113"/>
      <c r="M1248" s="125"/>
    </row>
    <row r="1249" spans="2:13" x14ac:dyDescent="0.35">
      <c r="B1249" s="22"/>
      <c r="E1249" s="113"/>
      <c r="F1249" s="113"/>
      <c r="M1249" s="125"/>
    </row>
    <row r="1250" spans="2:13" x14ac:dyDescent="0.35">
      <c r="B1250" s="22"/>
      <c r="E1250" s="113"/>
      <c r="F1250" s="113"/>
      <c r="M1250" s="125"/>
    </row>
    <row r="1251" spans="2:13" x14ac:dyDescent="0.35">
      <c r="B1251" s="22"/>
      <c r="E1251" s="113"/>
      <c r="F1251" s="113"/>
    </row>
    <row r="1252" spans="2:13" x14ac:dyDescent="0.35">
      <c r="B1252" s="22"/>
      <c r="E1252" s="113"/>
      <c r="F1252" s="113"/>
    </row>
    <row r="1253" spans="2:13" x14ac:dyDescent="0.35">
      <c r="B1253" s="22"/>
      <c r="E1253" s="113"/>
      <c r="F1253" s="113"/>
    </row>
    <row r="1254" spans="2:13" x14ac:dyDescent="0.35">
      <c r="B1254" s="22"/>
      <c r="E1254" s="113"/>
      <c r="F1254" s="113"/>
    </row>
    <row r="1255" spans="2:13" x14ac:dyDescent="0.35">
      <c r="B1255" s="22"/>
      <c r="E1255" s="113"/>
      <c r="F1255" s="113"/>
    </row>
    <row r="1256" spans="2:13" x14ac:dyDescent="0.35">
      <c r="B1256" s="22"/>
      <c r="E1256" s="113"/>
      <c r="F1256" s="113"/>
    </row>
    <row r="1257" spans="2:13" x14ac:dyDescent="0.35">
      <c r="B1257" s="22"/>
      <c r="E1257" s="113"/>
      <c r="F1257" s="113"/>
    </row>
    <row r="1258" spans="2:13" x14ac:dyDescent="0.35">
      <c r="B1258" s="22"/>
      <c r="E1258" s="113"/>
      <c r="F1258" s="113"/>
    </row>
    <row r="1259" spans="2:13" x14ac:dyDescent="0.35">
      <c r="B1259" s="22"/>
      <c r="E1259" s="113"/>
      <c r="F1259" s="113"/>
    </row>
    <row r="1260" spans="2:13" x14ac:dyDescent="0.35">
      <c r="B1260" s="22"/>
      <c r="E1260" s="113"/>
      <c r="F1260" s="113"/>
    </row>
    <row r="1261" spans="2:13" x14ac:dyDescent="0.35">
      <c r="B1261" s="22"/>
      <c r="E1261" s="113"/>
      <c r="F1261" s="113"/>
    </row>
    <row r="1262" spans="2:13" x14ac:dyDescent="0.35">
      <c r="B1262" s="22"/>
      <c r="E1262" s="113"/>
      <c r="F1262" s="113"/>
    </row>
    <row r="1263" spans="2:13" x14ac:dyDescent="0.35">
      <c r="B1263" s="22"/>
      <c r="E1263" s="113"/>
      <c r="F1263" s="113"/>
    </row>
    <row r="1264" spans="2:13" x14ac:dyDescent="0.35">
      <c r="B1264" s="22"/>
      <c r="E1264" s="113"/>
      <c r="F1264" s="113"/>
    </row>
    <row r="1265" spans="2:6" x14ac:dyDescent="0.35">
      <c r="B1265" s="22"/>
      <c r="E1265" s="113"/>
      <c r="F1265" s="113"/>
    </row>
    <row r="1266" spans="2:6" x14ac:dyDescent="0.35">
      <c r="B1266" s="22"/>
      <c r="E1266" s="113"/>
      <c r="F1266" s="113"/>
    </row>
    <row r="1267" spans="2:6" x14ac:dyDescent="0.35">
      <c r="B1267" s="22"/>
      <c r="E1267" s="113"/>
      <c r="F1267" s="113"/>
    </row>
    <row r="1268" spans="2:6" x14ac:dyDescent="0.35">
      <c r="B1268" s="22"/>
      <c r="E1268" s="113"/>
      <c r="F1268" s="113"/>
    </row>
    <row r="1269" spans="2:6" x14ac:dyDescent="0.35">
      <c r="B1269" s="22"/>
      <c r="E1269" s="113"/>
      <c r="F1269" s="113"/>
    </row>
    <row r="1270" spans="2:6" x14ac:dyDescent="0.35">
      <c r="B1270" s="22"/>
      <c r="E1270" s="113"/>
      <c r="F1270" s="113"/>
    </row>
    <row r="1271" spans="2:6" x14ac:dyDescent="0.35">
      <c r="B1271" s="22"/>
      <c r="E1271" s="113"/>
      <c r="F1271" s="113"/>
    </row>
    <row r="1272" spans="2:6" x14ac:dyDescent="0.35">
      <c r="B1272" s="22"/>
      <c r="E1272" s="113"/>
      <c r="F1272" s="113"/>
    </row>
    <row r="1273" spans="2:6" x14ac:dyDescent="0.35">
      <c r="B1273" s="22"/>
      <c r="E1273" s="113"/>
      <c r="F1273" s="113"/>
    </row>
    <row r="1274" spans="2:6" x14ac:dyDescent="0.35">
      <c r="B1274" s="22"/>
      <c r="E1274" s="113"/>
      <c r="F1274" s="113"/>
    </row>
    <row r="1275" spans="2:6" x14ac:dyDescent="0.35">
      <c r="B1275" s="22"/>
      <c r="E1275" s="113"/>
      <c r="F1275" s="113"/>
    </row>
    <row r="1276" spans="2:6" x14ac:dyDescent="0.35">
      <c r="B1276" s="22"/>
      <c r="E1276" s="113"/>
      <c r="F1276" s="113"/>
    </row>
    <row r="1277" spans="2:6" x14ac:dyDescent="0.35">
      <c r="B1277" s="22"/>
      <c r="E1277" s="113"/>
      <c r="F1277" s="113"/>
    </row>
    <row r="1278" spans="2:6" x14ac:dyDescent="0.35">
      <c r="B1278" s="22"/>
      <c r="E1278" s="113"/>
      <c r="F1278" s="113"/>
    </row>
    <row r="1279" spans="2:6" x14ac:dyDescent="0.35">
      <c r="B1279" s="22"/>
      <c r="E1279" s="113"/>
      <c r="F1279" s="113"/>
    </row>
    <row r="1280" spans="2:6" x14ac:dyDescent="0.35">
      <c r="B1280" s="22"/>
      <c r="E1280" s="113"/>
      <c r="F1280" s="113"/>
    </row>
    <row r="1281" spans="2:6" x14ac:dyDescent="0.35">
      <c r="B1281" s="22"/>
      <c r="E1281" s="113"/>
      <c r="F1281" s="113"/>
    </row>
    <row r="1282" spans="2:6" x14ac:dyDescent="0.35">
      <c r="B1282" s="22"/>
      <c r="E1282" s="113"/>
      <c r="F1282" s="113"/>
    </row>
    <row r="1283" spans="2:6" x14ac:dyDescent="0.35">
      <c r="B1283" s="22"/>
      <c r="E1283" s="113"/>
      <c r="F1283" s="113"/>
    </row>
    <row r="1284" spans="2:6" x14ac:dyDescent="0.35">
      <c r="B1284" s="22"/>
      <c r="E1284" s="113"/>
      <c r="F1284" s="113"/>
    </row>
    <row r="1285" spans="2:6" x14ac:dyDescent="0.35">
      <c r="B1285" s="22"/>
      <c r="E1285" s="113"/>
      <c r="F1285" s="113"/>
    </row>
    <row r="1286" spans="2:6" x14ac:dyDescent="0.35">
      <c r="B1286" s="22"/>
      <c r="E1286" s="113"/>
      <c r="F1286" s="113"/>
    </row>
    <row r="1287" spans="2:6" x14ac:dyDescent="0.35">
      <c r="B1287" s="22"/>
      <c r="E1287" s="113"/>
      <c r="F1287" s="113"/>
    </row>
    <row r="1288" spans="2:6" x14ac:dyDescent="0.35">
      <c r="B1288" s="22"/>
      <c r="E1288" s="113"/>
      <c r="F1288" s="113"/>
    </row>
    <row r="1289" spans="2:6" x14ac:dyDescent="0.35">
      <c r="B1289" s="22"/>
      <c r="E1289" s="113"/>
      <c r="F1289" s="113"/>
    </row>
    <row r="1290" spans="2:6" x14ac:dyDescent="0.35">
      <c r="B1290" s="22"/>
      <c r="E1290" s="113"/>
      <c r="F1290" s="113"/>
    </row>
    <row r="1291" spans="2:6" x14ac:dyDescent="0.35">
      <c r="B1291" s="22"/>
      <c r="E1291" s="113"/>
      <c r="F1291" s="113"/>
    </row>
    <row r="1292" spans="2:6" x14ac:dyDescent="0.35">
      <c r="B1292" s="22"/>
      <c r="E1292" s="113"/>
      <c r="F1292" s="113"/>
    </row>
    <row r="1293" spans="2:6" x14ac:dyDescent="0.35">
      <c r="B1293" s="22"/>
      <c r="E1293" s="113"/>
      <c r="F1293" s="113"/>
    </row>
    <row r="1294" spans="2:6" x14ac:dyDescent="0.35">
      <c r="B1294" s="22"/>
      <c r="E1294" s="113"/>
      <c r="F1294" s="113"/>
    </row>
    <row r="1295" spans="2:6" x14ac:dyDescent="0.35">
      <c r="B1295" s="22"/>
      <c r="E1295" s="113"/>
      <c r="F1295" s="113"/>
    </row>
    <row r="1296" spans="2:6" x14ac:dyDescent="0.35">
      <c r="B1296" s="22"/>
      <c r="E1296" s="113"/>
      <c r="F1296" s="113"/>
    </row>
    <row r="1297" spans="2:6" x14ac:dyDescent="0.35">
      <c r="B1297" s="22"/>
      <c r="E1297" s="113"/>
      <c r="F1297" s="113"/>
    </row>
    <row r="1298" spans="2:6" x14ac:dyDescent="0.35">
      <c r="B1298" s="22"/>
      <c r="E1298" s="113"/>
      <c r="F1298" s="113"/>
    </row>
    <row r="1299" spans="2:6" x14ac:dyDescent="0.35">
      <c r="B1299" s="22"/>
      <c r="E1299" s="113"/>
      <c r="F1299" s="113"/>
    </row>
    <row r="1300" spans="2:6" x14ac:dyDescent="0.35">
      <c r="B1300" s="22"/>
      <c r="E1300" s="113"/>
      <c r="F1300" s="113"/>
    </row>
    <row r="1301" spans="2:6" x14ac:dyDescent="0.35">
      <c r="B1301" s="22"/>
      <c r="E1301" s="113"/>
      <c r="F1301" s="113"/>
    </row>
    <row r="1302" spans="2:6" x14ac:dyDescent="0.35">
      <c r="B1302" s="22"/>
      <c r="E1302" s="113"/>
      <c r="F1302" s="113"/>
    </row>
    <row r="1303" spans="2:6" x14ac:dyDescent="0.35">
      <c r="B1303" s="22"/>
      <c r="E1303" s="113"/>
      <c r="F1303" s="113"/>
    </row>
    <row r="1304" spans="2:6" x14ac:dyDescent="0.35">
      <c r="B1304" s="22"/>
      <c r="E1304" s="113"/>
      <c r="F1304" s="113"/>
    </row>
    <row r="1305" spans="2:6" x14ac:dyDescent="0.35">
      <c r="B1305" s="22"/>
      <c r="E1305" s="113"/>
      <c r="F1305" s="113"/>
    </row>
    <row r="1306" spans="2:6" x14ac:dyDescent="0.35">
      <c r="B1306" s="22"/>
      <c r="E1306" s="113"/>
      <c r="F1306" s="113"/>
    </row>
    <row r="1307" spans="2:6" x14ac:dyDescent="0.35">
      <c r="B1307" s="22"/>
      <c r="E1307" s="113"/>
      <c r="F1307" s="113"/>
    </row>
    <row r="1308" spans="2:6" x14ac:dyDescent="0.35">
      <c r="B1308" s="22"/>
      <c r="E1308" s="113"/>
      <c r="F1308" s="113"/>
    </row>
    <row r="1309" spans="2:6" x14ac:dyDescent="0.35">
      <c r="B1309" s="22"/>
      <c r="E1309" s="113"/>
      <c r="F1309" s="113"/>
    </row>
    <row r="1310" spans="2:6" x14ac:dyDescent="0.35">
      <c r="B1310" s="22"/>
      <c r="E1310" s="113"/>
      <c r="F1310" s="113"/>
    </row>
    <row r="1311" spans="2:6" x14ac:dyDescent="0.35">
      <c r="B1311" s="22"/>
      <c r="E1311" s="113"/>
      <c r="F1311" s="113"/>
    </row>
    <row r="1312" spans="2:6" x14ac:dyDescent="0.35">
      <c r="B1312" s="22"/>
      <c r="E1312" s="113"/>
      <c r="F1312" s="113"/>
    </row>
    <row r="1313" spans="2:6" x14ac:dyDescent="0.35">
      <c r="B1313" s="22"/>
      <c r="E1313" s="113"/>
      <c r="F1313" s="113"/>
    </row>
    <row r="1314" spans="2:6" x14ac:dyDescent="0.35">
      <c r="B1314" s="22"/>
      <c r="E1314" s="113"/>
      <c r="F1314" s="113"/>
    </row>
    <row r="1315" spans="2:6" x14ac:dyDescent="0.35">
      <c r="B1315" s="22"/>
      <c r="E1315" s="113"/>
      <c r="F1315" s="113"/>
    </row>
    <row r="1316" spans="2:6" x14ac:dyDescent="0.35">
      <c r="B1316" s="22"/>
      <c r="E1316" s="113"/>
      <c r="F1316" s="113"/>
    </row>
    <row r="1317" spans="2:6" x14ac:dyDescent="0.35">
      <c r="B1317" s="22"/>
      <c r="E1317" s="113"/>
      <c r="F1317" s="113"/>
    </row>
    <row r="1318" spans="2:6" x14ac:dyDescent="0.35">
      <c r="B1318" s="22"/>
      <c r="E1318" s="113"/>
      <c r="F1318" s="113"/>
    </row>
    <row r="1319" spans="2:6" x14ac:dyDescent="0.35">
      <c r="B1319" s="22"/>
      <c r="E1319" s="113"/>
      <c r="F1319" s="113"/>
    </row>
    <row r="1320" spans="2:6" x14ac:dyDescent="0.35">
      <c r="B1320" s="22"/>
      <c r="E1320" s="113"/>
      <c r="F1320" s="113"/>
    </row>
    <row r="1321" spans="2:6" x14ac:dyDescent="0.35">
      <c r="B1321" s="22"/>
      <c r="E1321" s="113"/>
      <c r="F1321" s="113"/>
    </row>
    <row r="1322" spans="2:6" x14ac:dyDescent="0.35">
      <c r="B1322" s="22"/>
      <c r="E1322" s="113"/>
      <c r="F1322" s="113"/>
    </row>
    <row r="1323" spans="2:6" x14ac:dyDescent="0.35">
      <c r="B1323" s="22"/>
      <c r="E1323" s="113"/>
      <c r="F1323" s="113"/>
    </row>
    <row r="1324" spans="2:6" x14ac:dyDescent="0.35">
      <c r="B1324" s="22"/>
      <c r="E1324" s="113"/>
      <c r="F1324" s="113"/>
    </row>
    <row r="1325" spans="2:6" x14ac:dyDescent="0.35">
      <c r="B1325" s="22"/>
      <c r="E1325" s="113"/>
      <c r="F1325" s="113"/>
    </row>
    <row r="1326" spans="2:6" x14ac:dyDescent="0.35">
      <c r="B1326" s="22"/>
      <c r="E1326" s="113"/>
      <c r="F1326" s="113"/>
    </row>
    <row r="1327" spans="2:6" x14ac:dyDescent="0.35">
      <c r="B1327" s="22"/>
      <c r="E1327" s="113"/>
      <c r="F1327" s="113"/>
    </row>
    <row r="1328" spans="2:6" x14ac:dyDescent="0.35">
      <c r="B1328" s="22"/>
      <c r="E1328" s="113"/>
      <c r="F1328" s="113"/>
    </row>
    <row r="1329" spans="2:6" x14ac:dyDescent="0.35">
      <c r="B1329" s="22"/>
      <c r="E1329" s="113"/>
      <c r="F1329" s="113"/>
    </row>
    <row r="1330" spans="2:6" x14ac:dyDescent="0.35">
      <c r="B1330" s="22"/>
      <c r="E1330" s="113"/>
      <c r="F1330" s="113"/>
    </row>
    <row r="1331" spans="2:6" x14ac:dyDescent="0.35">
      <c r="B1331" s="22"/>
      <c r="E1331" s="113"/>
      <c r="F1331" s="113"/>
    </row>
    <row r="1332" spans="2:6" x14ac:dyDescent="0.35">
      <c r="B1332" s="22"/>
      <c r="E1332" s="113"/>
      <c r="F1332" s="113"/>
    </row>
    <row r="1333" spans="2:6" x14ac:dyDescent="0.35">
      <c r="B1333" s="22"/>
      <c r="E1333" s="113"/>
      <c r="F1333" s="113"/>
    </row>
    <row r="1334" spans="2:6" x14ac:dyDescent="0.35">
      <c r="B1334" s="22"/>
      <c r="E1334" s="113"/>
      <c r="F1334" s="113"/>
    </row>
    <row r="1335" spans="2:6" x14ac:dyDescent="0.35">
      <c r="B1335" s="22"/>
      <c r="E1335" s="113"/>
      <c r="F1335" s="113"/>
    </row>
    <row r="1336" spans="2:6" x14ac:dyDescent="0.35">
      <c r="B1336" s="22"/>
      <c r="E1336" s="113"/>
      <c r="F1336" s="113"/>
    </row>
    <row r="1337" spans="2:6" x14ac:dyDescent="0.35">
      <c r="B1337" s="22"/>
      <c r="E1337" s="113"/>
      <c r="F1337" s="113"/>
    </row>
    <row r="1338" spans="2:6" x14ac:dyDescent="0.35">
      <c r="B1338" s="22"/>
      <c r="E1338" s="113"/>
      <c r="F1338" s="113"/>
    </row>
    <row r="1339" spans="2:6" x14ac:dyDescent="0.35">
      <c r="B1339" s="22"/>
      <c r="E1339" s="113"/>
      <c r="F1339" s="113"/>
    </row>
    <row r="1340" spans="2:6" x14ac:dyDescent="0.35">
      <c r="B1340" s="22"/>
      <c r="E1340" s="113"/>
      <c r="F1340" s="113"/>
    </row>
    <row r="1341" spans="2:6" x14ac:dyDescent="0.35">
      <c r="B1341" s="22"/>
      <c r="E1341" s="113"/>
      <c r="F1341" s="113"/>
    </row>
    <row r="1342" spans="2:6" x14ac:dyDescent="0.35">
      <c r="B1342" s="22"/>
      <c r="E1342" s="113"/>
      <c r="F1342" s="113"/>
    </row>
    <row r="1343" spans="2:6" x14ac:dyDescent="0.35">
      <c r="B1343" s="22"/>
      <c r="E1343" s="113"/>
      <c r="F1343" s="113"/>
    </row>
    <row r="1344" spans="2:6" x14ac:dyDescent="0.35">
      <c r="B1344" s="22"/>
      <c r="E1344" s="113"/>
      <c r="F1344" s="113"/>
    </row>
    <row r="1345" spans="2:6" x14ac:dyDescent="0.35">
      <c r="B1345" s="22"/>
      <c r="E1345" s="113"/>
      <c r="F1345" s="113"/>
    </row>
    <row r="1346" spans="2:6" x14ac:dyDescent="0.35">
      <c r="B1346" s="22"/>
      <c r="E1346" s="113"/>
      <c r="F1346" s="113"/>
    </row>
    <row r="1347" spans="2:6" x14ac:dyDescent="0.35">
      <c r="B1347" s="22"/>
      <c r="E1347" s="113"/>
      <c r="F1347" s="113"/>
    </row>
    <row r="1348" spans="2:6" x14ac:dyDescent="0.35">
      <c r="B1348" s="22"/>
      <c r="E1348" s="113"/>
      <c r="F1348" s="113"/>
    </row>
    <row r="1349" spans="2:6" x14ac:dyDescent="0.35">
      <c r="B1349" s="22"/>
      <c r="E1349" s="113"/>
      <c r="F1349" s="113"/>
    </row>
    <row r="1350" spans="2:6" x14ac:dyDescent="0.35">
      <c r="B1350" s="22"/>
      <c r="E1350" s="113"/>
      <c r="F1350" s="113"/>
    </row>
    <row r="1351" spans="2:6" x14ac:dyDescent="0.35">
      <c r="B1351" s="22"/>
      <c r="E1351" s="113"/>
      <c r="F1351" s="113"/>
    </row>
    <row r="1352" spans="2:6" x14ac:dyDescent="0.35">
      <c r="B1352" s="22"/>
      <c r="E1352" s="113"/>
      <c r="F1352" s="113"/>
    </row>
    <row r="1353" spans="2:6" x14ac:dyDescent="0.35">
      <c r="B1353" s="22"/>
      <c r="E1353" s="113"/>
      <c r="F1353" s="113"/>
    </row>
    <row r="1354" spans="2:6" x14ac:dyDescent="0.35">
      <c r="B1354" s="22"/>
      <c r="E1354" s="113"/>
      <c r="F1354" s="113"/>
    </row>
    <row r="1355" spans="2:6" x14ac:dyDescent="0.35">
      <c r="B1355" s="22"/>
      <c r="E1355" s="113"/>
      <c r="F1355" s="113"/>
    </row>
    <row r="1356" spans="2:6" x14ac:dyDescent="0.35">
      <c r="B1356" s="22"/>
      <c r="E1356" s="113"/>
      <c r="F1356" s="113"/>
    </row>
    <row r="1357" spans="2:6" x14ac:dyDescent="0.35">
      <c r="B1357" s="22"/>
      <c r="E1357" s="113"/>
      <c r="F1357" s="113"/>
    </row>
    <row r="1358" spans="2:6" x14ac:dyDescent="0.35">
      <c r="B1358" s="22"/>
      <c r="E1358" s="113"/>
      <c r="F1358" s="113"/>
    </row>
    <row r="1359" spans="2:6" x14ac:dyDescent="0.35">
      <c r="B1359" s="22"/>
      <c r="E1359" s="113"/>
      <c r="F1359" s="113"/>
    </row>
    <row r="1360" spans="2:6" x14ac:dyDescent="0.35">
      <c r="B1360" s="22"/>
      <c r="E1360" s="113"/>
      <c r="F1360" s="113"/>
    </row>
    <row r="1361" spans="2:6" x14ac:dyDescent="0.35">
      <c r="B1361" s="22"/>
      <c r="E1361" s="113"/>
      <c r="F1361" s="113"/>
    </row>
    <row r="1362" spans="2:6" x14ac:dyDescent="0.35">
      <c r="B1362" s="22"/>
      <c r="E1362" s="113"/>
      <c r="F1362" s="113"/>
    </row>
    <row r="1363" spans="2:6" x14ac:dyDescent="0.35">
      <c r="B1363" s="22"/>
      <c r="E1363" s="113"/>
      <c r="F1363" s="113"/>
    </row>
    <row r="1364" spans="2:6" x14ac:dyDescent="0.35">
      <c r="B1364" s="22"/>
      <c r="E1364" s="113"/>
      <c r="F1364" s="113"/>
    </row>
    <row r="1365" spans="2:6" x14ac:dyDescent="0.35">
      <c r="B1365" s="22"/>
      <c r="E1365" s="113"/>
      <c r="F1365" s="113"/>
    </row>
    <row r="1366" spans="2:6" x14ac:dyDescent="0.35">
      <c r="B1366" s="22"/>
      <c r="E1366" s="113"/>
      <c r="F1366" s="113"/>
    </row>
    <row r="1367" spans="2:6" x14ac:dyDescent="0.35">
      <c r="B1367" s="22"/>
      <c r="E1367" s="113"/>
      <c r="F1367" s="113"/>
    </row>
    <row r="1368" spans="2:6" x14ac:dyDescent="0.35">
      <c r="B1368" s="22"/>
      <c r="E1368" s="113"/>
      <c r="F1368" s="113"/>
    </row>
    <row r="1369" spans="2:6" x14ac:dyDescent="0.35">
      <c r="B1369" s="22"/>
      <c r="E1369" s="113"/>
      <c r="F1369" s="113"/>
    </row>
    <row r="1370" spans="2:6" x14ac:dyDescent="0.35">
      <c r="B1370" s="22"/>
      <c r="E1370" s="113"/>
      <c r="F1370" s="113"/>
    </row>
    <row r="1371" spans="2:6" x14ac:dyDescent="0.35">
      <c r="B1371" s="22"/>
      <c r="E1371" s="113"/>
      <c r="F1371" s="113"/>
    </row>
    <row r="1372" spans="2:6" x14ac:dyDescent="0.35">
      <c r="B1372" s="22"/>
      <c r="E1372" s="113"/>
      <c r="F1372" s="113"/>
    </row>
    <row r="1373" spans="2:6" x14ac:dyDescent="0.35">
      <c r="B1373" s="22"/>
      <c r="E1373" s="113"/>
      <c r="F1373" s="113"/>
    </row>
    <row r="1374" spans="2:6" x14ac:dyDescent="0.35">
      <c r="B1374" s="22"/>
      <c r="E1374" s="113"/>
      <c r="F1374" s="113"/>
    </row>
    <row r="1375" spans="2:6" x14ac:dyDescent="0.35">
      <c r="B1375" s="22"/>
      <c r="E1375" s="113"/>
      <c r="F1375" s="113"/>
    </row>
    <row r="1376" spans="2:6" x14ac:dyDescent="0.35">
      <c r="B1376" s="22"/>
      <c r="E1376" s="113"/>
      <c r="F1376" s="113"/>
    </row>
    <row r="1377" spans="2:6" x14ac:dyDescent="0.35">
      <c r="B1377" s="22"/>
      <c r="E1377" s="113"/>
      <c r="F1377" s="113"/>
    </row>
    <row r="1378" spans="2:6" x14ac:dyDescent="0.35">
      <c r="B1378" s="22"/>
      <c r="E1378" s="113"/>
      <c r="F1378" s="113"/>
    </row>
    <row r="1379" spans="2:6" x14ac:dyDescent="0.35">
      <c r="B1379" s="22"/>
      <c r="E1379" s="113"/>
      <c r="F1379" s="113"/>
    </row>
    <row r="1380" spans="2:6" x14ac:dyDescent="0.35">
      <c r="B1380" s="22"/>
      <c r="E1380" s="113"/>
      <c r="F1380" s="113"/>
    </row>
    <row r="1381" spans="2:6" x14ac:dyDescent="0.35">
      <c r="B1381" s="22"/>
      <c r="E1381" s="113"/>
      <c r="F1381" s="113"/>
    </row>
    <row r="1382" spans="2:6" x14ac:dyDescent="0.35">
      <c r="B1382" s="22"/>
      <c r="E1382" s="113"/>
      <c r="F1382" s="113"/>
    </row>
    <row r="1383" spans="2:6" x14ac:dyDescent="0.35">
      <c r="B1383" s="22"/>
      <c r="E1383" s="113"/>
      <c r="F1383" s="113"/>
    </row>
    <row r="1384" spans="2:6" x14ac:dyDescent="0.35">
      <c r="B1384" s="22"/>
      <c r="E1384" s="113"/>
      <c r="F1384" s="113"/>
    </row>
    <row r="1385" spans="2:6" x14ac:dyDescent="0.35">
      <c r="B1385" s="22"/>
      <c r="E1385" s="113"/>
      <c r="F1385" s="113"/>
    </row>
    <row r="1386" spans="2:6" x14ac:dyDescent="0.35">
      <c r="B1386" s="22"/>
      <c r="E1386" s="113"/>
      <c r="F1386" s="113"/>
    </row>
    <row r="1387" spans="2:6" x14ac:dyDescent="0.35">
      <c r="B1387" s="22"/>
      <c r="E1387" s="113"/>
      <c r="F1387" s="113"/>
    </row>
    <row r="1388" spans="2:6" x14ac:dyDescent="0.35">
      <c r="B1388" s="22"/>
      <c r="E1388" s="113"/>
      <c r="F1388" s="113"/>
    </row>
    <row r="1389" spans="2:6" x14ac:dyDescent="0.35">
      <c r="B1389" s="22"/>
      <c r="E1389" s="113"/>
      <c r="F1389" s="113"/>
    </row>
    <row r="1390" spans="2:6" x14ac:dyDescent="0.35">
      <c r="B1390" s="22"/>
      <c r="E1390" s="113"/>
      <c r="F1390" s="113"/>
    </row>
    <row r="1391" spans="2:6" x14ac:dyDescent="0.35">
      <c r="B1391" s="22"/>
      <c r="E1391" s="113"/>
      <c r="F1391" s="113"/>
    </row>
    <row r="1392" spans="2:6" x14ac:dyDescent="0.35">
      <c r="B1392" s="22"/>
      <c r="E1392" s="113"/>
      <c r="F1392" s="113"/>
    </row>
    <row r="1393" spans="2:6" x14ac:dyDescent="0.35">
      <c r="B1393" s="22"/>
      <c r="E1393" s="113"/>
      <c r="F1393" s="113"/>
    </row>
    <row r="1394" spans="2:6" x14ac:dyDescent="0.35">
      <c r="B1394" s="22"/>
      <c r="E1394" s="113"/>
      <c r="F1394" s="113"/>
    </row>
    <row r="1395" spans="2:6" x14ac:dyDescent="0.35">
      <c r="B1395" s="22"/>
      <c r="E1395" s="113"/>
      <c r="F1395" s="113"/>
    </row>
    <row r="1396" spans="2:6" x14ac:dyDescent="0.35">
      <c r="B1396" s="22"/>
      <c r="E1396" s="113"/>
      <c r="F1396" s="113"/>
    </row>
    <row r="1397" spans="2:6" x14ac:dyDescent="0.35">
      <c r="B1397" s="22"/>
      <c r="E1397" s="113"/>
      <c r="F1397" s="113"/>
    </row>
    <row r="1398" spans="2:6" x14ac:dyDescent="0.35">
      <c r="B1398" s="22"/>
      <c r="E1398" s="113"/>
      <c r="F1398" s="113"/>
    </row>
    <row r="1399" spans="2:6" x14ac:dyDescent="0.35">
      <c r="B1399" s="22"/>
      <c r="E1399" s="113"/>
      <c r="F1399" s="113"/>
    </row>
    <row r="1400" spans="2:6" x14ac:dyDescent="0.35">
      <c r="B1400" s="22"/>
      <c r="E1400" s="113"/>
      <c r="F1400" s="113"/>
    </row>
    <row r="1401" spans="2:6" x14ac:dyDescent="0.35">
      <c r="B1401" s="22"/>
      <c r="E1401" s="113"/>
      <c r="F1401" s="113"/>
    </row>
    <row r="1402" spans="2:6" x14ac:dyDescent="0.35">
      <c r="B1402" s="22"/>
      <c r="E1402" s="113"/>
      <c r="F1402" s="113"/>
    </row>
    <row r="1403" spans="2:6" x14ac:dyDescent="0.35">
      <c r="B1403" s="22"/>
      <c r="E1403" s="113"/>
      <c r="F1403" s="113"/>
    </row>
    <row r="1404" spans="2:6" x14ac:dyDescent="0.35">
      <c r="B1404" s="22"/>
      <c r="E1404" s="113"/>
      <c r="F1404" s="113"/>
    </row>
    <row r="1405" spans="2:6" x14ac:dyDescent="0.35">
      <c r="B1405" s="22"/>
      <c r="E1405" s="113"/>
      <c r="F1405" s="113"/>
    </row>
    <row r="1406" spans="2:6" x14ac:dyDescent="0.35">
      <c r="B1406" s="22"/>
      <c r="E1406" s="113"/>
      <c r="F1406" s="113"/>
    </row>
    <row r="1407" spans="2:6" x14ac:dyDescent="0.35">
      <c r="B1407" s="22"/>
      <c r="E1407" s="113"/>
      <c r="F1407" s="113"/>
    </row>
    <row r="1408" spans="2:6" x14ac:dyDescent="0.35">
      <c r="B1408" s="22"/>
      <c r="E1408" s="113"/>
      <c r="F1408" s="113"/>
    </row>
    <row r="1409" spans="2:6" x14ac:dyDescent="0.35">
      <c r="B1409" s="22"/>
      <c r="E1409" s="113"/>
      <c r="F1409" s="113"/>
    </row>
    <row r="1410" spans="2:6" x14ac:dyDescent="0.35">
      <c r="B1410" s="22"/>
      <c r="E1410" s="113"/>
      <c r="F1410" s="113"/>
    </row>
    <row r="1411" spans="2:6" x14ac:dyDescent="0.35">
      <c r="B1411" s="22"/>
      <c r="E1411" s="113"/>
      <c r="F1411" s="113"/>
    </row>
    <row r="1412" spans="2:6" x14ac:dyDescent="0.35">
      <c r="B1412" s="22"/>
      <c r="E1412" s="113"/>
      <c r="F1412" s="113"/>
    </row>
    <row r="1413" spans="2:6" x14ac:dyDescent="0.35">
      <c r="B1413" s="22"/>
      <c r="E1413" s="113"/>
      <c r="F1413" s="113"/>
    </row>
    <row r="1414" spans="2:6" x14ac:dyDescent="0.35">
      <c r="B1414" s="22"/>
      <c r="E1414" s="113"/>
      <c r="F1414" s="113"/>
    </row>
    <row r="1415" spans="2:6" x14ac:dyDescent="0.35">
      <c r="B1415" s="22"/>
      <c r="E1415" s="113"/>
      <c r="F1415" s="113"/>
    </row>
    <row r="1416" spans="2:6" x14ac:dyDescent="0.35">
      <c r="B1416" s="22"/>
      <c r="E1416" s="113"/>
      <c r="F1416" s="113"/>
    </row>
    <row r="1417" spans="2:6" x14ac:dyDescent="0.35">
      <c r="B1417" s="22"/>
      <c r="E1417" s="113"/>
      <c r="F1417" s="113"/>
    </row>
    <row r="1418" spans="2:6" x14ac:dyDescent="0.35">
      <c r="B1418" s="22"/>
      <c r="E1418" s="113"/>
      <c r="F1418" s="113"/>
    </row>
    <row r="1419" spans="2:6" x14ac:dyDescent="0.35">
      <c r="B1419" s="22"/>
      <c r="E1419" s="113"/>
      <c r="F1419" s="113"/>
    </row>
    <row r="1420" spans="2:6" x14ac:dyDescent="0.35">
      <c r="B1420" s="22"/>
      <c r="E1420" s="113"/>
      <c r="F1420" s="113"/>
    </row>
    <row r="1421" spans="2:6" x14ac:dyDescent="0.35">
      <c r="B1421" s="22"/>
      <c r="E1421" s="113"/>
      <c r="F1421" s="113"/>
    </row>
    <row r="1422" spans="2:6" x14ac:dyDescent="0.35">
      <c r="B1422" s="22"/>
      <c r="E1422" s="113"/>
      <c r="F1422" s="113"/>
    </row>
    <row r="1423" spans="2:6" x14ac:dyDescent="0.35">
      <c r="B1423" s="22"/>
      <c r="E1423" s="113"/>
      <c r="F1423" s="113"/>
    </row>
    <row r="1424" spans="2:6" x14ac:dyDescent="0.35">
      <c r="B1424" s="22"/>
      <c r="E1424" s="113"/>
      <c r="F1424" s="113"/>
    </row>
    <row r="1425" spans="2:6" x14ac:dyDescent="0.35">
      <c r="B1425" s="22"/>
      <c r="E1425" s="113"/>
      <c r="F1425" s="113"/>
    </row>
    <row r="1426" spans="2:6" x14ac:dyDescent="0.35">
      <c r="B1426" s="22"/>
      <c r="E1426" s="113"/>
      <c r="F1426" s="113"/>
    </row>
    <row r="1427" spans="2:6" x14ac:dyDescent="0.35">
      <c r="B1427" s="22"/>
      <c r="E1427" s="113"/>
      <c r="F1427" s="113"/>
    </row>
    <row r="1428" spans="2:6" x14ac:dyDescent="0.35">
      <c r="B1428" s="22"/>
      <c r="E1428" s="113"/>
      <c r="F1428" s="113"/>
    </row>
    <row r="1429" spans="2:6" x14ac:dyDescent="0.35">
      <c r="B1429" s="22"/>
      <c r="E1429" s="113"/>
      <c r="F1429" s="113"/>
    </row>
    <row r="1430" spans="2:6" x14ac:dyDescent="0.35">
      <c r="B1430" s="22"/>
      <c r="E1430" s="113"/>
      <c r="F1430" s="113"/>
    </row>
    <row r="1431" spans="2:6" x14ac:dyDescent="0.35">
      <c r="B1431" s="22"/>
      <c r="E1431" s="113"/>
      <c r="F1431" s="113"/>
    </row>
    <row r="1432" spans="2:6" x14ac:dyDescent="0.35">
      <c r="B1432" s="22"/>
      <c r="E1432" s="113"/>
      <c r="F1432" s="113"/>
    </row>
    <row r="1433" spans="2:6" x14ac:dyDescent="0.35">
      <c r="B1433" s="22"/>
      <c r="E1433" s="113"/>
      <c r="F1433" s="113"/>
    </row>
    <row r="1434" spans="2:6" x14ac:dyDescent="0.35">
      <c r="B1434" s="22"/>
      <c r="E1434" s="113"/>
      <c r="F1434" s="113"/>
    </row>
    <row r="1435" spans="2:6" x14ac:dyDescent="0.35">
      <c r="B1435" s="22"/>
      <c r="E1435" s="113"/>
      <c r="F1435" s="113"/>
    </row>
    <row r="1436" spans="2:6" x14ac:dyDescent="0.35">
      <c r="B1436" s="22"/>
      <c r="E1436" s="113"/>
      <c r="F1436" s="113"/>
    </row>
    <row r="1437" spans="2:6" x14ac:dyDescent="0.35">
      <c r="B1437" s="22"/>
      <c r="E1437" s="113"/>
      <c r="F1437" s="113"/>
    </row>
    <row r="1438" spans="2:6" x14ac:dyDescent="0.35">
      <c r="B1438" s="22"/>
      <c r="E1438" s="113"/>
      <c r="F1438" s="113"/>
    </row>
    <row r="1439" spans="2:6" x14ac:dyDescent="0.35">
      <c r="B1439" s="22"/>
      <c r="E1439" s="113"/>
      <c r="F1439" s="113"/>
    </row>
    <row r="1440" spans="2:6" x14ac:dyDescent="0.35">
      <c r="B1440" s="22"/>
      <c r="E1440" s="113"/>
      <c r="F1440" s="113"/>
    </row>
    <row r="1441" spans="2:6" x14ac:dyDescent="0.35">
      <c r="B1441" s="22"/>
      <c r="E1441" s="113"/>
      <c r="F1441" s="113"/>
    </row>
    <row r="1442" spans="2:6" x14ac:dyDescent="0.35">
      <c r="B1442" s="22"/>
      <c r="E1442" s="113"/>
      <c r="F1442" s="113"/>
    </row>
    <row r="1443" spans="2:6" x14ac:dyDescent="0.35">
      <c r="B1443" s="22"/>
      <c r="E1443" s="113"/>
      <c r="F1443" s="113"/>
    </row>
    <row r="1444" spans="2:6" x14ac:dyDescent="0.35">
      <c r="B1444" s="22"/>
      <c r="E1444" s="113"/>
      <c r="F1444" s="113"/>
    </row>
    <row r="1445" spans="2:6" x14ac:dyDescent="0.35">
      <c r="B1445" s="22"/>
      <c r="E1445" s="113"/>
      <c r="F1445" s="113"/>
    </row>
    <row r="1446" spans="2:6" x14ac:dyDescent="0.35">
      <c r="B1446" s="22"/>
      <c r="E1446" s="113"/>
      <c r="F1446" s="113"/>
    </row>
    <row r="1447" spans="2:6" x14ac:dyDescent="0.35">
      <c r="B1447" s="22"/>
      <c r="E1447" s="113"/>
      <c r="F1447" s="113"/>
    </row>
    <row r="1448" spans="2:6" x14ac:dyDescent="0.35">
      <c r="B1448" s="22"/>
      <c r="E1448" s="113"/>
      <c r="F1448" s="113"/>
    </row>
    <row r="1449" spans="2:6" x14ac:dyDescent="0.35">
      <c r="B1449" s="22"/>
      <c r="E1449" s="113"/>
      <c r="F1449" s="113"/>
    </row>
    <row r="1450" spans="2:6" x14ac:dyDescent="0.35">
      <c r="B1450" s="22"/>
      <c r="E1450" s="113"/>
      <c r="F1450" s="113"/>
    </row>
    <row r="1451" spans="2:6" x14ac:dyDescent="0.35">
      <c r="B1451" s="22"/>
      <c r="E1451" s="113"/>
      <c r="F1451" s="113"/>
    </row>
    <row r="1452" spans="2:6" x14ac:dyDescent="0.35">
      <c r="B1452" s="22"/>
      <c r="E1452" s="113"/>
      <c r="F1452" s="113"/>
    </row>
    <row r="1453" spans="2:6" x14ac:dyDescent="0.35">
      <c r="B1453" s="22"/>
      <c r="E1453" s="113"/>
      <c r="F1453" s="113"/>
    </row>
    <row r="1454" spans="2:6" x14ac:dyDescent="0.35">
      <c r="B1454" s="22"/>
      <c r="E1454" s="113"/>
      <c r="F1454" s="113"/>
    </row>
    <row r="1455" spans="2:6" x14ac:dyDescent="0.35">
      <c r="B1455" s="22"/>
      <c r="E1455" s="113"/>
      <c r="F1455" s="113"/>
    </row>
    <row r="1456" spans="2:6" x14ac:dyDescent="0.35">
      <c r="B1456" s="22"/>
      <c r="E1456" s="113"/>
      <c r="F1456" s="113"/>
    </row>
    <row r="1457" spans="2:6" x14ac:dyDescent="0.35">
      <c r="B1457" s="22"/>
      <c r="E1457" s="113"/>
      <c r="F1457" s="113"/>
    </row>
    <row r="1458" spans="2:6" x14ac:dyDescent="0.35">
      <c r="B1458" s="22"/>
      <c r="E1458" s="113"/>
      <c r="F1458" s="113"/>
    </row>
    <row r="1459" spans="2:6" x14ac:dyDescent="0.35">
      <c r="B1459" s="22"/>
      <c r="E1459" s="113"/>
      <c r="F1459" s="113"/>
    </row>
    <row r="1460" spans="2:6" x14ac:dyDescent="0.35">
      <c r="B1460" s="22"/>
      <c r="E1460" s="113"/>
      <c r="F1460" s="113"/>
    </row>
    <row r="1461" spans="2:6" x14ac:dyDescent="0.35">
      <c r="B1461" s="22"/>
      <c r="E1461" s="113"/>
      <c r="F1461" s="113"/>
    </row>
    <row r="1462" spans="2:6" x14ac:dyDescent="0.35">
      <c r="B1462" s="22"/>
      <c r="E1462" s="113"/>
      <c r="F1462" s="113"/>
    </row>
    <row r="1463" spans="2:6" x14ac:dyDescent="0.35">
      <c r="B1463" s="22"/>
      <c r="E1463" s="113"/>
      <c r="F1463" s="113"/>
    </row>
    <row r="1464" spans="2:6" x14ac:dyDescent="0.35">
      <c r="B1464" s="22"/>
      <c r="E1464" s="113"/>
      <c r="F1464" s="113"/>
    </row>
    <row r="1465" spans="2:6" x14ac:dyDescent="0.35">
      <c r="B1465" s="22"/>
      <c r="E1465" s="113"/>
      <c r="F1465" s="113"/>
    </row>
    <row r="1466" spans="2:6" x14ac:dyDescent="0.35">
      <c r="B1466" s="22"/>
      <c r="E1466" s="113"/>
      <c r="F1466" s="113"/>
    </row>
    <row r="1467" spans="2:6" x14ac:dyDescent="0.35">
      <c r="B1467" s="22"/>
      <c r="E1467" s="113"/>
      <c r="F1467" s="113"/>
    </row>
    <row r="1468" spans="2:6" x14ac:dyDescent="0.35">
      <c r="B1468" s="29"/>
      <c r="E1468" s="113"/>
      <c r="F1468" s="113"/>
    </row>
    <row r="1469" spans="2:6" x14ac:dyDescent="0.35">
      <c r="B1469" s="29"/>
      <c r="E1469" s="113"/>
      <c r="F1469" s="113"/>
    </row>
    <row r="1470" spans="2:6" x14ac:dyDescent="0.35">
      <c r="B1470" s="29"/>
      <c r="E1470" s="113"/>
      <c r="F1470" s="113"/>
    </row>
    <row r="1471" spans="2:6" x14ac:dyDescent="0.35">
      <c r="B1471" s="29"/>
      <c r="E1471" s="113"/>
      <c r="F1471" s="113"/>
    </row>
    <row r="1472" spans="2:6" x14ac:dyDescent="0.35">
      <c r="B1472" s="29"/>
      <c r="E1472" s="113"/>
      <c r="F1472" s="113"/>
    </row>
    <row r="1473" spans="2:6" x14ac:dyDescent="0.35">
      <c r="B1473" s="29"/>
      <c r="E1473" s="113"/>
      <c r="F1473" s="113"/>
    </row>
    <row r="1474" spans="2:6" x14ac:dyDescent="0.35">
      <c r="B1474" s="29"/>
      <c r="E1474" s="113"/>
      <c r="F1474" s="113"/>
    </row>
    <row r="1475" spans="2:6" x14ac:dyDescent="0.35">
      <c r="B1475" s="29"/>
      <c r="E1475" s="113"/>
      <c r="F1475" s="113"/>
    </row>
    <row r="1476" spans="2:6" x14ac:dyDescent="0.35">
      <c r="B1476" s="29"/>
      <c r="E1476" s="113"/>
      <c r="F1476" s="113"/>
    </row>
    <row r="1477" spans="2:6" x14ac:dyDescent="0.35">
      <c r="B1477" s="29"/>
      <c r="E1477" s="113"/>
      <c r="F1477" s="113"/>
    </row>
    <row r="1478" spans="2:6" x14ac:dyDescent="0.35">
      <c r="B1478" s="29"/>
      <c r="E1478" s="113"/>
      <c r="F1478" s="113"/>
    </row>
    <row r="1479" spans="2:6" x14ac:dyDescent="0.35">
      <c r="B1479" s="29"/>
      <c r="E1479" s="113"/>
      <c r="F1479" s="113"/>
    </row>
    <row r="1480" spans="2:6" x14ac:dyDescent="0.35">
      <c r="B1480" s="29"/>
      <c r="E1480" s="113"/>
      <c r="F1480" s="113"/>
    </row>
    <row r="1481" spans="2:6" x14ac:dyDescent="0.35">
      <c r="B1481" s="29"/>
      <c r="E1481" s="113"/>
      <c r="F1481" s="113"/>
    </row>
    <row r="1482" spans="2:6" x14ac:dyDescent="0.35">
      <c r="B1482" s="29"/>
      <c r="E1482" s="113"/>
      <c r="F1482" s="113"/>
    </row>
    <row r="1483" spans="2:6" x14ac:dyDescent="0.35">
      <c r="B1483" s="29"/>
      <c r="E1483" s="113"/>
      <c r="F1483" s="113"/>
    </row>
    <row r="1484" spans="2:6" x14ac:dyDescent="0.35">
      <c r="B1484" s="29"/>
      <c r="E1484" s="113"/>
      <c r="F1484" s="113"/>
    </row>
    <row r="1485" spans="2:6" x14ac:dyDescent="0.35">
      <c r="B1485" s="29"/>
      <c r="E1485" s="113"/>
      <c r="F1485" s="113"/>
    </row>
    <row r="1486" spans="2:6" x14ac:dyDescent="0.35">
      <c r="B1486" s="29"/>
      <c r="E1486" s="113"/>
      <c r="F1486" s="113"/>
    </row>
    <row r="1487" spans="2:6" x14ac:dyDescent="0.35">
      <c r="B1487" s="29"/>
      <c r="E1487" s="113"/>
      <c r="F1487" s="113"/>
    </row>
    <row r="1488" spans="2:6" x14ac:dyDescent="0.35">
      <c r="B1488" s="29"/>
      <c r="E1488" s="113"/>
      <c r="F1488" s="113"/>
    </row>
    <row r="1489" spans="2:6" x14ac:dyDescent="0.35">
      <c r="B1489" s="29"/>
      <c r="E1489" s="113"/>
      <c r="F1489" s="113"/>
    </row>
    <row r="1490" spans="2:6" x14ac:dyDescent="0.35">
      <c r="B1490" s="29"/>
      <c r="E1490" s="113"/>
      <c r="F1490" s="113"/>
    </row>
    <row r="1491" spans="2:6" x14ac:dyDescent="0.35">
      <c r="B1491" s="29"/>
      <c r="E1491" s="113"/>
      <c r="F1491" s="113"/>
    </row>
    <row r="1492" spans="2:6" x14ac:dyDescent="0.35">
      <c r="B1492" s="29"/>
      <c r="E1492" s="113"/>
      <c r="F1492" s="113"/>
    </row>
    <row r="1493" spans="2:6" x14ac:dyDescent="0.35">
      <c r="B1493" s="29"/>
      <c r="E1493" s="113"/>
      <c r="F1493" s="113"/>
    </row>
    <row r="1494" spans="2:6" x14ac:dyDescent="0.35">
      <c r="B1494" s="29"/>
      <c r="E1494" s="113"/>
      <c r="F1494" s="113"/>
    </row>
    <row r="1495" spans="2:6" x14ac:dyDescent="0.35">
      <c r="B1495" s="29"/>
      <c r="E1495" s="113"/>
      <c r="F1495" s="113"/>
    </row>
    <row r="1496" spans="2:6" x14ac:dyDescent="0.35">
      <c r="B1496" s="29"/>
      <c r="E1496" s="113"/>
      <c r="F1496" s="113"/>
    </row>
    <row r="1497" spans="2:6" x14ac:dyDescent="0.35">
      <c r="B1497" s="29"/>
      <c r="E1497" s="113"/>
      <c r="F1497" s="113"/>
    </row>
    <row r="1498" spans="2:6" x14ac:dyDescent="0.35">
      <c r="B1498" s="29"/>
      <c r="E1498" s="113"/>
      <c r="F1498" s="113"/>
    </row>
    <row r="1499" spans="2:6" x14ac:dyDescent="0.35">
      <c r="B1499" s="29"/>
      <c r="E1499" s="113"/>
      <c r="F1499" s="113"/>
    </row>
    <row r="1500" spans="2:6" x14ac:dyDescent="0.35">
      <c r="B1500" s="29"/>
      <c r="E1500" s="113"/>
      <c r="F1500" s="113"/>
    </row>
    <row r="1501" spans="2:6" x14ac:dyDescent="0.35">
      <c r="B1501" s="29"/>
      <c r="E1501" s="113"/>
      <c r="F1501" s="113"/>
    </row>
    <row r="1502" spans="2:6" x14ac:dyDescent="0.35">
      <c r="B1502" s="29"/>
      <c r="E1502" s="113"/>
      <c r="F1502" s="113"/>
    </row>
    <row r="1503" spans="2:6" x14ac:dyDescent="0.35">
      <c r="B1503" s="29"/>
      <c r="E1503" s="113"/>
      <c r="F1503" s="113"/>
    </row>
    <row r="1504" spans="2:6" x14ac:dyDescent="0.35">
      <c r="B1504" s="29"/>
      <c r="E1504" s="113"/>
      <c r="F1504" s="113"/>
    </row>
    <row r="1505" spans="2:6" x14ac:dyDescent="0.35">
      <c r="B1505" s="29"/>
      <c r="E1505" s="113"/>
      <c r="F1505" s="113"/>
    </row>
    <row r="1506" spans="2:6" x14ac:dyDescent="0.35">
      <c r="B1506" s="29"/>
      <c r="E1506" s="113"/>
      <c r="F1506" s="113"/>
    </row>
    <row r="1507" spans="2:6" x14ac:dyDescent="0.35">
      <c r="B1507" s="29"/>
      <c r="E1507" s="113"/>
      <c r="F1507" s="113"/>
    </row>
    <row r="1508" spans="2:6" x14ac:dyDescent="0.35">
      <c r="B1508" s="29"/>
      <c r="E1508" s="113"/>
      <c r="F1508" s="113"/>
    </row>
    <row r="1509" spans="2:6" x14ac:dyDescent="0.35">
      <c r="B1509" s="29"/>
      <c r="E1509" s="113"/>
      <c r="F1509" s="113"/>
    </row>
    <row r="1510" spans="2:6" x14ac:dyDescent="0.35">
      <c r="B1510" s="29"/>
      <c r="E1510" s="113"/>
      <c r="F1510" s="113"/>
    </row>
    <row r="1511" spans="2:6" x14ac:dyDescent="0.35">
      <c r="B1511" s="29"/>
      <c r="E1511" s="113"/>
      <c r="F1511" s="113"/>
    </row>
    <row r="1512" spans="2:6" x14ac:dyDescent="0.35">
      <c r="B1512" s="29"/>
      <c r="E1512" s="113"/>
      <c r="F1512" s="113"/>
    </row>
    <row r="1513" spans="2:6" x14ac:dyDescent="0.35">
      <c r="B1513" s="29"/>
      <c r="E1513" s="113"/>
      <c r="F1513" s="113"/>
    </row>
    <row r="1514" spans="2:6" x14ac:dyDescent="0.35">
      <c r="B1514" s="29"/>
      <c r="E1514" s="113"/>
      <c r="F1514" s="113"/>
    </row>
    <row r="1515" spans="2:6" x14ac:dyDescent="0.35">
      <c r="B1515" s="29"/>
      <c r="E1515" s="113"/>
      <c r="F1515" s="113"/>
    </row>
    <row r="1516" spans="2:6" x14ac:dyDescent="0.35">
      <c r="B1516" s="29"/>
      <c r="E1516" s="113"/>
      <c r="F1516" s="113"/>
    </row>
    <row r="1517" spans="2:6" x14ac:dyDescent="0.35">
      <c r="B1517" s="29"/>
      <c r="E1517" s="113"/>
      <c r="F1517" s="113"/>
    </row>
    <row r="1518" spans="2:6" x14ac:dyDescent="0.35">
      <c r="B1518" s="29"/>
      <c r="E1518" s="113"/>
      <c r="F1518" s="113"/>
    </row>
    <row r="1519" spans="2:6" x14ac:dyDescent="0.35">
      <c r="B1519" s="29"/>
      <c r="E1519" s="113"/>
      <c r="F1519" s="113"/>
    </row>
    <row r="1520" spans="2:6" x14ac:dyDescent="0.35">
      <c r="B1520" s="29"/>
      <c r="E1520" s="113"/>
      <c r="F1520" s="113"/>
    </row>
    <row r="1521" spans="2:6" x14ac:dyDescent="0.35">
      <c r="B1521" s="29"/>
      <c r="E1521" s="113"/>
      <c r="F1521" s="113"/>
    </row>
    <row r="1522" spans="2:6" x14ac:dyDescent="0.35">
      <c r="B1522" s="29"/>
      <c r="E1522" s="113"/>
      <c r="F1522" s="113"/>
    </row>
    <row r="1523" spans="2:6" x14ac:dyDescent="0.35">
      <c r="B1523" s="29"/>
      <c r="E1523" s="113"/>
      <c r="F1523" s="113"/>
    </row>
    <row r="1524" spans="2:6" x14ac:dyDescent="0.35">
      <c r="B1524" s="29"/>
      <c r="E1524" s="113"/>
      <c r="F1524" s="113"/>
    </row>
    <row r="1525" spans="2:6" x14ac:dyDescent="0.35">
      <c r="B1525" s="29"/>
      <c r="E1525" s="113"/>
      <c r="F1525" s="113"/>
    </row>
    <row r="1526" spans="2:6" x14ac:dyDescent="0.35">
      <c r="B1526" s="29"/>
      <c r="E1526" s="113"/>
      <c r="F1526" s="113"/>
    </row>
    <row r="1527" spans="2:6" x14ac:dyDescent="0.35">
      <c r="B1527" s="29"/>
      <c r="E1527" s="113"/>
      <c r="F1527" s="113"/>
    </row>
  </sheetData>
  <conditionalFormatting sqref="A9:N1225">
    <cfRule type="cellIs" dxfId="4" priority="2" operator="notEqual">
      <formula>""</formula>
    </cfRule>
  </conditionalFormatting>
  <conditionalFormatting sqref="H4">
    <cfRule type="cellIs" dxfId="3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3" r:id="rId3" name="liste_NAvoir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38913" r:id="rId3" name="liste_NAvoirDet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0000"/>
    <pageSetUpPr fitToPage="1"/>
  </sheetPr>
  <dimension ref="A1:AA303"/>
  <sheetViews>
    <sheetView workbookViewId="0">
      <selection activeCell="C22" sqref="C22"/>
    </sheetView>
  </sheetViews>
  <sheetFormatPr baseColWidth="10" defaultRowHeight="14.5" x14ac:dyDescent="0.35"/>
  <cols>
    <col min="1" max="1" width="58" customWidth="1"/>
    <col min="2" max="2" width="2" customWidth="1"/>
    <col min="3" max="3" width="37" customWidth="1"/>
    <col min="4" max="4" width="14.453125" bestFit="1" customWidth="1"/>
  </cols>
  <sheetData>
    <row r="1" spans="1:27" ht="19.5" customHeight="1" x14ac:dyDescent="0.35">
      <c r="A1" s="32" t="s">
        <v>2148</v>
      </c>
      <c r="B1" s="30"/>
      <c r="C1" s="31" t="s">
        <v>2147</v>
      </c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</row>
    <row r="2" spans="1:27" x14ac:dyDescent="0.3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</row>
    <row r="3" spans="1:27" ht="24" customHeight="1" x14ac:dyDescent="0.35">
      <c r="A3" s="32" t="s">
        <v>1129</v>
      </c>
      <c r="B3" s="30"/>
      <c r="C3" s="31" t="str">
        <f>+IF(C9=C10,"OK","Attention Ecart de : "&amp;C9-C10)</f>
        <v>Attention Ecart de : 2597205402</v>
      </c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</row>
    <row r="4" spans="1:27" x14ac:dyDescent="0.35">
      <c r="A4" s="33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</row>
    <row r="5" spans="1:27" x14ac:dyDescent="0.3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</row>
    <row r="6" spans="1:27" ht="24" customHeight="1" x14ac:dyDescent="0.35">
      <c r="A6" s="32" t="s">
        <v>1128</v>
      </c>
      <c r="B6" s="30"/>
      <c r="C6" s="31" t="str">
        <f>+IF(C13=C14,"OK","Attention Ecart de : "&amp;C13-C14)</f>
        <v>OK</v>
      </c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</row>
    <row r="7" spans="1:27" x14ac:dyDescent="0.35">
      <c r="A7" s="33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7" x14ac:dyDescent="0.35">
      <c r="A8" s="33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</row>
    <row r="9" spans="1:27" x14ac:dyDescent="0.35">
      <c r="A9" s="32" t="s">
        <v>1121</v>
      </c>
      <c r="B9" s="30"/>
      <c r="C9" s="104">
        <f>SUM('Etat Factures'!$F$3:$F$1000)</f>
        <v>2837439695.3199997</v>
      </c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</row>
    <row r="10" spans="1:27" x14ac:dyDescent="0.35">
      <c r="A10" s="32" t="s">
        <v>1122</v>
      </c>
      <c r="B10" s="30"/>
      <c r="C10" s="104">
        <f>SUM('Détail Factures'!$I$3:$I$5000)</f>
        <v>240234293.31999999</v>
      </c>
      <c r="D10" s="103">
        <v>237007623.31999999</v>
      </c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</row>
    <row r="11" spans="1:27" x14ac:dyDescent="0.35">
      <c r="A11" s="30"/>
      <c r="B11" s="30"/>
      <c r="C11" s="30"/>
      <c r="D11" s="103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</row>
    <row r="12" spans="1:27" x14ac:dyDescent="0.35">
      <c r="A12" s="30"/>
      <c r="B12" s="30"/>
      <c r="C12" s="30"/>
      <c r="D12" s="103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</row>
    <row r="13" spans="1:27" x14ac:dyDescent="0.35">
      <c r="A13" s="32" t="s">
        <v>2132</v>
      </c>
      <c r="B13" s="30"/>
      <c r="C13" s="104">
        <f>SUM('Etat Avoirs'!$F$3:$F$1000)</f>
        <v>2069938.48</v>
      </c>
      <c r="D13" s="103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</row>
    <row r="14" spans="1:27" x14ac:dyDescent="0.35">
      <c r="A14" s="32" t="s">
        <v>2135</v>
      </c>
      <c r="B14" s="30"/>
      <c r="C14" s="104">
        <f>SUM('Détail Avoirs'!$I$3:$I$5000)</f>
        <v>2069938.4799999993</v>
      </c>
      <c r="D14" s="103">
        <v>948940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</row>
    <row r="15" spans="1:27" x14ac:dyDescent="0.3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</row>
    <row r="16" spans="1:27" x14ac:dyDescent="0.3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</row>
    <row r="17" spans="1:27" x14ac:dyDescent="0.3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</row>
    <row r="18" spans="1:27" x14ac:dyDescent="0.3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</row>
    <row r="19" spans="1:27" x14ac:dyDescent="0.3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</row>
    <row r="20" spans="1:27" x14ac:dyDescent="0.3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</row>
    <row r="21" spans="1:27" x14ac:dyDescent="0.3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</row>
    <row r="22" spans="1:27" x14ac:dyDescent="0.3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</row>
    <row r="23" spans="1:27" x14ac:dyDescent="0.3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</row>
    <row r="24" spans="1:27" x14ac:dyDescent="0.3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</row>
    <row r="25" spans="1:27" x14ac:dyDescent="0.3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</row>
    <row r="26" spans="1:27" x14ac:dyDescent="0.3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</row>
    <row r="27" spans="1:27" x14ac:dyDescent="0.3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</row>
    <row r="28" spans="1:27" x14ac:dyDescent="0.3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</row>
    <row r="29" spans="1:27" x14ac:dyDescent="0.3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</row>
    <row r="30" spans="1:27" x14ac:dyDescent="0.3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</row>
    <row r="31" spans="1:27" x14ac:dyDescent="0.3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</row>
    <row r="32" spans="1:27" x14ac:dyDescent="0.3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</row>
    <row r="33" spans="1:27" x14ac:dyDescent="0.3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</row>
    <row r="34" spans="1:27" x14ac:dyDescent="0.3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</row>
    <row r="35" spans="1:27" x14ac:dyDescent="0.3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</row>
    <row r="36" spans="1:27" x14ac:dyDescent="0.3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</row>
    <row r="37" spans="1:27" x14ac:dyDescent="0.3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</row>
    <row r="38" spans="1:27" x14ac:dyDescent="0.3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</row>
    <row r="39" spans="1:27" x14ac:dyDescent="0.3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</row>
    <row r="40" spans="1:27" x14ac:dyDescent="0.3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</row>
    <row r="41" spans="1:27" x14ac:dyDescent="0.3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</row>
    <row r="42" spans="1:27" x14ac:dyDescent="0.3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1:27" x14ac:dyDescent="0.3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</row>
    <row r="44" spans="1:27" x14ac:dyDescent="0.3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</row>
    <row r="45" spans="1:27" x14ac:dyDescent="0.3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</row>
    <row r="46" spans="1:27" x14ac:dyDescent="0.3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</row>
    <row r="47" spans="1:27" x14ac:dyDescent="0.3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</row>
    <row r="48" spans="1:27" x14ac:dyDescent="0.3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</row>
    <row r="49" spans="1:27" x14ac:dyDescent="0.3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</row>
    <row r="50" spans="1:27" x14ac:dyDescent="0.3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</row>
    <row r="51" spans="1:27" x14ac:dyDescent="0.3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</row>
    <row r="52" spans="1:27" x14ac:dyDescent="0.3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</row>
    <row r="53" spans="1:27" x14ac:dyDescent="0.3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</row>
    <row r="54" spans="1:27" x14ac:dyDescent="0.3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</row>
    <row r="55" spans="1:27" x14ac:dyDescent="0.3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</row>
    <row r="56" spans="1:27" x14ac:dyDescent="0.3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27" x14ac:dyDescent="0.3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</row>
    <row r="58" spans="1:27" x14ac:dyDescent="0.3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</row>
    <row r="59" spans="1:27" x14ac:dyDescent="0.3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</row>
    <row r="60" spans="1:27" x14ac:dyDescent="0.3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</row>
    <row r="61" spans="1:27" x14ac:dyDescent="0.3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</row>
    <row r="62" spans="1:27" x14ac:dyDescent="0.3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</row>
    <row r="63" spans="1:27" x14ac:dyDescent="0.3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</row>
    <row r="64" spans="1:27" x14ac:dyDescent="0.3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</row>
    <row r="65" spans="1:27" x14ac:dyDescent="0.3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</row>
    <row r="66" spans="1:27" x14ac:dyDescent="0.3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</row>
    <row r="67" spans="1:27" x14ac:dyDescent="0.3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</row>
    <row r="68" spans="1:27" x14ac:dyDescent="0.3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</row>
    <row r="69" spans="1:27" x14ac:dyDescent="0.3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</row>
    <row r="70" spans="1:27" x14ac:dyDescent="0.3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</row>
    <row r="71" spans="1:27" x14ac:dyDescent="0.3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</row>
    <row r="72" spans="1:27" x14ac:dyDescent="0.3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</row>
    <row r="73" spans="1:27" x14ac:dyDescent="0.3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</row>
    <row r="74" spans="1:27" x14ac:dyDescent="0.3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</row>
    <row r="75" spans="1:27" x14ac:dyDescent="0.3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</row>
    <row r="76" spans="1:27" x14ac:dyDescent="0.3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</row>
    <row r="77" spans="1:27" x14ac:dyDescent="0.3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</row>
    <row r="78" spans="1:27" x14ac:dyDescent="0.3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</row>
    <row r="79" spans="1:27" x14ac:dyDescent="0.3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</row>
    <row r="80" spans="1:27" x14ac:dyDescent="0.3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</row>
    <row r="81" spans="1:27" x14ac:dyDescent="0.3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</row>
    <row r="82" spans="1:27" x14ac:dyDescent="0.3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</row>
    <row r="83" spans="1:27" x14ac:dyDescent="0.3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</row>
    <row r="84" spans="1:27" x14ac:dyDescent="0.3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</row>
    <row r="85" spans="1:27" x14ac:dyDescent="0.3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</row>
    <row r="86" spans="1:27" x14ac:dyDescent="0.3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</row>
    <row r="87" spans="1:27" x14ac:dyDescent="0.3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</row>
    <row r="88" spans="1:27" x14ac:dyDescent="0.3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</row>
    <row r="89" spans="1:27" x14ac:dyDescent="0.3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</row>
    <row r="90" spans="1:27" x14ac:dyDescent="0.3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</row>
    <row r="91" spans="1:27" x14ac:dyDescent="0.3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</row>
    <row r="92" spans="1:27" x14ac:dyDescent="0.3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</row>
    <row r="93" spans="1:27" x14ac:dyDescent="0.3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</row>
    <row r="94" spans="1:27" x14ac:dyDescent="0.3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</row>
    <row r="95" spans="1:27" x14ac:dyDescent="0.3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</row>
    <row r="96" spans="1:27" x14ac:dyDescent="0.3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</row>
    <row r="97" spans="1:27" x14ac:dyDescent="0.3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</row>
    <row r="98" spans="1:27" x14ac:dyDescent="0.3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</row>
    <row r="99" spans="1:27" x14ac:dyDescent="0.3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</row>
    <row r="100" spans="1:27" x14ac:dyDescent="0.3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</row>
    <row r="101" spans="1:27" x14ac:dyDescent="0.3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</row>
    <row r="102" spans="1:27" x14ac:dyDescent="0.3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</row>
    <row r="103" spans="1:27" x14ac:dyDescent="0.3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</row>
    <row r="104" spans="1:27" x14ac:dyDescent="0.3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</row>
    <row r="105" spans="1:27" x14ac:dyDescent="0.3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</row>
    <row r="106" spans="1:27" x14ac:dyDescent="0.3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</row>
    <row r="107" spans="1:27" x14ac:dyDescent="0.3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</row>
    <row r="108" spans="1:27" x14ac:dyDescent="0.3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</row>
    <row r="109" spans="1:27" x14ac:dyDescent="0.3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</row>
    <row r="110" spans="1:27" x14ac:dyDescent="0.3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</row>
    <row r="111" spans="1:27" x14ac:dyDescent="0.3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</row>
    <row r="112" spans="1:27" x14ac:dyDescent="0.3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</row>
    <row r="113" spans="1:27" x14ac:dyDescent="0.3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</row>
    <row r="114" spans="1:27" x14ac:dyDescent="0.3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</row>
    <row r="115" spans="1:27" x14ac:dyDescent="0.3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</row>
    <row r="116" spans="1:27" x14ac:dyDescent="0.3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</row>
    <row r="117" spans="1:27" x14ac:dyDescent="0.3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</row>
    <row r="118" spans="1:27" x14ac:dyDescent="0.3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</row>
    <row r="119" spans="1:27" x14ac:dyDescent="0.3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</row>
    <row r="120" spans="1:27" x14ac:dyDescent="0.3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</row>
    <row r="121" spans="1:27" x14ac:dyDescent="0.3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</row>
    <row r="122" spans="1:27" x14ac:dyDescent="0.3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</row>
    <row r="123" spans="1:27" x14ac:dyDescent="0.3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</row>
    <row r="124" spans="1:27" x14ac:dyDescent="0.3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</row>
    <row r="125" spans="1:27" x14ac:dyDescent="0.3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</row>
    <row r="126" spans="1:27" x14ac:dyDescent="0.3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</row>
    <row r="127" spans="1:27" x14ac:dyDescent="0.3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</row>
    <row r="128" spans="1:27" x14ac:dyDescent="0.3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</row>
    <row r="129" spans="1:27" x14ac:dyDescent="0.3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</row>
    <row r="130" spans="1:27" x14ac:dyDescent="0.3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</row>
    <row r="131" spans="1:27" x14ac:dyDescent="0.3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</row>
    <row r="132" spans="1:27" x14ac:dyDescent="0.3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</row>
    <row r="133" spans="1:27" x14ac:dyDescent="0.3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</row>
    <row r="134" spans="1:27" x14ac:dyDescent="0.3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</row>
    <row r="135" spans="1:27" x14ac:dyDescent="0.3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</row>
    <row r="136" spans="1:27" x14ac:dyDescent="0.3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</row>
    <row r="137" spans="1:27" x14ac:dyDescent="0.3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</row>
    <row r="138" spans="1:27" x14ac:dyDescent="0.3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</row>
    <row r="139" spans="1:27" x14ac:dyDescent="0.3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</row>
    <row r="140" spans="1:27" x14ac:dyDescent="0.3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</row>
    <row r="141" spans="1:27" x14ac:dyDescent="0.3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</row>
    <row r="142" spans="1:27" x14ac:dyDescent="0.3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</row>
    <row r="143" spans="1:27" x14ac:dyDescent="0.3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</row>
    <row r="144" spans="1:27" x14ac:dyDescent="0.3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</row>
    <row r="145" spans="1:27" x14ac:dyDescent="0.3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</row>
    <row r="146" spans="1:27" x14ac:dyDescent="0.3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</row>
    <row r="147" spans="1:27" x14ac:dyDescent="0.3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</row>
    <row r="148" spans="1:27" x14ac:dyDescent="0.3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</row>
    <row r="149" spans="1:27" x14ac:dyDescent="0.3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</row>
    <row r="150" spans="1:27" x14ac:dyDescent="0.3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</row>
    <row r="151" spans="1:27" x14ac:dyDescent="0.3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</row>
    <row r="152" spans="1:27" x14ac:dyDescent="0.3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</row>
    <row r="153" spans="1:27" x14ac:dyDescent="0.3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</row>
    <row r="154" spans="1:27" x14ac:dyDescent="0.3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</row>
    <row r="155" spans="1:27" x14ac:dyDescent="0.3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</row>
    <row r="156" spans="1:27" x14ac:dyDescent="0.3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</row>
    <row r="157" spans="1:27" x14ac:dyDescent="0.3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</row>
    <row r="158" spans="1:27" x14ac:dyDescent="0.3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</row>
    <row r="159" spans="1:27" x14ac:dyDescent="0.3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</row>
    <row r="160" spans="1:27" x14ac:dyDescent="0.3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</row>
    <row r="161" spans="1:27" x14ac:dyDescent="0.3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</row>
    <row r="162" spans="1:27" x14ac:dyDescent="0.3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</row>
    <row r="163" spans="1:27" x14ac:dyDescent="0.3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</row>
    <row r="164" spans="1:27" x14ac:dyDescent="0.3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</row>
    <row r="165" spans="1:27" x14ac:dyDescent="0.3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</row>
    <row r="166" spans="1:27" x14ac:dyDescent="0.3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</row>
    <row r="167" spans="1:27" x14ac:dyDescent="0.3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</row>
    <row r="168" spans="1:27" x14ac:dyDescent="0.3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</row>
    <row r="169" spans="1:27" x14ac:dyDescent="0.3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</row>
    <row r="170" spans="1:27" x14ac:dyDescent="0.3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</row>
    <row r="171" spans="1:27" x14ac:dyDescent="0.3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</row>
    <row r="172" spans="1:27" x14ac:dyDescent="0.3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</row>
    <row r="173" spans="1:27" x14ac:dyDescent="0.3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</row>
    <row r="174" spans="1:27" x14ac:dyDescent="0.3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</row>
    <row r="175" spans="1:27" x14ac:dyDescent="0.3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</row>
    <row r="176" spans="1:27" x14ac:dyDescent="0.3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</row>
    <row r="177" spans="1:27" x14ac:dyDescent="0.3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</row>
    <row r="178" spans="1:27" x14ac:dyDescent="0.3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</row>
    <row r="179" spans="1:27" x14ac:dyDescent="0.3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</row>
    <row r="180" spans="1:27" x14ac:dyDescent="0.3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</row>
    <row r="181" spans="1:27" x14ac:dyDescent="0.3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</row>
    <row r="182" spans="1:27" x14ac:dyDescent="0.3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</row>
    <row r="183" spans="1:27" x14ac:dyDescent="0.3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</row>
    <row r="184" spans="1:27" x14ac:dyDescent="0.3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</row>
    <row r="185" spans="1:27" x14ac:dyDescent="0.3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</row>
    <row r="186" spans="1:27" x14ac:dyDescent="0.3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</row>
    <row r="187" spans="1:27" x14ac:dyDescent="0.3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</row>
    <row r="188" spans="1:27" x14ac:dyDescent="0.3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</row>
    <row r="189" spans="1:27" x14ac:dyDescent="0.3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</row>
    <row r="190" spans="1:27" x14ac:dyDescent="0.3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</row>
    <row r="191" spans="1:27" x14ac:dyDescent="0.3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</row>
    <row r="192" spans="1:27" x14ac:dyDescent="0.3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</row>
    <row r="193" spans="1:27" x14ac:dyDescent="0.3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</row>
    <row r="194" spans="1:27" x14ac:dyDescent="0.3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</row>
    <row r="195" spans="1:27" x14ac:dyDescent="0.3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</row>
    <row r="196" spans="1:27" x14ac:dyDescent="0.3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</row>
    <row r="197" spans="1:27" x14ac:dyDescent="0.3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</row>
    <row r="198" spans="1:27" x14ac:dyDescent="0.3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</row>
    <row r="199" spans="1:27" x14ac:dyDescent="0.3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</row>
    <row r="200" spans="1:27" x14ac:dyDescent="0.3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</row>
    <row r="201" spans="1:27" x14ac:dyDescent="0.3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</row>
    <row r="202" spans="1:27" x14ac:dyDescent="0.3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</row>
    <row r="203" spans="1:27" x14ac:dyDescent="0.3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</row>
    <row r="204" spans="1:27" x14ac:dyDescent="0.3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</row>
    <row r="205" spans="1:27" x14ac:dyDescent="0.3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</row>
    <row r="206" spans="1:27" x14ac:dyDescent="0.3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</row>
    <row r="207" spans="1:27" x14ac:dyDescent="0.3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</row>
    <row r="208" spans="1:27" x14ac:dyDescent="0.3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</row>
    <row r="209" spans="1:27" x14ac:dyDescent="0.3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</row>
    <row r="210" spans="1:27" x14ac:dyDescent="0.3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</row>
    <row r="211" spans="1:27" x14ac:dyDescent="0.3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</row>
    <row r="212" spans="1:27" x14ac:dyDescent="0.3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</row>
    <row r="213" spans="1:27" x14ac:dyDescent="0.3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</row>
    <row r="214" spans="1:27" x14ac:dyDescent="0.3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</row>
    <row r="215" spans="1:27" x14ac:dyDescent="0.3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</row>
    <row r="216" spans="1:27" x14ac:dyDescent="0.3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</row>
    <row r="217" spans="1:27" x14ac:dyDescent="0.3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</row>
    <row r="218" spans="1:27" x14ac:dyDescent="0.3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</row>
    <row r="219" spans="1:27" x14ac:dyDescent="0.3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</row>
    <row r="220" spans="1:27" x14ac:dyDescent="0.3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</row>
    <row r="221" spans="1:27" x14ac:dyDescent="0.3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</row>
    <row r="222" spans="1:27" x14ac:dyDescent="0.3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</row>
    <row r="223" spans="1:27" x14ac:dyDescent="0.3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</row>
    <row r="224" spans="1:27" x14ac:dyDescent="0.3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</row>
    <row r="225" spans="1:27" x14ac:dyDescent="0.3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</row>
    <row r="226" spans="1:27" x14ac:dyDescent="0.3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</row>
    <row r="227" spans="1:27" x14ac:dyDescent="0.3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</row>
    <row r="228" spans="1:27" x14ac:dyDescent="0.3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</row>
    <row r="229" spans="1:27" x14ac:dyDescent="0.3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</row>
    <row r="230" spans="1:27" x14ac:dyDescent="0.3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</row>
    <row r="231" spans="1:27" x14ac:dyDescent="0.3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</row>
    <row r="232" spans="1:27" x14ac:dyDescent="0.3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</row>
    <row r="233" spans="1:27" x14ac:dyDescent="0.3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</row>
    <row r="234" spans="1:27" x14ac:dyDescent="0.3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</row>
    <row r="235" spans="1:27" x14ac:dyDescent="0.3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</row>
    <row r="236" spans="1:27" x14ac:dyDescent="0.3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</row>
    <row r="237" spans="1:27" x14ac:dyDescent="0.3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</row>
    <row r="238" spans="1:27" x14ac:dyDescent="0.3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</row>
    <row r="239" spans="1:27" x14ac:dyDescent="0.3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</row>
    <row r="240" spans="1:27" x14ac:dyDescent="0.3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</row>
    <row r="241" spans="1:27" x14ac:dyDescent="0.3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</row>
    <row r="242" spans="1:27" x14ac:dyDescent="0.3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</row>
    <row r="243" spans="1:27" x14ac:dyDescent="0.3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</row>
    <row r="244" spans="1:27" x14ac:dyDescent="0.3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</row>
    <row r="245" spans="1:27" x14ac:dyDescent="0.3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</row>
    <row r="246" spans="1:27" x14ac:dyDescent="0.3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</row>
    <row r="247" spans="1:27" x14ac:dyDescent="0.3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</row>
    <row r="248" spans="1:27" x14ac:dyDescent="0.3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</row>
    <row r="249" spans="1:27" x14ac:dyDescent="0.3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</row>
    <row r="250" spans="1:27" x14ac:dyDescent="0.3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</row>
    <row r="251" spans="1:27" x14ac:dyDescent="0.3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</row>
    <row r="252" spans="1:27" x14ac:dyDescent="0.3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</row>
    <row r="253" spans="1:27" x14ac:dyDescent="0.3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</row>
    <row r="254" spans="1:27" x14ac:dyDescent="0.3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</row>
    <row r="255" spans="1:27" x14ac:dyDescent="0.3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</row>
    <row r="256" spans="1:27" x14ac:dyDescent="0.3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</row>
    <row r="257" spans="1:27" x14ac:dyDescent="0.3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</row>
    <row r="258" spans="1:27" x14ac:dyDescent="0.3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</row>
    <row r="259" spans="1:27" x14ac:dyDescent="0.3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</row>
    <row r="260" spans="1:27" x14ac:dyDescent="0.3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</row>
    <row r="261" spans="1:27" x14ac:dyDescent="0.3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</row>
    <row r="262" spans="1:27" x14ac:dyDescent="0.3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</row>
    <row r="263" spans="1:27" x14ac:dyDescent="0.3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</row>
    <row r="264" spans="1:27" x14ac:dyDescent="0.3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</row>
    <row r="265" spans="1:27" x14ac:dyDescent="0.3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</row>
    <row r="266" spans="1:27" x14ac:dyDescent="0.3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</row>
    <row r="267" spans="1:27" x14ac:dyDescent="0.3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</row>
    <row r="268" spans="1:27" x14ac:dyDescent="0.3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</row>
    <row r="269" spans="1:27" x14ac:dyDescent="0.3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</row>
    <row r="270" spans="1:27" x14ac:dyDescent="0.3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</row>
    <row r="271" spans="1:27" x14ac:dyDescent="0.3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</row>
    <row r="272" spans="1:27" x14ac:dyDescent="0.3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</row>
    <row r="273" spans="1:27" x14ac:dyDescent="0.3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</row>
    <row r="274" spans="1:27" x14ac:dyDescent="0.3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</row>
    <row r="275" spans="1:27" x14ac:dyDescent="0.3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</row>
    <row r="276" spans="1:27" x14ac:dyDescent="0.3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</row>
    <row r="277" spans="1:27" x14ac:dyDescent="0.3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</row>
    <row r="278" spans="1:27" x14ac:dyDescent="0.3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</row>
    <row r="279" spans="1:27" x14ac:dyDescent="0.3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</row>
    <row r="280" spans="1:27" x14ac:dyDescent="0.3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</row>
    <row r="281" spans="1:27" x14ac:dyDescent="0.3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</row>
    <row r="282" spans="1:27" x14ac:dyDescent="0.3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</row>
    <row r="283" spans="1:27" x14ac:dyDescent="0.3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</row>
    <row r="284" spans="1:27" x14ac:dyDescent="0.3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</row>
    <row r="285" spans="1:27" x14ac:dyDescent="0.3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</row>
    <row r="286" spans="1:27" x14ac:dyDescent="0.3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</row>
    <row r="287" spans="1:27" x14ac:dyDescent="0.3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</row>
    <row r="288" spans="1:27" x14ac:dyDescent="0.3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</row>
    <row r="289" spans="1:27" x14ac:dyDescent="0.3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</row>
    <row r="290" spans="1:27" x14ac:dyDescent="0.3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</row>
    <row r="291" spans="1:27" x14ac:dyDescent="0.3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</row>
    <row r="292" spans="1:27" x14ac:dyDescent="0.3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</row>
    <row r="293" spans="1:27" x14ac:dyDescent="0.3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</row>
    <row r="294" spans="1:27" x14ac:dyDescent="0.3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</row>
    <row r="295" spans="1:27" x14ac:dyDescent="0.3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</row>
    <row r="296" spans="1:27" x14ac:dyDescent="0.3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</row>
    <row r="297" spans="1:27" x14ac:dyDescent="0.3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</row>
    <row r="298" spans="1:27" x14ac:dyDescent="0.3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</row>
    <row r="299" spans="1:27" x14ac:dyDescent="0.3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</row>
    <row r="300" spans="1:27" x14ac:dyDescent="0.3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</row>
    <row r="301" spans="1:27" x14ac:dyDescent="0.3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</row>
    <row r="302" spans="1:27" x14ac:dyDescent="0.3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</row>
    <row r="303" spans="1:27" x14ac:dyDescent="0.3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</row>
  </sheetData>
  <conditionalFormatting sqref="C3">
    <cfRule type="cellIs" dxfId="2" priority="3" operator="notEqual">
      <formula>"OK"</formula>
    </cfRule>
  </conditionalFormatting>
  <conditionalFormatting sqref="C6">
    <cfRule type="cellIs" dxfId="1" priority="2" operator="notEqual">
      <formula>"OK"</formula>
    </cfRule>
  </conditionalFormatting>
  <conditionalFormatting sqref="C1">
    <cfRule type="cellIs" dxfId="0" priority="1" operator="notEqual">
      <formula>"OK"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114300</xdr:colOff>
                <xdr:row>2</xdr:row>
                <xdr:rowOff>19050</xdr:rowOff>
              </from>
              <to>
                <xdr:col>8</xdr:col>
                <xdr:colOff>228600</xdr:colOff>
                <xdr:row>2</xdr:row>
                <xdr:rowOff>266700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A1:L46"/>
  <sheetViews>
    <sheetView showGridLines="0" zoomScale="81" zoomScaleNormal="81" workbookViewId="0">
      <pane xSplit="1" ySplit="3" topLeftCell="B4" activePane="bottomRight" state="frozen"/>
      <selection activeCell="D21" sqref="D21"/>
      <selection pane="topRight" activeCell="D21" sqref="D21"/>
      <selection pane="bottomLeft" activeCell="D21" sqref="D21"/>
      <selection pane="bottomRight" activeCell="B34" sqref="B34"/>
    </sheetView>
  </sheetViews>
  <sheetFormatPr baseColWidth="10" defaultColWidth="8.7265625" defaultRowHeight="14.5" x14ac:dyDescent="0.35"/>
  <cols>
    <col min="1" max="1" width="11.08984375" customWidth="1"/>
    <col min="2" max="2" width="50" style="1" customWidth="1"/>
    <col min="4" max="5" width="11.81640625" customWidth="1"/>
    <col min="6" max="6" width="6.6328125" customWidth="1"/>
    <col min="7" max="7" width="3.08984375" customWidth="1"/>
    <col min="8" max="8" width="11.54296875" customWidth="1"/>
    <col min="9" max="9" width="8.7265625" customWidth="1"/>
    <col min="10" max="10" width="3.54296875" customWidth="1"/>
    <col min="11" max="11" width="7.54296875" customWidth="1"/>
    <col min="12" max="12" width="45.6328125" customWidth="1"/>
  </cols>
  <sheetData>
    <row r="1" spans="1:9" ht="15" thickBot="1" x14ac:dyDescent="0.4">
      <c r="A1" s="2" t="s">
        <v>2</v>
      </c>
      <c r="B1" s="2"/>
    </row>
    <row r="2" spans="1:9" ht="15" thickBot="1" x14ac:dyDescent="0.4">
      <c r="A2" s="14" t="s">
        <v>54</v>
      </c>
    </row>
    <row r="3" spans="1:9" ht="28.5" customHeight="1" thickBot="1" x14ac:dyDescent="0.4">
      <c r="A3" s="2" t="s">
        <v>11</v>
      </c>
      <c r="B3" s="2" t="s">
        <v>50</v>
      </c>
      <c r="C3" s="2" t="s">
        <v>0</v>
      </c>
      <c r="D3" s="6" t="s">
        <v>47</v>
      </c>
      <c r="E3" s="6" t="s">
        <v>48</v>
      </c>
      <c r="F3" s="6" t="s">
        <v>13</v>
      </c>
      <c r="G3" s="5"/>
      <c r="H3" s="6" t="s">
        <v>14</v>
      </c>
      <c r="I3" s="9" t="s">
        <v>10</v>
      </c>
    </row>
    <row r="4" spans="1:9" x14ac:dyDescent="0.35">
      <c r="A4" s="137" t="s">
        <v>30</v>
      </c>
      <c r="B4" s="138" t="s">
        <v>31</v>
      </c>
      <c r="C4" s="137" t="s">
        <v>46</v>
      </c>
      <c r="D4" s="139">
        <v>351.19</v>
      </c>
      <c r="E4" s="140"/>
      <c r="F4" s="141"/>
      <c r="G4" s="5"/>
      <c r="H4" s="7"/>
      <c r="I4" s="7" t="s">
        <v>2137</v>
      </c>
    </row>
    <row r="5" spans="1:9" x14ac:dyDescent="0.35">
      <c r="A5" s="133" t="s">
        <v>32</v>
      </c>
      <c r="B5" s="132" t="s">
        <v>33</v>
      </c>
      <c r="C5" s="133" t="s">
        <v>46</v>
      </c>
      <c r="D5" s="142">
        <v>351.19</v>
      </c>
      <c r="E5" s="134"/>
      <c r="F5" s="135"/>
      <c r="G5" s="5"/>
      <c r="H5" s="8"/>
      <c r="I5" s="8" t="s">
        <v>2137</v>
      </c>
    </row>
    <row r="6" spans="1:9" x14ac:dyDescent="0.35">
      <c r="A6" s="133" t="s">
        <v>34</v>
      </c>
      <c r="B6" s="132" t="s">
        <v>35</v>
      </c>
      <c r="C6" s="131" t="s">
        <v>46</v>
      </c>
      <c r="D6" s="142">
        <v>351.19</v>
      </c>
      <c r="E6" s="134"/>
      <c r="F6" s="135"/>
      <c r="G6" s="5"/>
      <c r="H6" s="8"/>
      <c r="I6" s="8" t="s">
        <v>2137</v>
      </c>
    </row>
    <row r="7" spans="1:9" x14ac:dyDescent="0.35">
      <c r="A7" s="133" t="s">
        <v>36</v>
      </c>
      <c r="B7" s="132" t="s">
        <v>37</v>
      </c>
      <c r="C7" s="131" t="s">
        <v>46</v>
      </c>
      <c r="D7" s="142"/>
      <c r="E7" s="134"/>
      <c r="F7" s="135"/>
      <c r="G7" s="5"/>
      <c r="H7" s="8"/>
      <c r="I7" s="8" t="s">
        <v>2137</v>
      </c>
    </row>
    <row r="8" spans="1:9" x14ac:dyDescent="0.35">
      <c r="A8" s="133" t="s">
        <v>38</v>
      </c>
      <c r="B8" s="132" t="s">
        <v>39</v>
      </c>
      <c r="C8" s="131" t="s">
        <v>46</v>
      </c>
      <c r="D8" s="142"/>
      <c r="E8" s="134"/>
      <c r="F8" s="135"/>
      <c r="G8" s="5"/>
      <c r="H8" s="8"/>
      <c r="I8" s="8" t="s">
        <v>2137</v>
      </c>
    </row>
    <row r="9" spans="1:9" x14ac:dyDescent="0.35">
      <c r="A9" s="133" t="s">
        <v>40</v>
      </c>
      <c r="B9" s="132" t="s">
        <v>41</v>
      </c>
      <c r="C9" s="131" t="s">
        <v>46</v>
      </c>
      <c r="D9" s="142">
        <v>280.58</v>
      </c>
      <c r="E9" s="134">
        <v>150.16999999999999</v>
      </c>
      <c r="F9" s="135"/>
      <c r="G9" s="5"/>
      <c r="H9" s="8"/>
      <c r="I9" s="8" t="s">
        <v>2137</v>
      </c>
    </row>
    <row r="10" spans="1:9" x14ac:dyDescent="0.35">
      <c r="A10" s="133" t="s">
        <v>42</v>
      </c>
      <c r="B10" s="132" t="s">
        <v>43</v>
      </c>
      <c r="C10" s="131" t="s">
        <v>46</v>
      </c>
      <c r="D10" s="142"/>
      <c r="E10" s="134"/>
      <c r="F10" s="135"/>
      <c r="G10" s="5"/>
      <c r="H10" s="8"/>
      <c r="I10" s="8" t="s">
        <v>2137</v>
      </c>
    </row>
    <row r="11" spans="1:9" x14ac:dyDescent="0.35">
      <c r="A11" s="133" t="s">
        <v>1130</v>
      </c>
      <c r="B11" s="132"/>
      <c r="C11" s="131"/>
      <c r="D11" s="142"/>
      <c r="E11" s="134"/>
      <c r="F11" s="135"/>
      <c r="G11" s="5"/>
      <c r="H11" s="8"/>
      <c r="I11" s="8"/>
    </row>
    <row r="12" spans="1:9" x14ac:dyDescent="0.35">
      <c r="A12" s="133" t="s">
        <v>44</v>
      </c>
      <c r="B12" s="132" t="s">
        <v>45</v>
      </c>
      <c r="C12" s="131" t="s">
        <v>46</v>
      </c>
      <c r="D12" s="142"/>
      <c r="E12" s="134"/>
      <c r="F12" s="135"/>
      <c r="G12" s="5"/>
      <c r="H12" s="8"/>
      <c r="I12" s="8" t="s">
        <v>2137</v>
      </c>
    </row>
    <row r="13" spans="1:9" x14ac:dyDescent="0.35">
      <c r="A13" s="133" t="s">
        <v>52</v>
      </c>
      <c r="B13" s="132" t="s">
        <v>51</v>
      </c>
      <c r="C13" s="131" t="s">
        <v>46</v>
      </c>
      <c r="D13" s="142">
        <v>352.68</v>
      </c>
      <c r="E13" s="134">
        <v>162.88</v>
      </c>
      <c r="F13" s="135"/>
      <c r="G13" s="5"/>
      <c r="H13" s="8"/>
      <c r="I13" s="8" t="s">
        <v>2137</v>
      </c>
    </row>
    <row r="14" spans="1:9" x14ac:dyDescent="0.35">
      <c r="A14" s="133"/>
      <c r="B14" s="132"/>
      <c r="C14" s="131"/>
      <c r="D14" s="133"/>
      <c r="E14" s="136"/>
      <c r="F14" s="135"/>
      <c r="G14" s="5"/>
      <c r="H14" s="8"/>
      <c r="I14" s="8"/>
    </row>
    <row r="15" spans="1:9" x14ac:dyDescent="0.35">
      <c r="B15"/>
    </row>
    <row r="16" spans="1:9" x14ac:dyDescent="0.35">
      <c r="B16"/>
    </row>
    <row r="17" spans="1:12" x14ac:dyDescent="0.35">
      <c r="B17"/>
    </row>
    <row r="18" spans="1:12" x14ac:dyDescent="0.35">
      <c r="B18"/>
    </row>
    <row r="19" spans="1:12" x14ac:dyDescent="0.35">
      <c r="B19"/>
    </row>
    <row r="20" spans="1:12" x14ac:dyDescent="0.35">
      <c r="B20"/>
    </row>
    <row r="21" spans="1:12" ht="15" thickBot="1" x14ac:dyDescent="0.4">
      <c r="B21"/>
    </row>
    <row r="22" spans="1:12" ht="15" thickBot="1" x14ac:dyDescent="0.4">
      <c r="A22" s="2" t="s">
        <v>2</v>
      </c>
      <c r="B22" s="2"/>
    </row>
    <row r="23" spans="1:12" ht="21.5" thickBot="1" x14ac:dyDescent="0.4">
      <c r="A23" s="58"/>
      <c r="B23" s="59" t="s">
        <v>11</v>
      </c>
      <c r="C23" s="60"/>
      <c r="D23" s="60"/>
      <c r="E23" s="143" t="s">
        <v>102</v>
      </c>
      <c r="F23" s="44"/>
      <c r="L23" s="10"/>
    </row>
    <row r="24" spans="1:12" x14ac:dyDescent="0.35">
      <c r="A24" s="14" t="s">
        <v>53</v>
      </c>
      <c r="B24"/>
      <c r="L24" s="10"/>
    </row>
    <row r="25" spans="1:12" x14ac:dyDescent="0.35">
      <c r="A25" s="131"/>
      <c r="B25" s="132" t="s">
        <v>55</v>
      </c>
      <c r="C25" s="131" t="s">
        <v>2161</v>
      </c>
      <c r="D25" s="133"/>
      <c r="E25" s="134">
        <v>2365.08</v>
      </c>
      <c r="F25" s="135"/>
      <c r="G25" s="5"/>
      <c r="H25" s="8"/>
      <c r="I25" s="8" t="s">
        <v>2137</v>
      </c>
    </row>
    <row r="26" spans="1:12" x14ac:dyDescent="0.35">
      <c r="A26" s="131"/>
      <c r="B26" s="132" t="s">
        <v>56</v>
      </c>
      <c r="C26" s="131" t="s">
        <v>2161</v>
      </c>
      <c r="D26" s="133"/>
      <c r="E26" s="134">
        <v>2365.08</v>
      </c>
      <c r="F26" s="135"/>
      <c r="G26" s="5"/>
      <c r="H26" s="8"/>
      <c r="I26" s="8" t="s">
        <v>2137</v>
      </c>
    </row>
    <row r="27" spans="1:12" x14ac:dyDescent="0.35">
      <c r="A27" s="131"/>
      <c r="B27" s="132" t="s">
        <v>57</v>
      </c>
      <c r="C27" s="131" t="s">
        <v>2161</v>
      </c>
      <c r="D27" s="133"/>
      <c r="E27" s="134">
        <v>4164.3999999999996</v>
      </c>
      <c r="F27" s="135"/>
      <c r="G27" s="5"/>
      <c r="H27" s="8"/>
      <c r="I27" s="8" t="s">
        <v>2137</v>
      </c>
    </row>
    <row r="28" spans="1:12" x14ac:dyDescent="0.35">
      <c r="A28" s="131"/>
      <c r="B28" s="132" t="s">
        <v>58</v>
      </c>
      <c r="C28" s="131" t="s">
        <v>2161</v>
      </c>
      <c r="D28" s="131"/>
      <c r="E28" s="134"/>
      <c r="F28" s="135"/>
      <c r="G28" s="5"/>
      <c r="H28" s="8"/>
      <c r="I28" s="8" t="s">
        <v>2137</v>
      </c>
    </row>
    <row r="29" spans="1:12" x14ac:dyDescent="0.35">
      <c r="A29" s="131"/>
      <c r="B29" s="132" t="s">
        <v>59</v>
      </c>
      <c r="C29" s="131" t="s">
        <v>2161</v>
      </c>
      <c r="D29" s="131"/>
      <c r="E29" s="134">
        <v>5634.25</v>
      </c>
      <c r="F29" s="135"/>
      <c r="G29" s="5"/>
      <c r="H29" s="8"/>
      <c r="I29" s="8" t="s">
        <v>2137</v>
      </c>
    </row>
    <row r="30" spans="1:12" x14ac:dyDescent="0.35">
      <c r="A30" s="131"/>
      <c r="B30" s="132"/>
      <c r="C30" s="131"/>
      <c r="D30" s="133"/>
      <c r="E30" s="136"/>
      <c r="F30" s="135"/>
      <c r="G30" s="5"/>
      <c r="H30" s="8"/>
      <c r="I30" s="8" t="s">
        <v>2137</v>
      </c>
    </row>
    <row r="31" spans="1:12" x14ac:dyDescent="0.35">
      <c r="B31"/>
    </row>
    <row r="32" spans="1:12" x14ac:dyDescent="0.35">
      <c r="B32"/>
    </row>
    <row r="33" spans="1:9" x14ac:dyDescent="0.35">
      <c r="B33"/>
    </row>
    <row r="34" spans="1:9" x14ac:dyDescent="0.35">
      <c r="B34"/>
    </row>
    <row r="35" spans="1:9" x14ac:dyDescent="0.35">
      <c r="B35"/>
    </row>
    <row r="36" spans="1:9" ht="15" thickBot="1" x14ac:dyDescent="0.4">
      <c r="B36"/>
    </row>
    <row r="37" spans="1:9" ht="15" thickBot="1" x14ac:dyDescent="0.4">
      <c r="A37" s="2" t="s">
        <v>2</v>
      </c>
      <c r="B37" s="2"/>
    </row>
    <row r="38" spans="1:9" ht="23.5" customHeight="1" thickBot="1" x14ac:dyDescent="0.4">
      <c r="A38" s="14" t="s">
        <v>67</v>
      </c>
      <c r="B38"/>
      <c r="E38" s="6" t="s">
        <v>68</v>
      </c>
    </row>
    <row r="39" spans="1:9" x14ac:dyDescent="0.35">
      <c r="A39" s="144" t="s">
        <v>30</v>
      </c>
      <c r="B39" s="144" t="s">
        <v>2133</v>
      </c>
      <c r="C39" s="131" t="s">
        <v>46</v>
      </c>
      <c r="D39" s="133"/>
      <c r="E39" s="136">
        <v>10</v>
      </c>
      <c r="F39" s="135"/>
      <c r="G39" s="5"/>
      <c r="H39" s="8"/>
      <c r="I39" s="8" t="s">
        <v>2137</v>
      </c>
    </row>
    <row r="40" spans="1:9" x14ac:dyDescent="0.35">
      <c r="A40" s="144"/>
      <c r="B40" s="144" t="s">
        <v>2134</v>
      </c>
      <c r="C40" s="131"/>
      <c r="D40" s="133"/>
      <c r="E40" s="136"/>
      <c r="F40" s="135"/>
      <c r="G40" s="5"/>
      <c r="H40" s="8"/>
      <c r="I40" s="8"/>
    </row>
    <row r="41" spans="1:9" x14ac:dyDescent="0.35">
      <c r="A41" s="144" t="s">
        <v>99</v>
      </c>
      <c r="B41" s="144" t="s">
        <v>62</v>
      </c>
      <c r="C41" s="131" t="s">
        <v>46</v>
      </c>
      <c r="D41" s="133"/>
      <c r="E41" s="136">
        <v>30</v>
      </c>
      <c r="F41" s="135"/>
      <c r="G41" s="5"/>
      <c r="H41" s="8"/>
      <c r="I41" s="8" t="s">
        <v>2137</v>
      </c>
    </row>
    <row r="42" spans="1:9" x14ac:dyDescent="0.35">
      <c r="A42" s="144" t="s">
        <v>100</v>
      </c>
      <c r="B42" s="144" t="s">
        <v>61</v>
      </c>
      <c r="C42" s="131" t="s">
        <v>46</v>
      </c>
      <c r="D42" s="133"/>
      <c r="E42" s="136">
        <v>10</v>
      </c>
      <c r="F42" s="135"/>
      <c r="G42" s="5"/>
      <c r="H42" s="8"/>
      <c r="I42" s="8"/>
    </row>
    <row r="43" spans="1:9" x14ac:dyDescent="0.35">
      <c r="A43" s="144" t="s">
        <v>34</v>
      </c>
      <c r="B43" s="144" t="s">
        <v>60</v>
      </c>
      <c r="C43" s="131" t="s">
        <v>46</v>
      </c>
      <c r="D43" s="133"/>
      <c r="E43" s="136">
        <v>80</v>
      </c>
      <c r="F43" s="135"/>
      <c r="G43" s="5"/>
      <c r="H43" s="8"/>
      <c r="I43" s="8" t="s">
        <v>2137</v>
      </c>
    </row>
    <row r="44" spans="1:9" x14ac:dyDescent="0.35">
      <c r="A44" s="144" t="s">
        <v>63</v>
      </c>
      <c r="B44" s="144" t="s">
        <v>64</v>
      </c>
      <c r="C44" s="131" t="s">
        <v>46</v>
      </c>
      <c r="D44" s="133"/>
      <c r="E44" s="136">
        <v>15</v>
      </c>
      <c r="F44" s="135"/>
      <c r="G44" s="5"/>
      <c r="H44" s="8"/>
      <c r="I44" s="8" t="s">
        <v>2137</v>
      </c>
    </row>
    <row r="45" spans="1:9" x14ac:dyDescent="0.35">
      <c r="A45" s="144" t="s">
        <v>65</v>
      </c>
      <c r="B45" s="144" t="s">
        <v>66</v>
      </c>
      <c r="C45" s="131" t="s">
        <v>46</v>
      </c>
      <c r="D45" s="133"/>
      <c r="E45" s="136">
        <v>60</v>
      </c>
      <c r="F45" s="135"/>
      <c r="G45" s="5"/>
      <c r="H45" s="8"/>
      <c r="I45" s="8" t="s">
        <v>2137</v>
      </c>
    </row>
    <row r="46" spans="1:9" x14ac:dyDescent="0.35">
      <c r="A46" s="144"/>
      <c r="B46" s="144"/>
      <c r="C46" s="131"/>
      <c r="D46" s="133"/>
      <c r="E46" s="136"/>
      <c r="F46" s="135"/>
      <c r="G46" s="5"/>
      <c r="H46" s="8"/>
      <c r="I46" s="8" t="s">
        <v>2137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Clients!$B$2:$B$21</xm:f>
          </x14:formula1>
          <xm:sqref>B1 B22 B37</xm:sqref>
        </x14:dataValidation>
        <x14:dataValidation type="list" allowBlank="1" showInputMessage="1" showErrorMessage="1">
          <x14:formula1>
            <xm:f>Listes!$A$2:$A$3</xm:f>
          </x14:formula1>
          <xm:sqref>H25:H30 H4:H14 H39:H46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A1:N4"/>
  <sheetViews>
    <sheetView workbookViewId="0">
      <selection activeCell="B15" sqref="B15"/>
    </sheetView>
  </sheetViews>
  <sheetFormatPr baseColWidth="10" defaultRowHeight="14.5" x14ac:dyDescent="0.35"/>
  <cols>
    <col min="1" max="1" width="12" customWidth="1"/>
    <col min="2" max="2" width="31.54296875" customWidth="1"/>
    <col min="3" max="3" width="34.6328125" customWidth="1"/>
    <col min="4" max="4" width="36" bestFit="1" customWidth="1"/>
    <col min="5" max="5" width="18.7265625" customWidth="1"/>
    <col min="6" max="9" width="11.7265625" customWidth="1"/>
    <col min="10" max="10" width="16.36328125" customWidth="1"/>
    <col min="11" max="11" width="27.08984375" customWidth="1"/>
  </cols>
  <sheetData>
    <row r="1" spans="1:14" ht="15" thickBot="1" x14ac:dyDescent="0.4">
      <c r="A1" s="2" t="s">
        <v>3</v>
      </c>
      <c r="B1" s="2" t="s">
        <v>2</v>
      </c>
      <c r="C1" s="2" t="s">
        <v>4</v>
      </c>
      <c r="D1" s="2" t="s">
        <v>17</v>
      </c>
      <c r="E1" s="2" t="s">
        <v>20</v>
      </c>
      <c r="F1" s="2" t="s">
        <v>22</v>
      </c>
      <c r="G1" s="2" t="s">
        <v>26</v>
      </c>
      <c r="H1" s="2" t="s">
        <v>23</v>
      </c>
      <c r="I1" s="2" t="s">
        <v>24</v>
      </c>
      <c r="J1" s="2" t="s">
        <v>5</v>
      </c>
      <c r="K1" s="2" t="s">
        <v>6</v>
      </c>
      <c r="L1" s="2"/>
      <c r="M1" s="2"/>
      <c r="N1" s="2"/>
    </row>
    <row r="2" spans="1:14" x14ac:dyDescent="0.35">
      <c r="A2" s="3">
        <v>1</v>
      </c>
      <c r="B2" s="3" t="s">
        <v>16</v>
      </c>
      <c r="C2" s="3" t="s">
        <v>18</v>
      </c>
      <c r="D2" s="3" t="s">
        <v>19</v>
      </c>
      <c r="E2" s="13" t="s">
        <v>21</v>
      </c>
      <c r="F2" s="13" t="s">
        <v>25</v>
      </c>
      <c r="G2" s="13" t="s">
        <v>27</v>
      </c>
      <c r="H2" s="13" t="s">
        <v>28</v>
      </c>
      <c r="I2" s="13" t="s">
        <v>29</v>
      </c>
      <c r="J2" s="3"/>
      <c r="K2" s="3"/>
      <c r="L2" s="3"/>
      <c r="M2" s="3"/>
      <c r="N2" s="3"/>
    </row>
    <row r="3" spans="1:14" x14ac:dyDescent="0.35">
      <c r="A3" s="4">
        <v>2</v>
      </c>
      <c r="B3" s="4" t="s">
        <v>83</v>
      </c>
      <c r="C3" s="4" t="s">
        <v>84</v>
      </c>
      <c r="D3" s="4" t="s">
        <v>86</v>
      </c>
      <c r="E3" s="15" t="s">
        <v>85</v>
      </c>
      <c r="F3" s="4">
        <v>64711</v>
      </c>
      <c r="G3" s="4"/>
      <c r="H3" s="4"/>
      <c r="I3" s="4"/>
      <c r="J3" s="4"/>
      <c r="K3" s="4"/>
      <c r="L3" s="4"/>
      <c r="M3" s="4"/>
      <c r="N3" s="4"/>
    </row>
    <row r="4" spans="1:14" x14ac:dyDescent="0.35">
      <c r="A4" s="4">
        <v>3</v>
      </c>
      <c r="B4" s="4" t="s">
        <v>1131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1000"/>
  <sheetViews>
    <sheetView zoomScale="58" zoomScaleNormal="58" workbookViewId="0">
      <selection activeCell="F3" sqref="F3:F4"/>
    </sheetView>
  </sheetViews>
  <sheetFormatPr baseColWidth="10" defaultRowHeight="14.5" x14ac:dyDescent="0.35"/>
  <cols>
    <col min="1" max="3" width="31.1796875" style="105" customWidth="1"/>
    <col min="5" max="7" width="31.1796875" style="105" customWidth="1"/>
  </cols>
  <sheetData>
    <row r="1" spans="1:14" s="106" customFormat="1" ht="17.649999999999999" customHeight="1" thickBot="1" x14ac:dyDescent="0.4">
      <c r="A1" s="107" t="s">
        <v>2152</v>
      </c>
      <c r="B1" s="107" t="s">
        <v>2149</v>
      </c>
      <c r="C1" s="107" t="s">
        <v>2150</v>
      </c>
      <c r="E1" s="107" t="s">
        <v>2162</v>
      </c>
      <c r="F1" s="107" t="s">
        <v>2163</v>
      </c>
      <c r="G1" s="107" t="s">
        <v>2164</v>
      </c>
      <c r="K1" s="106" t="s">
        <v>2153</v>
      </c>
      <c r="L1" s="106" t="s">
        <v>2154</v>
      </c>
      <c r="M1" s="106" t="s">
        <v>2151</v>
      </c>
      <c r="N1"/>
    </row>
    <row r="2" spans="1:14" s="106" customFormat="1" ht="17.649999999999999" customHeight="1" x14ac:dyDescent="0.35">
      <c r="A2" s="108" t="s">
        <v>2153</v>
      </c>
      <c r="B2" s="108" t="s">
        <v>2154</v>
      </c>
      <c r="C2" s="108" t="s">
        <v>2151</v>
      </c>
      <c r="E2" s="108" t="s">
        <v>2168</v>
      </c>
      <c r="F2" s="108" t="s">
        <v>2165</v>
      </c>
      <c r="G2" s="108" t="s">
        <v>2166</v>
      </c>
    </row>
    <row r="3" spans="1:14" s="106" customFormat="1" ht="17.649999999999999" customHeight="1" x14ac:dyDescent="0.35">
      <c r="A3" s="111"/>
      <c r="B3" s="145">
        <v>0</v>
      </c>
      <c r="C3" s="111"/>
      <c r="E3" s="111"/>
      <c r="F3" s="111" t="s">
        <v>16</v>
      </c>
      <c r="G3" s="111"/>
    </row>
    <row r="4" spans="1:14" s="106" customFormat="1" ht="17.649999999999999" customHeight="1" x14ac:dyDescent="0.35">
      <c r="A4" s="111"/>
      <c r="B4" s="145" t="s">
        <v>16</v>
      </c>
      <c r="C4" s="111"/>
      <c r="E4" s="111"/>
      <c r="F4" s="111" t="s">
        <v>83</v>
      </c>
      <c r="G4" s="111"/>
    </row>
    <row r="5" spans="1:14" s="106" customFormat="1" ht="17.649999999999999" customHeight="1" x14ac:dyDescent="0.35">
      <c r="A5" s="111"/>
      <c r="B5" s="145" t="s">
        <v>83</v>
      </c>
      <c r="C5" s="111"/>
      <c r="E5" s="111"/>
      <c r="F5"/>
      <c r="G5" s="111"/>
    </row>
    <row r="6" spans="1:14" s="106" customFormat="1" ht="17.649999999999999" customHeight="1" x14ac:dyDescent="0.35">
      <c r="A6" s="111"/>
      <c r="B6"/>
      <c r="C6" s="111"/>
      <c r="E6" s="111"/>
      <c r="F6" s="111"/>
      <c r="G6" s="111"/>
    </row>
    <row r="7" spans="1:14" s="106" customFormat="1" ht="17.649999999999999" customHeight="1" x14ac:dyDescent="0.35">
      <c r="A7" s="145"/>
      <c r="B7"/>
      <c r="C7" s="111"/>
      <c r="E7" s="111"/>
      <c r="F7" s="111"/>
      <c r="G7" s="111"/>
      <c r="J7" s="106">
        <v>1</v>
      </c>
      <c r="K7" s="106">
        <v>5</v>
      </c>
    </row>
    <row r="8" spans="1:14" s="106" customFormat="1" ht="17.649999999999999" customHeight="1" x14ac:dyDescent="0.35">
      <c r="A8" s="145"/>
      <c r="B8"/>
      <c r="C8" s="111"/>
      <c r="E8" s="111"/>
      <c r="F8" s="111"/>
      <c r="G8" s="111"/>
      <c r="J8" s="106">
        <v>2</v>
      </c>
      <c r="K8" s="106">
        <v>6</v>
      </c>
    </row>
    <row r="9" spans="1:14" s="106" customFormat="1" ht="17.649999999999999" customHeight="1" x14ac:dyDescent="0.35">
      <c r="A9" s="145"/>
      <c r="B9"/>
      <c r="C9" s="111"/>
      <c r="E9" s="111"/>
      <c r="F9" s="111"/>
      <c r="G9" s="111"/>
    </row>
    <row r="10" spans="1:14" s="106" customFormat="1" ht="17.649999999999999" customHeight="1" x14ac:dyDescent="0.35">
      <c r="A10"/>
      <c r="B10"/>
      <c r="C10" s="111"/>
      <c r="E10" s="111"/>
      <c r="F10" s="111"/>
      <c r="G10" s="111"/>
    </row>
    <row r="11" spans="1:14" s="106" customFormat="1" ht="17.649999999999999" customHeight="1" x14ac:dyDescent="0.35">
      <c r="A11"/>
      <c r="B11"/>
      <c r="C11" s="111"/>
      <c r="E11" s="111"/>
      <c r="F11" s="111"/>
      <c r="G11" s="111"/>
    </row>
    <row r="12" spans="1:14" s="106" customFormat="1" ht="17.649999999999999" customHeight="1" x14ac:dyDescent="0.35">
      <c r="A12"/>
      <c r="B12"/>
      <c r="C12" s="111"/>
      <c r="E12" s="111"/>
      <c r="F12" s="111"/>
      <c r="G12" s="111"/>
    </row>
    <row r="13" spans="1:14" s="106" customFormat="1" ht="17.649999999999999" customHeight="1" x14ac:dyDescent="0.35">
      <c r="A13"/>
      <c r="B13"/>
      <c r="C13" s="111"/>
      <c r="E13" s="111"/>
      <c r="F13" s="111"/>
      <c r="G13" s="111"/>
    </row>
    <row r="14" spans="1:14" s="106" customFormat="1" ht="17.649999999999999" customHeight="1" x14ac:dyDescent="0.35">
      <c r="A14"/>
      <c r="B14"/>
      <c r="C14" s="109"/>
      <c r="E14" s="109"/>
      <c r="F14" s="109"/>
      <c r="G14" s="109"/>
    </row>
    <row r="15" spans="1:14" s="106" customFormat="1" ht="17.649999999999999" customHeight="1" x14ac:dyDescent="0.35">
      <c r="A15"/>
      <c r="B15"/>
      <c r="C15" s="109"/>
      <c r="E15" s="109"/>
      <c r="F15" s="109"/>
      <c r="G15" s="109"/>
    </row>
    <row r="16" spans="1:14" s="106" customFormat="1" ht="17.649999999999999" customHeight="1" x14ac:dyDescent="0.35">
      <c r="A16"/>
      <c r="B16"/>
      <c r="C16" s="109"/>
      <c r="E16" s="109"/>
      <c r="F16" s="109"/>
      <c r="G16" s="109"/>
    </row>
    <row r="17" spans="1:7" s="106" customFormat="1" ht="17.649999999999999" customHeight="1" x14ac:dyDescent="0.35">
      <c r="A17" s="146"/>
      <c r="B17"/>
      <c r="C17" s="109"/>
      <c r="E17" s="109"/>
      <c r="F17" s="109"/>
      <c r="G17" s="109"/>
    </row>
    <row r="18" spans="1:7" s="106" customFormat="1" ht="17.649999999999999" customHeight="1" x14ac:dyDescent="0.35">
      <c r="A18"/>
      <c r="B18"/>
      <c r="C18" s="109"/>
      <c r="E18" s="109"/>
      <c r="F18" s="109"/>
      <c r="G18" s="109"/>
    </row>
    <row r="19" spans="1:7" s="106" customFormat="1" ht="17.649999999999999" customHeight="1" x14ac:dyDescent="0.35">
      <c r="A19"/>
      <c r="B19"/>
      <c r="C19" s="109"/>
      <c r="E19" s="109"/>
      <c r="F19" s="109"/>
      <c r="G19" s="109"/>
    </row>
    <row r="20" spans="1:7" s="106" customFormat="1" ht="17.649999999999999" customHeight="1" x14ac:dyDescent="0.35">
      <c r="A20" s="109"/>
      <c r="B20"/>
      <c r="C20" s="109"/>
      <c r="E20" s="109"/>
      <c r="F20" s="109" t="s">
        <v>2137</v>
      </c>
      <c r="G20" s="109"/>
    </row>
    <row r="21" spans="1:7" s="106" customFormat="1" ht="17.649999999999999" customHeight="1" x14ac:dyDescent="0.35">
      <c r="A21" s="109"/>
      <c r="B21" s="109" t="s">
        <v>2137</v>
      </c>
      <c r="C21" s="109"/>
      <c r="E21" s="109"/>
      <c r="F21" s="109" t="s">
        <v>2137</v>
      </c>
      <c r="G21" s="109"/>
    </row>
    <row r="22" spans="1:7" s="106" customFormat="1" ht="17.649999999999999" customHeight="1" x14ac:dyDescent="0.35">
      <c r="A22" s="109"/>
      <c r="B22" s="109"/>
      <c r="C22" s="109"/>
      <c r="E22" s="109"/>
      <c r="F22" s="109"/>
      <c r="G22" s="109"/>
    </row>
    <row r="23" spans="1:7" s="106" customFormat="1" ht="17.649999999999999" customHeight="1" x14ac:dyDescent="0.35">
      <c r="A23" s="109"/>
      <c r="B23" s="109"/>
      <c r="C23" s="109"/>
      <c r="E23" s="109"/>
      <c r="F23" s="109"/>
      <c r="G23" s="109"/>
    </row>
    <row r="24" spans="1:7" s="106" customFormat="1" ht="17.649999999999999" customHeight="1" x14ac:dyDescent="0.35">
      <c r="A24" s="109"/>
      <c r="B24" s="109"/>
      <c r="C24" s="109"/>
      <c r="E24" s="109"/>
      <c r="F24" s="109"/>
      <c r="G24" s="109"/>
    </row>
    <row r="25" spans="1:7" s="106" customFormat="1" ht="17.649999999999999" customHeight="1" x14ac:dyDescent="0.35">
      <c r="A25" s="109"/>
      <c r="B25" s="109"/>
      <c r="C25" s="109"/>
      <c r="E25" s="109"/>
      <c r="F25" s="109"/>
      <c r="G25" s="109"/>
    </row>
    <row r="26" spans="1:7" s="106" customFormat="1" ht="17.649999999999999" customHeight="1" x14ac:dyDescent="0.35">
      <c r="A26" s="109"/>
      <c r="B26" s="109"/>
      <c r="C26" s="109"/>
      <c r="E26" s="109"/>
      <c r="F26" s="109"/>
      <c r="G26" s="109"/>
    </row>
    <row r="27" spans="1:7" s="106" customFormat="1" ht="17.649999999999999" customHeight="1" x14ac:dyDescent="0.35">
      <c r="A27" s="109"/>
      <c r="B27" s="109"/>
      <c r="C27" s="109"/>
      <c r="E27" s="109"/>
      <c r="F27" s="109"/>
      <c r="G27" s="109"/>
    </row>
    <row r="28" spans="1:7" s="106" customFormat="1" ht="17.649999999999999" customHeight="1" x14ac:dyDescent="0.35">
      <c r="A28" s="109"/>
      <c r="B28" s="109"/>
      <c r="C28" s="109"/>
      <c r="E28" s="109"/>
      <c r="F28" s="109"/>
      <c r="G28" s="109"/>
    </row>
    <row r="29" spans="1:7" s="106" customFormat="1" ht="17.649999999999999" customHeight="1" x14ac:dyDescent="0.35">
      <c r="A29" s="110"/>
      <c r="B29" s="110"/>
      <c r="C29" s="110"/>
      <c r="E29" s="110"/>
      <c r="F29" s="110"/>
      <c r="G29" s="110"/>
    </row>
    <row r="30" spans="1:7" s="106" customFormat="1" ht="17.649999999999999" customHeight="1" x14ac:dyDescent="0.35">
      <c r="A30" s="109"/>
      <c r="B30" s="109"/>
      <c r="C30" s="109"/>
      <c r="E30" s="109"/>
      <c r="F30" s="109"/>
      <c r="G30" s="109"/>
    </row>
    <row r="31" spans="1:7" s="106" customFormat="1" ht="17.649999999999999" customHeight="1" x14ac:dyDescent="0.35">
      <c r="A31" s="109"/>
      <c r="B31" s="109"/>
      <c r="C31" s="109"/>
      <c r="E31" s="109"/>
      <c r="F31" s="109"/>
      <c r="G31" s="109"/>
    </row>
    <row r="32" spans="1:7" s="106" customFormat="1" ht="17.649999999999999" customHeight="1" x14ac:dyDescent="0.35">
      <c r="A32" s="109"/>
      <c r="B32" s="109"/>
      <c r="C32" s="109"/>
      <c r="E32" s="109"/>
      <c r="F32" s="109"/>
      <c r="G32" s="109"/>
    </row>
    <row r="33" spans="1:7" s="106" customFormat="1" ht="17.649999999999999" customHeight="1" x14ac:dyDescent="0.35">
      <c r="A33" s="109"/>
      <c r="B33" s="109"/>
      <c r="C33" s="109"/>
      <c r="E33" s="109"/>
      <c r="F33" s="109"/>
      <c r="G33" s="109"/>
    </row>
    <row r="34" spans="1:7" s="106" customFormat="1" ht="17.649999999999999" customHeight="1" x14ac:dyDescent="0.35">
      <c r="A34" s="109"/>
      <c r="B34" s="109"/>
      <c r="C34" s="109"/>
      <c r="E34" s="109"/>
      <c r="F34" s="109"/>
      <c r="G34" s="109"/>
    </row>
    <row r="35" spans="1:7" s="106" customFormat="1" ht="17.649999999999999" customHeight="1" x14ac:dyDescent="0.35">
      <c r="A35" s="109"/>
      <c r="B35" s="109"/>
      <c r="C35" s="109"/>
      <c r="E35" s="109"/>
      <c r="F35" s="109"/>
      <c r="G35" s="109"/>
    </row>
    <row r="36" spans="1:7" s="106" customFormat="1" ht="17.649999999999999" customHeight="1" x14ac:dyDescent="0.35">
      <c r="A36" s="109"/>
      <c r="B36" s="109"/>
      <c r="C36" s="109"/>
      <c r="E36" s="109"/>
      <c r="F36" s="109"/>
      <c r="G36" s="109"/>
    </row>
    <row r="37" spans="1:7" s="106" customFormat="1" ht="17.649999999999999" customHeight="1" x14ac:dyDescent="0.35">
      <c r="A37" s="109"/>
      <c r="B37" s="109"/>
      <c r="C37" s="109"/>
      <c r="E37" s="109"/>
      <c r="F37" s="109"/>
      <c r="G37" s="109"/>
    </row>
    <row r="38" spans="1:7" s="106" customFormat="1" ht="17.649999999999999" customHeight="1" x14ac:dyDescent="0.35">
      <c r="A38" s="110"/>
      <c r="B38" s="110"/>
      <c r="C38" s="110"/>
      <c r="E38" s="110"/>
      <c r="F38" s="110"/>
      <c r="G38" s="110"/>
    </row>
    <row r="39" spans="1:7" s="106" customFormat="1" ht="17.649999999999999" customHeight="1" x14ac:dyDescent="0.35">
      <c r="A39" s="109"/>
      <c r="B39" s="109"/>
      <c r="C39" s="109"/>
      <c r="E39" s="109"/>
      <c r="F39" s="109"/>
      <c r="G39" s="109"/>
    </row>
    <row r="40" spans="1:7" s="106" customFormat="1" ht="17.649999999999999" customHeight="1" x14ac:dyDescent="0.35">
      <c r="A40" s="109"/>
      <c r="B40" s="109"/>
      <c r="C40" s="109"/>
      <c r="E40" s="109"/>
      <c r="F40" s="109"/>
      <c r="G40" s="109"/>
    </row>
    <row r="41" spans="1:7" s="106" customFormat="1" ht="17.649999999999999" customHeight="1" x14ac:dyDescent="0.35">
      <c r="A41" s="109"/>
      <c r="B41" s="109"/>
      <c r="C41" s="109"/>
      <c r="E41" s="109"/>
      <c r="F41" s="109"/>
      <c r="G41" s="109"/>
    </row>
    <row r="42" spans="1:7" s="106" customFormat="1" ht="17.649999999999999" customHeight="1" x14ac:dyDescent="0.35">
      <c r="A42" s="109"/>
      <c r="B42" s="109"/>
      <c r="C42" s="109"/>
      <c r="E42" s="109"/>
      <c r="F42" s="109"/>
      <c r="G42" s="109"/>
    </row>
    <row r="43" spans="1:7" s="106" customFormat="1" ht="17.649999999999999" customHeight="1" x14ac:dyDescent="0.35">
      <c r="A43" s="109"/>
      <c r="B43" s="109"/>
      <c r="C43" s="109"/>
      <c r="E43" s="109"/>
      <c r="F43" s="109"/>
      <c r="G43" s="109"/>
    </row>
    <row r="44" spans="1:7" s="106" customFormat="1" ht="17.649999999999999" customHeight="1" x14ac:dyDescent="0.35">
      <c r="A44" s="110"/>
      <c r="B44" s="110"/>
      <c r="C44" s="110"/>
      <c r="E44" s="110"/>
      <c r="F44" s="110"/>
      <c r="G44" s="110"/>
    </row>
    <row r="45" spans="1:7" s="106" customFormat="1" ht="17.649999999999999" customHeight="1" x14ac:dyDescent="0.35">
      <c r="A45" s="109"/>
      <c r="B45" s="109"/>
      <c r="C45" s="109"/>
      <c r="E45" s="109"/>
      <c r="F45" s="109"/>
      <c r="G45" s="109"/>
    </row>
    <row r="46" spans="1:7" s="106" customFormat="1" ht="17.649999999999999" customHeight="1" x14ac:dyDescent="0.35">
      <c r="A46" s="109"/>
      <c r="B46" s="109"/>
      <c r="C46" s="109"/>
      <c r="E46" s="109"/>
      <c r="F46" s="109"/>
      <c r="G46" s="109"/>
    </row>
    <row r="47" spans="1:7" s="106" customFormat="1" ht="17.649999999999999" customHeight="1" x14ac:dyDescent="0.35">
      <c r="A47" s="109"/>
      <c r="B47" s="109"/>
      <c r="C47" s="109"/>
      <c r="E47" s="109"/>
      <c r="F47" s="109"/>
      <c r="G47" s="109"/>
    </row>
    <row r="48" spans="1:7" s="106" customFormat="1" ht="17.649999999999999" customHeight="1" x14ac:dyDescent="0.35">
      <c r="A48" s="109"/>
      <c r="B48" s="109"/>
      <c r="C48" s="109"/>
      <c r="E48" s="109"/>
      <c r="F48" s="109"/>
      <c r="G48" s="109"/>
    </row>
    <row r="49" spans="1:7" s="106" customFormat="1" ht="17.649999999999999" customHeight="1" x14ac:dyDescent="0.35">
      <c r="A49" s="109"/>
      <c r="B49" s="109"/>
      <c r="C49" s="109"/>
      <c r="E49" s="109"/>
      <c r="F49" s="109"/>
      <c r="G49" s="109"/>
    </row>
    <row r="50" spans="1:7" s="106" customFormat="1" ht="17.649999999999999" customHeight="1" x14ac:dyDescent="0.35">
      <c r="A50" s="109"/>
      <c r="B50" s="109"/>
      <c r="C50" s="109"/>
      <c r="E50" s="109"/>
      <c r="F50" s="109"/>
      <c r="G50" s="109"/>
    </row>
    <row r="51" spans="1:7" s="106" customFormat="1" ht="17.649999999999999" customHeight="1" x14ac:dyDescent="0.35">
      <c r="A51" s="109"/>
      <c r="B51" s="109"/>
      <c r="C51" s="109"/>
      <c r="E51" s="109"/>
      <c r="F51" s="109"/>
      <c r="G51" s="109"/>
    </row>
    <row r="52" spans="1:7" s="106" customFormat="1" ht="17.649999999999999" customHeight="1" x14ac:dyDescent="0.35">
      <c r="A52" s="109"/>
      <c r="B52" s="109"/>
      <c r="C52" s="109"/>
      <c r="E52" s="109"/>
      <c r="F52" s="109"/>
      <c r="G52" s="109"/>
    </row>
    <row r="53" spans="1:7" s="106" customFormat="1" ht="17.649999999999999" customHeight="1" x14ac:dyDescent="0.35">
      <c r="A53" s="109"/>
      <c r="B53" s="109"/>
      <c r="C53" s="109"/>
      <c r="E53" s="109"/>
      <c r="F53" s="109"/>
      <c r="G53" s="109"/>
    </row>
    <row r="54" spans="1:7" s="106" customFormat="1" ht="17.649999999999999" customHeight="1" x14ac:dyDescent="0.35">
      <c r="A54" s="109"/>
      <c r="B54" s="109"/>
      <c r="C54" s="109"/>
      <c r="E54" s="109"/>
      <c r="F54" s="109"/>
      <c r="G54" s="109"/>
    </row>
    <row r="55" spans="1:7" s="106" customFormat="1" ht="17.649999999999999" customHeight="1" x14ac:dyDescent="0.35">
      <c r="A55" s="110"/>
      <c r="B55" s="110"/>
      <c r="C55" s="110"/>
      <c r="E55" s="110"/>
      <c r="F55" s="110"/>
      <c r="G55" s="110"/>
    </row>
    <row r="56" spans="1:7" s="106" customFormat="1" ht="17.649999999999999" customHeight="1" x14ac:dyDescent="0.35">
      <c r="A56" s="109"/>
      <c r="B56" s="109"/>
      <c r="C56" s="109"/>
      <c r="E56" s="109"/>
      <c r="F56" s="109"/>
      <c r="G56" s="109"/>
    </row>
    <row r="57" spans="1:7" s="106" customFormat="1" ht="17.649999999999999" customHeight="1" x14ac:dyDescent="0.35">
      <c r="A57" s="109"/>
      <c r="B57" s="109"/>
      <c r="C57" s="109"/>
      <c r="E57" s="109"/>
      <c r="F57" s="109"/>
      <c r="G57" s="109"/>
    </row>
    <row r="58" spans="1:7" s="106" customFormat="1" ht="17.649999999999999" customHeight="1" x14ac:dyDescent="0.35">
      <c r="A58" s="109"/>
      <c r="B58" s="109"/>
      <c r="C58" s="109"/>
      <c r="E58" s="109"/>
      <c r="F58" s="109"/>
      <c r="G58" s="109"/>
    </row>
    <row r="59" spans="1:7" s="106" customFormat="1" ht="17.649999999999999" customHeight="1" x14ac:dyDescent="0.35">
      <c r="A59" s="109"/>
      <c r="B59" s="109"/>
      <c r="C59" s="109"/>
      <c r="E59" s="109"/>
      <c r="F59" s="109"/>
      <c r="G59" s="109"/>
    </row>
    <row r="60" spans="1:7" s="106" customFormat="1" ht="17.649999999999999" customHeight="1" x14ac:dyDescent="0.35">
      <c r="A60" s="109"/>
      <c r="B60" s="109"/>
      <c r="C60" s="109"/>
      <c r="E60" s="109"/>
      <c r="F60" s="109"/>
      <c r="G60" s="109"/>
    </row>
    <row r="61" spans="1:7" s="106" customFormat="1" ht="17.649999999999999" customHeight="1" x14ac:dyDescent="0.35">
      <c r="A61" s="109"/>
      <c r="B61" s="109"/>
      <c r="C61" s="109"/>
      <c r="E61" s="109"/>
      <c r="F61" s="109"/>
      <c r="G61" s="109"/>
    </row>
    <row r="62" spans="1:7" s="106" customFormat="1" ht="17.649999999999999" customHeight="1" x14ac:dyDescent="0.35">
      <c r="A62" s="109"/>
      <c r="B62" s="109"/>
      <c r="C62" s="109"/>
      <c r="E62" s="109"/>
      <c r="F62" s="109"/>
      <c r="G62" s="109"/>
    </row>
    <row r="63" spans="1:7" s="106" customFormat="1" ht="17.649999999999999" customHeight="1" x14ac:dyDescent="0.35">
      <c r="A63" s="109"/>
      <c r="B63" s="109"/>
      <c r="C63" s="109"/>
      <c r="E63" s="109"/>
      <c r="F63" s="109"/>
      <c r="G63" s="109"/>
    </row>
    <row r="64" spans="1:7" s="106" customFormat="1" ht="17.649999999999999" customHeight="1" x14ac:dyDescent="0.35">
      <c r="A64" s="109"/>
      <c r="B64" s="109"/>
      <c r="C64" s="109"/>
      <c r="E64" s="109"/>
      <c r="F64" s="109"/>
      <c r="G64" s="109"/>
    </row>
    <row r="65" spans="1:7" s="106" customFormat="1" ht="17.649999999999999" customHeight="1" x14ac:dyDescent="0.35">
      <c r="A65" s="109"/>
      <c r="B65" s="109"/>
      <c r="C65" s="109"/>
      <c r="E65" s="109"/>
      <c r="F65" s="109"/>
      <c r="G65" s="109"/>
    </row>
    <row r="66" spans="1:7" s="106" customFormat="1" ht="17.649999999999999" customHeight="1" x14ac:dyDescent="0.35">
      <c r="A66" s="109"/>
      <c r="B66" s="109"/>
      <c r="C66" s="109"/>
      <c r="E66" s="109"/>
      <c r="F66" s="109"/>
      <c r="G66" s="109"/>
    </row>
    <row r="67" spans="1:7" s="106" customFormat="1" ht="17.649999999999999" customHeight="1" x14ac:dyDescent="0.35">
      <c r="A67" s="109"/>
      <c r="B67" s="109"/>
      <c r="C67" s="109"/>
      <c r="E67" s="109"/>
      <c r="F67" s="109"/>
      <c r="G67" s="109"/>
    </row>
    <row r="68" spans="1:7" s="106" customFormat="1" ht="17.649999999999999" customHeight="1" x14ac:dyDescent="0.35">
      <c r="A68" s="109"/>
      <c r="B68" s="109"/>
      <c r="C68" s="109"/>
      <c r="E68" s="109"/>
      <c r="F68" s="109"/>
      <c r="G68" s="109"/>
    </row>
    <row r="69" spans="1:7" s="106" customFormat="1" ht="17.649999999999999" customHeight="1" x14ac:dyDescent="0.35">
      <c r="A69" s="109"/>
      <c r="B69" s="109"/>
      <c r="C69" s="109"/>
      <c r="E69" s="109"/>
      <c r="F69" s="109"/>
      <c r="G69" s="109"/>
    </row>
    <row r="70" spans="1:7" s="106" customFormat="1" ht="17.649999999999999" customHeight="1" x14ac:dyDescent="0.35">
      <c r="A70" s="109"/>
      <c r="B70" s="109"/>
      <c r="C70" s="109"/>
      <c r="E70" s="109"/>
      <c r="F70" s="109"/>
      <c r="G70" s="109"/>
    </row>
    <row r="71" spans="1:7" s="106" customFormat="1" ht="17.649999999999999" customHeight="1" x14ac:dyDescent="0.35">
      <c r="A71" s="109"/>
      <c r="B71" s="109"/>
      <c r="C71" s="109"/>
      <c r="E71" s="109"/>
      <c r="F71" s="109"/>
      <c r="G71" s="109"/>
    </row>
    <row r="72" spans="1:7" s="106" customFormat="1" ht="17.649999999999999" customHeight="1" x14ac:dyDescent="0.35">
      <c r="A72" s="109"/>
      <c r="B72" s="109"/>
      <c r="C72" s="109"/>
      <c r="E72" s="109"/>
      <c r="F72" s="109"/>
      <c r="G72" s="109"/>
    </row>
    <row r="73" spans="1:7" s="106" customFormat="1" ht="17.649999999999999" customHeight="1" x14ac:dyDescent="0.35">
      <c r="A73" s="109"/>
      <c r="B73" s="109"/>
      <c r="C73" s="109"/>
      <c r="E73" s="109"/>
      <c r="F73" s="109"/>
      <c r="G73" s="109"/>
    </row>
    <row r="74" spans="1:7" s="106" customFormat="1" ht="17.649999999999999" customHeight="1" x14ac:dyDescent="0.35">
      <c r="A74" s="109"/>
      <c r="B74" s="109"/>
      <c r="C74" s="109"/>
      <c r="E74" s="109"/>
      <c r="F74" s="109"/>
      <c r="G74" s="109"/>
    </row>
    <row r="75" spans="1:7" s="106" customFormat="1" ht="17.649999999999999" customHeight="1" x14ac:dyDescent="0.35">
      <c r="A75" s="109"/>
      <c r="B75" s="109"/>
      <c r="C75" s="109"/>
      <c r="E75" s="109"/>
      <c r="F75" s="109"/>
      <c r="G75" s="109"/>
    </row>
    <row r="76" spans="1:7" s="106" customFormat="1" ht="17.649999999999999" customHeight="1" x14ac:dyDescent="0.35">
      <c r="A76" s="109"/>
      <c r="B76" s="109"/>
      <c r="C76" s="109"/>
      <c r="E76" s="109"/>
      <c r="F76" s="109"/>
      <c r="G76" s="109"/>
    </row>
    <row r="77" spans="1:7" s="106" customFormat="1" ht="17.649999999999999" customHeight="1" x14ac:dyDescent="0.35">
      <c r="A77" s="109"/>
      <c r="B77" s="109"/>
      <c r="C77" s="109"/>
      <c r="E77" s="109"/>
      <c r="F77" s="109"/>
      <c r="G77" s="109"/>
    </row>
    <row r="78" spans="1:7" s="106" customFormat="1" ht="17.649999999999999" customHeight="1" x14ac:dyDescent="0.35">
      <c r="A78" s="109"/>
      <c r="B78" s="109"/>
      <c r="C78" s="109"/>
      <c r="E78" s="109"/>
      <c r="F78" s="109"/>
      <c r="G78" s="109"/>
    </row>
    <row r="79" spans="1:7" s="106" customFormat="1" ht="17.649999999999999" customHeight="1" x14ac:dyDescent="0.35">
      <c r="A79" s="109"/>
      <c r="B79" s="109"/>
      <c r="C79" s="109"/>
      <c r="E79" s="109"/>
      <c r="F79" s="109"/>
      <c r="G79" s="109"/>
    </row>
    <row r="80" spans="1:7" s="106" customFormat="1" ht="17.649999999999999" customHeight="1" x14ac:dyDescent="0.35">
      <c r="A80" s="109"/>
      <c r="B80" s="109"/>
      <c r="C80" s="109"/>
      <c r="E80" s="109"/>
      <c r="F80" s="109"/>
      <c r="G80" s="109"/>
    </row>
    <row r="81" spans="1:7" s="106" customFormat="1" ht="17.649999999999999" customHeight="1" x14ac:dyDescent="0.35">
      <c r="A81" s="109"/>
      <c r="B81" s="109"/>
      <c r="C81" s="109"/>
      <c r="E81" s="109"/>
      <c r="F81" s="109"/>
      <c r="G81" s="109"/>
    </row>
    <row r="82" spans="1:7" s="106" customFormat="1" ht="17.649999999999999" customHeight="1" x14ac:dyDescent="0.35">
      <c r="A82" s="109"/>
      <c r="B82" s="109"/>
      <c r="C82" s="109"/>
      <c r="E82" s="109"/>
      <c r="F82" s="109"/>
      <c r="G82" s="109"/>
    </row>
    <row r="83" spans="1:7" s="106" customFormat="1" ht="17.649999999999999" customHeight="1" x14ac:dyDescent="0.35">
      <c r="A83" s="109"/>
      <c r="B83" s="109"/>
      <c r="C83" s="109"/>
      <c r="E83" s="109"/>
      <c r="F83" s="109"/>
      <c r="G83" s="109"/>
    </row>
    <row r="84" spans="1:7" s="106" customFormat="1" ht="17.649999999999999" customHeight="1" x14ac:dyDescent="0.35">
      <c r="A84" s="109"/>
      <c r="B84" s="109"/>
      <c r="C84" s="109"/>
      <c r="E84" s="109"/>
      <c r="F84" s="109"/>
      <c r="G84" s="109"/>
    </row>
    <row r="85" spans="1:7" s="106" customFormat="1" ht="17.649999999999999" customHeight="1" x14ac:dyDescent="0.35">
      <c r="A85" s="109"/>
      <c r="B85" s="109"/>
      <c r="C85" s="109"/>
      <c r="E85" s="109"/>
      <c r="F85" s="109"/>
      <c r="G85" s="109"/>
    </row>
    <row r="86" spans="1:7" s="106" customFormat="1" ht="17.649999999999999" customHeight="1" x14ac:dyDescent="0.35">
      <c r="A86" s="109"/>
      <c r="B86" s="109"/>
      <c r="C86" s="109"/>
      <c r="E86" s="109"/>
      <c r="F86" s="109"/>
      <c r="G86" s="109"/>
    </row>
    <row r="87" spans="1:7" s="106" customFormat="1" ht="17.649999999999999" customHeight="1" x14ac:dyDescent="0.35">
      <c r="A87" s="109"/>
      <c r="B87" s="109"/>
      <c r="C87" s="109"/>
      <c r="E87" s="109"/>
      <c r="F87" s="109"/>
      <c r="G87" s="109"/>
    </row>
    <row r="88" spans="1:7" s="106" customFormat="1" ht="17.649999999999999" customHeight="1" x14ac:dyDescent="0.35">
      <c r="A88" s="109"/>
      <c r="B88" s="109"/>
      <c r="C88" s="109"/>
      <c r="E88" s="109"/>
      <c r="F88" s="109"/>
      <c r="G88" s="109"/>
    </row>
    <row r="89" spans="1:7" s="106" customFormat="1" ht="17.649999999999999" customHeight="1" x14ac:dyDescent="0.35">
      <c r="A89" s="109"/>
      <c r="B89" s="109"/>
      <c r="C89" s="109"/>
      <c r="E89" s="109"/>
      <c r="F89" s="109"/>
      <c r="G89" s="109"/>
    </row>
    <row r="90" spans="1:7" s="106" customFormat="1" ht="17.649999999999999" customHeight="1" x14ac:dyDescent="0.35">
      <c r="A90" s="109"/>
      <c r="B90" s="109"/>
      <c r="C90" s="109"/>
      <c r="E90" s="109"/>
      <c r="F90" s="109"/>
      <c r="G90" s="109"/>
    </row>
    <row r="91" spans="1:7" s="106" customFormat="1" ht="17.649999999999999" customHeight="1" x14ac:dyDescent="0.35">
      <c r="A91" s="109"/>
      <c r="B91" s="109"/>
      <c r="C91" s="109"/>
      <c r="E91" s="109"/>
      <c r="F91" s="109"/>
      <c r="G91" s="109"/>
    </row>
    <row r="92" spans="1:7" s="106" customFormat="1" ht="17.649999999999999" customHeight="1" x14ac:dyDescent="0.35">
      <c r="A92" s="109"/>
      <c r="B92" s="109"/>
      <c r="C92" s="109"/>
      <c r="E92" s="109"/>
      <c r="F92" s="109"/>
      <c r="G92" s="109"/>
    </row>
    <row r="93" spans="1:7" s="106" customFormat="1" ht="17.649999999999999" customHeight="1" x14ac:dyDescent="0.35">
      <c r="A93" s="109"/>
      <c r="B93" s="109"/>
      <c r="C93" s="109"/>
      <c r="E93" s="109"/>
      <c r="F93" s="109"/>
      <c r="G93" s="109"/>
    </row>
    <row r="94" spans="1:7" s="106" customFormat="1" ht="17.649999999999999" customHeight="1" x14ac:dyDescent="0.35">
      <c r="A94" s="109"/>
      <c r="B94" s="109"/>
      <c r="C94" s="109"/>
      <c r="E94" s="109"/>
      <c r="F94" s="109"/>
      <c r="G94" s="109"/>
    </row>
    <row r="95" spans="1:7" s="106" customFormat="1" ht="17.649999999999999" customHeight="1" x14ac:dyDescent="0.35">
      <c r="A95" s="109"/>
      <c r="B95" s="109"/>
      <c r="C95" s="109"/>
      <c r="E95" s="109"/>
      <c r="F95" s="109"/>
      <c r="G95" s="109"/>
    </row>
    <row r="96" spans="1:7" s="106" customFormat="1" ht="17.649999999999999" customHeight="1" x14ac:dyDescent="0.35">
      <c r="A96" s="109"/>
      <c r="B96" s="109"/>
      <c r="C96" s="109"/>
      <c r="E96" s="109"/>
      <c r="F96" s="109"/>
      <c r="G96" s="109"/>
    </row>
    <row r="97" spans="1:7" s="106" customFormat="1" ht="17.649999999999999" customHeight="1" x14ac:dyDescent="0.35">
      <c r="A97" s="109"/>
      <c r="B97" s="109"/>
      <c r="C97" s="109"/>
      <c r="E97" s="109"/>
      <c r="F97" s="109"/>
      <c r="G97" s="109"/>
    </row>
    <row r="98" spans="1:7" s="106" customFormat="1" ht="17.649999999999999" customHeight="1" x14ac:dyDescent="0.35">
      <c r="A98" s="109"/>
      <c r="B98" s="109"/>
      <c r="C98" s="109"/>
      <c r="E98" s="109"/>
      <c r="F98" s="109"/>
      <c r="G98" s="109"/>
    </row>
    <row r="99" spans="1:7" x14ac:dyDescent="0.35">
      <c r="A99" s="109"/>
      <c r="B99" s="109"/>
      <c r="C99" s="109"/>
      <c r="E99" s="109"/>
      <c r="F99" s="109"/>
      <c r="G99" s="109"/>
    </row>
    <row r="100" spans="1:7" x14ac:dyDescent="0.35">
      <c r="A100" s="109"/>
      <c r="B100" s="109"/>
      <c r="C100" s="109"/>
      <c r="E100" s="109"/>
      <c r="F100" s="109"/>
      <c r="G100" s="109"/>
    </row>
    <row r="101" spans="1:7" x14ac:dyDescent="0.35">
      <c r="A101" s="109"/>
      <c r="B101" s="109"/>
      <c r="C101" s="109"/>
      <c r="E101" s="109"/>
      <c r="F101" s="109"/>
      <c r="G101" s="109"/>
    </row>
    <row r="102" spans="1:7" x14ac:dyDescent="0.35">
      <c r="A102" s="109"/>
      <c r="B102" s="109"/>
      <c r="C102" s="109"/>
      <c r="E102" s="109"/>
      <c r="F102" s="109"/>
      <c r="G102" s="109"/>
    </row>
    <row r="103" spans="1:7" x14ac:dyDescent="0.35">
      <c r="A103" s="109"/>
      <c r="B103" s="109"/>
      <c r="C103" s="109"/>
      <c r="E103" s="109"/>
      <c r="F103" s="109"/>
      <c r="G103" s="109"/>
    </row>
    <row r="104" spans="1:7" x14ac:dyDescent="0.35">
      <c r="A104" s="109"/>
      <c r="B104" s="109"/>
      <c r="C104" s="109"/>
      <c r="E104" s="109"/>
      <c r="F104" s="109"/>
      <c r="G104" s="109"/>
    </row>
    <row r="105" spans="1:7" x14ac:dyDescent="0.35">
      <c r="A105" s="109"/>
      <c r="B105" s="109"/>
      <c r="C105" s="109"/>
      <c r="E105" s="109"/>
      <c r="F105" s="109"/>
      <c r="G105" s="109"/>
    </row>
    <row r="106" spans="1:7" x14ac:dyDescent="0.35">
      <c r="A106" s="109"/>
      <c r="B106" s="109"/>
      <c r="C106" s="109"/>
      <c r="E106" s="109"/>
      <c r="F106" s="109"/>
      <c r="G106" s="109"/>
    </row>
    <row r="107" spans="1:7" x14ac:dyDescent="0.35">
      <c r="A107" s="109"/>
      <c r="B107" s="109"/>
      <c r="C107" s="109"/>
      <c r="E107" s="109"/>
      <c r="F107" s="109"/>
      <c r="G107" s="109"/>
    </row>
    <row r="108" spans="1:7" x14ac:dyDescent="0.35">
      <c r="A108" s="109"/>
      <c r="B108" s="109"/>
      <c r="C108" s="109"/>
      <c r="E108" s="109"/>
      <c r="F108" s="109"/>
      <c r="G108" s="109"/>
    </row>
    <row r="109" spans="1:7" x14ac:dyDescent="0.35">
      <c r="A109" s="109"/>
      <c r="B109" s="109"/>
      <c r="C109" s="109"/>
      <c r="E109" s="109"/>
      <c r="F109" s="109"/>
      <c r="G109" s="109"/>
    </row>
    <row r="110" spans="1:7" x14ac:dyDescent="0.35">
      <c r="A110" s="109"/>
      <c r="B110" s="109"/>
      <c r="C110" s="109"/>
      <c r="E110" s="109"/>
      <c r="F110" s="109"/>
      <c r="G110" s="109"/>
    </row>
    <row r="111" spans="1:7" x14ac:dyDescent="0.35">
      <c r="A111" s="109"/>
      <c r="B111" s="109"/>
      <c r="C111" s="109"/>
      <c r="E111" s="109"/>
      <c r="F111" s="109"/>
      <c r="G111" s="109"/>
    </row>
    <row r="112" spans="1:7" x14ac:dyDescent="0.35">
      <c r="A112" s="109"/>
      <c r="B112" s="109"/>
      <c r="C112" s="109"/>
      <c r="E112" s="109"/>
      <c r="F112" s="109"/>
      <c r="G112" s="109"/>
    </row>
    <row r="113" spans="1:7" x14ac:dyDescent="0.35">
      <c r="A113" s="109"/>
      <c r="B113" s="109"/>
      <c r="C113" s="109"/>
      <c r="E113" s="109"/>
      <c r="F113" s="109"/>
      <c r="G113" s="109"/>
    </row>
    <row r="114" spans="1:7" x14ac:dyDescent="0.35">
      <c r="A114" s="109"/>
      <c r="B114" s="109"/>
      <c r="C114" s="109"/>
      <c r="E114" s="109"/>
      <c r="F114" s="109"/>
      <c r="G114" s="109"/>
    </row>
    <row r="115" spans="1:7" x14ac:dyDescent="0.35">
      <c r="A115" s="109"/>
      <c r="B115" s="109"/>
      <c r="C115" s="109"/>
      <c r="E115" s="109"/>
      <c r="F115" s="109"/>
      <c r="G115" s="109"/>
    </row>
    <row r="116" spans="1:7" x14ac:dyDescent="0.35">
      <c r="A116" s="109"/>
      <c r="B116" s="109"/>
      <c r="C116" s="109"/>
      <c r="E116" s="109"/>
      <c r="F116" s="109"/>
      <c r="G116" s="109"/>
    </row>
    <row r="117" spans="1:7" x14ac:dyDescent="0.35">
      <c r="A117" s="109"/>
      <c r="B117" s="109"/>
      <c r="C117" s="109"/>
      <c r="E117" s="109"/>
      <c r="F117" s="109"/>
      <c r="G117" s="109"/>
    </row>
    <row r="118" spans="1:7" x14ac:dyDescent="0.35">
      <c r="A118" s="109"/>
      <c r="B118" s="109"/>
      <c r="C118" s="109"/>
      <c r="E118" s="109"/>
      <c r="F118" s="109"/>
      <c r="G118" s="109"/>
    </row>
    <row r="119" spans="1:7" x14ac:dyDescent="0.35">
      <c r="A119" s="109"/>
      <c r="B119" s="109"/>
      <c r="C119" s="109"/>
      <c r="E119" s="109"/>
      <c r="F119" s="109"/>
      <c r="G119" s="109"/>
    </row>
    <row r="120" spans="1:7" x14ac:dyDescent="0.35">
      <c r="A120" s="109"/>
      <c r="B120" s="109"/>
      <c r="C120" s="109"/>
      <c r="E120" s="109"/>
      <c r="F120" s="109"/>
      <c r="G120" s="109"/>
    </row>
    <row r="121" spans="1:7" x14ac:dyDescent="0.35">
      <c r="A121" s="109"/>
      <c r="B121" s="109"/>
      <c r="C121" s="109"/>
      <c r="E121" s="109"/>
      <c r="F121" s="109"/>
      <c r="G121" s="109"/>
    </row>
    <row r="122" spans="1:7" x14ac:dyDescent="0.35">
      <c r="A122" s="109"/>
      <c r="B122" s="109"/>
      <c r="C122" s="109"/>
      <c r="E122" s="109"/>
      <c r="F122" s="109"/>
      <c r="G122" s="109"/>
    </row>
    <row r="123" spans="1:7" x14ac:dyDescent="0.35">
      <c r="A123" s="109"/>
      <c r="B123" s="109"/>
      <c r="C123" s="109"/>
      <c r="E123" s="109"/>
      <c r="F123" s="109"/>
      <c r="G123" s="109"/>
    </row>
    <row r="124" spans="1:7" x14ac:dyDescent="0.35">
      <c r="A124" s="109"/>
      <c r="B124" s="109"/>
      <c r="C124" s="109"/>
      <c r="E124" s="109"/>
      <c r="F124" s="109"/>
      <c r="G124" s="109"/>
    </row>
    <row r="125" spans="1:7" x14ac:dyDescent="0.35">
      <c r="A125" s="109"/>
      <c r="B125" s="109"/>
      <c r="C125" s="109"/>
      <c r="E125" s="109"/>
      <c r="F125" s="109"/>
      <c r="G125" s="109"/>
    </row>
    <row r="126" spans="1:7" x14ac:dyDescent="0.35">
      <c r="A126" s="109"/>
      <c r="B126" s="109"/>
      <c r="C126" s="109"/>
      <c r="E126" s="109"/>
      <c r="F126" s="109"/>
      <c r="G126" s="109"/>
    </row>
    <row r="127" spans="1:7" x14ac:dyDescent="0.35">
      <c r="A127" s="109"/>
      <c r="B127" s="109"/>
      <c r="C127" s="109"/>
      <c r="E127" s="109"/>
      <c r="F127" s="109"/>
      <c r="G127" s="109"/>
    </row>
    <row r="128" spans="1:7" x14ac:dyDescent="0.35">
      <c r="A128" s="109"/>
      <c r="B128" s="109"/>
      <c r="C128" s="109"/>
      <c r="E128" s="109"/>
      <c r="F128" s="109"/>
      <c r="G128" s="109"/>
    </row>
    <row r="129" spans="1:7" x14ac:dyDescent="0.35">
      <c r="A129" s="109"/>
      <c r="B129" s="109"/>
      <c r="C129" s="109"/>
      <c r="E129" s="109"/>
      <c r="F129" s="109"/>
      <c r="G129" s="109"/>
    </row>
    <row r="130" spans="1:7" x14ac:dyDescent="0.35">
      <c r="A130" s="109"/>
      <c r="B130" s="109"/>
      <c r="C130" s="109"/>
      <c r="E130" s="109"/>
      <c r="F130" s="109"/>
      <c r="G130" s="109"/>
    </row>
    <row r="131" spans="1:7" x14ac:dyDescent="0.35">
      <c r="A131" s="109"/>
      <c r="B131" s="109"/>
      <c r="C131" s="109"/>
      <c r="E131" s="109"/>
      <c r="F131" s="109"/>
      <c r="G131" s="109"/>
    </row>
    <row r="132" spans="1:7" x14ac:dyDescent="0.35">
      <c r="A132" s="109"/>
      <c r="B132" s="109"/>
      <c r="C132" s="109"/>
      <c r="E132" s="109"/>
      <c r="F132" s="109"/>
      <c r="G132" s="109"/>
    </row>
    <row r="133" spans="1:7" x14ac:dyDescent="0.35">
      <c r="A133" s="109"/>
      <c r="B133" s="109"/>
      <c r="C133" s="109"/>
      <c r="E133" s="109"/>
      <c r="F133" s="109"/>
      <c r="G133" s="109"/>
    </row>
    <row r="134" spans="1:7" x14ac:dyDescent="0.35">
      <c r="A134" s="109"/>
      <c r="B134" s="109"/>
      <c r="C134" s="109"/>
      <c r="E134" s="109"/>
      <c r="F134" s="109"/>
      <c r="G134" s="109"/>
    </row>
    <row r="135" spans="1:7" x14ac:dyDescent="0.35">
      <c r="A135" s="109"/>
      <c r="B135" s="109"/>
      <c r="C135" s="109"/>
      <c r="E135" s="109"/>
      <c r="F135" s="109"/>
      <c r="G135" s="109"/>
    </row>
    <row r="136" spans="1:7" x14ac:dyDescent="0.35">
      <c r="A136" s="109"/>
      <c r="B136" s="109"/>
      <c r="C136" s="109"/>
      <c r="E136" s="109"/>
      <c r="F136" s="109"/>
      <c r="G136" s="109"/>
    </row>
    <row r="137" spans="1:7" x14ac:dyDescent="0.35">
      <c r="A137" s="109"/>
      <c r="B137" s="109"/>
      <c r="C137" s="109"/>
      <c r="E137" s="109"/>
      <c r="F137" s="109"/>
      <c r="G137" s="109"/>
    </row>
    <row r="138" spans="1:7" x14ac:dyDescent="0.35">
      <c r="A138" s="109"/>
      <c r="B138" s="109"/>
      <c r="C138" s="109"/>
      <c r="E138" s="109"/>
      <c r="F138" s="109"/>
      <c r="G138" s="109"/>
    </row>
    <row r="139" spans="1:7" x14ac:dyDescent="0.35">
      <c r="A139" s="109"/>
      <c r="B139" s="109"/>
      <c r="C139" s="109"/>
      <c r="E139" s="109"/>
      <c r="F139" s="109"/>
      <c r="G139" s="109"/>
    </row>
    <row r="140" spans="1:7" x14ac:dyDescent="0.35">
      <c r="A140" s="109"/>
      <c r="B140" s="109"/>
      <c r="C140" s="109"/>
      <c r="E140" s="109"/>
      <c r="F140" s="109"/>
      <c r="G140" s="109"/>
    </row>
    <row r="141" spans="1:7" x14ac:dyDescent="0.35">
      <c r="A141" s="109"/>
      <c r="B141" s="109"/>
      <c r="C141" s="109"/>
      <c r="E141" s="109"/>
      <c r="F141" s="109"/>
      <c r="G141" s="109"/>
    </row>
    <row r="142" spans="1:7" x14ac:dyDescent="0.35">
      <c r="A142" s="109"/>
      <c r="B142" s="109"/>
      <c r="C142" s="109"/>
      <c r="E142" s="109"/>
      <c r="F142" s="109"/>
      <c r="G142" s="109"/>
    </row>
    <row r="143" spans="1:7" x14ac:dyDescent="0.35">
      <c r="A143" s="109"/>
      <c r="B143" s="109"/>
      <c r="C143" s="109"/>
      <c r="E143" s="109"/>
      <c r="F143" s="109"/>
      <c r="G143" s="109"/>
    </row>
    <row r="144" spans="1:7" x14ac:dyDescent="0.35">
      <c r="A144" s="109"/>
      <c r="B144" s="109"/>
      <c r="C144" s="109"/>
      <c r="E144" s="109"/>
      <c r="F144" s="109"/>
      <c r="G144" s="109"/>
    </row>
    <row r="145" spans="1:7" x14ac:dyDescent="0.35">
      <c r="A145" s="109"/>
      <c r="B145" s="109"/>
      <c r="C145" s="109"/>
      <c r="E145" s="109"/>
      <c r="F145" s="109"/>
      <c r="G145" s="109"/>
    </row>
    <row r="146" spans="1:7" x14ac:dyDescent="0.35">
      <c r="A146" s="109"/>
      <c r="B146" s="109"/>
      <c r="C146" s="109"/>
      <c r="E146" s="109"/>
      <c r="F146" s="109"/>
      <c r="G146" s="109"/>
    </row>
    <row r="147" spans="1:7" x14ac:dyDescent="0.35">
      <c r="A147" s="109"/>
      <c r="B147" s="109"/>
      <c r="C147" s="109"/>
      <c r="E147" s="109"/>
      <c r="F147" s="109"/>
      <c r="G147" s="109"/>
    </row>
    <row r="148" spans="1:7" x14ac:dyDescent="0.35">
      <c r="A148" s="109"/>
      <c r="B148" s="109"/>
      <c r="C148" s="109"/>
      <c r="E148" s="109"/>
      <c r="F148" s="109"/>
      <c r="G148" s="109"/>
    </row>
    <row r="149" spans="1:7" x14ac:dyDescent="0.35">
      <c r="A149" s="109"/>
      <c r="B149" s="109"/>
      <c r="C149" s="109"/>
      <c r="E149" s="109"/>
      <c r="F149" s="109"/>
      <c r="G149" s="109"/>
    </row>
    <row r="150" spans="1:7" x14ac:dyDescent="0.35">
      <c r="A150" s="109"/>
      <c r="B150" s="109"/>
      <c r="C150" s="109"/>
      <c r="E150" s="109"/>
      <c r="F150" s="109"/>
      <c r="G150" s="109"/>
    </row>
    <row r="151" spans="1:7" x14ac:dyDescent="0.35">
      <c r="A151" s="109"/>
      <c r="B151" s="109"/>
      <c r="C151" s="109"/>
      <c r="E151" s="109"/>
      <c r="F151" s="109"/>
      <c r="G151" s="109"/>
    </row>
    <row r="152" spans="1:7" x14ac:dyDescent="0.35">
      <c r="A152" s="109"/>
      <c r="B152" s="109"/>
      <c r="C152" s="109"/>
      <c r="E152" s="109"/>
      <c r="F152" s="109"/>
      <c r="G152" s="109"/>
    </row>
    <row r="153" spans="1:7" x14ac:dyDescent="0.35">
      <c r="A153" s="109"/>
      <c r="B153" s="109"/>
      <c r="C153" s="109"/>
      <c r="E153" s="109"/>
      <c r="F153" s="109"/>
      <c r="G153" s="109"/>
    </row>
    <row r="154" spans="1:7" x14ac:dyDescent="0.35">
      <c r="A154" s="109"/>
      <c r="B154" s="109"/>
      <c r="C154" s="109"/>
      <c r="E154" s="109"/>
      <c r="F154" s="109"/>
      <c r="G154" s="109"/>
    </row>
    <row r="155" spans="1:7" x14ac:dyDescent="0.35">
      <c r="A155" s="109"/>
      <c r="B155" s="109"/>
      <c r="C155" s="109"/>
      <c r="E155" s="109"/>
      <c r="F155" s="109"/>
      <c r="G155" s="109"/>
    </row>
    <row r="156" spans="1:7" x14ac:dyDescent="0.35">
      <c r="A156" s="109"/>
      <c r="B156" s="109"/>
      <c r="C156" s="109"/>
      <c r="E156" s="109"/>
      <c r="F156" s="109"/>
      <c r="G156" s="109"/>
    </row>
    <row r="157" spans="1:7" x14ac:dyDescent="0.35">
      <c r="A157" s="109"/>
      <c r="B157" s="109"/>
      <c r="C157" s="109"/>
      <c r="E157" s="109"/>
      <c r="F157" s="109"/>
      <c r="G157" s="109"/>
    </row>
    <row r="158" spans="1:7" x14ac:dyDescent="0.35">
      <c r="A158" s="109"/>
      <c r="B158" s="109"/>
      <c r="C158" s="109"/>
      <c r="E158" s="109"/>
      <c r="F158" s="109"/>
      <c r="G158" s="109"/>
    </row>
    <row r="159" spans="1:7" x14ac:dyDescent="0.35">
      <c r="A159" s="109"/>
      <c r="B159" s="109"/>
      <c r="C159" s="109"/>
      <c r="E159" s="109"/>
      <c r="F159" s="109"/>
      <c r="G159" s="109"/>
    </row>
    <row r="160" spans="1:7" x14ac:dyDescent="0.35">
      <c r="A160" s="109"/>
      <c r="B160" s="109"/>
      <c r="C160" s="109"/>
      <c r="E160" s="109"/>
      <c r="F160" s="109"/>
      <c r="G160" s="109"/>
    </row>
    <row r="161" spans="1:7" x14ac:dyDescent="0.35">
      <c r="A161" s="109"/>
      <c r="B161" s="109"/>
      <c r="C161" s="109"/>
      <c r="E161" s="109"/>
      <c r="F161" s="109"/>
      <c r="G161" s="109"/>
    </row>
    <row r="162" spans="1:7" x14ac:dyDescent="0.35">
      <c r="A162" s="109"/>
      <c r="B162" s="109"/>
      <c r="C162" s="109"/>
      <c r="E162" s="109"/>
      <c r="F162" s="109"/>
      <c r="G162" s="109"/>
    </row>
    <row r="163" spans="1:7" x14ac:dyDescent="0.35">
      <c r="A163" s="109"/>
      <c r="B163" s="109"/>
      <c r="C163" s="109"/>
      <c r="E163" s="109"/>
      <c r="F163" s="109"/>
      <c r="G163" s="109"/>
    </row>
    <row r="164" spans="1:7" x14ac:dyDescent="0.35">
      <c r="A164" s="109"/>
      <c r="B164" s="109"/>
      <c r="C164" s="109"/>
      <c r="E164" s="109"/>
      <c r="F164" s="109"/>
      <c r="G164" s="109"/>
    </row>
    <row r="165" spans="1:7" x14ac:dyDescent="0.35">
      <c r="A165" s="109"/>
      <c r="B165" s="109"/>
      <c r="C165" s="109"/>
      <c r="E165" s="109"/>
      <c r="F165" s="109"/>
      <c r="G165" s="109"/>
    </row>
    <row r="166" spans="1:7" x14ac:dyDescent="0.35">
      <c r="A166" s="109"/>
      <c r="B166" s="109"/>
      <c r="C166" s="109"/>
      <c r="E166" s="109"/>
      <c r="F166" s="109"/>
      <c r="G166" s="109"/>
    </row>
    <row r="167" spans="1:7" x14ac:dyDescent="0.35">
      <c r="A167" s="109"/>
      <c r="B167" s="109"/>
      <c r="C167" s="109"/>
      <c r="E167" s="109"/>
      <c r="F167" s="109"/>
      <c r="G167" s="109"/>
    </row>
    <row r="168" spans="1:7" x14ac:dyDescent="0.35">
      <c r="A168" s="109"/>
      <c r="B168" s="109"/>
      <c r="C168" s="109"/>
      <c r="E168" s="109"/>
      <c r="F168" s="109"/>
      <c r="G168" s="109"/>
    </row>
    <row r="169" spans="1:7" x14ac:dyDescent="0.35">
      <c r="A169" s="109"/>
      <c r="B169" s="109"/>
      <c r="C169" s="109"/>
      <c r="E169" s="109"/>
      <c r="F169" s="109"/>
      <c r="G169" s="109"/>
    </row>
    <row r="170" spans="1:7" x14ac:dyDescent="0.35">
      <c r="A170" s="109"/>
      <c r="B170" s="109"/>
      <c r="C170" s="109"/>
      <c r="E170" s="109"/>
      <c r="F170" s="109"/>
      <c r="G170" s="109"/>
    </row>
    <row r="171" spans="1:7" x14ac:dyDescent="0.35">
      <c r="A171" s="109"/>
      <c r="B171" s="109"/>
      <c r="C171" s="109"/>
      <c r="E171" s="109"/>
      <c r="F171" s="109"/>
      <c r="G171" s="109"/>
    </row>
    <row r="172" spans="1:7" x14ac:dyDescent="0.35">
      <c r="A172" s="109"/>
      <c r="B172" s="109"/>
      <c r="C172" s="109"/>
      <c r="E172" s="109"/>
      <c r="F172" s="109"/>
      <c r="G172" s="109"/>
    </row>
    <row r="173" spans="1:7" x14ac:dyDescent="0.35">
      <c r="A173" s="109"/>
      <c r="B173" s="109"/>
      <c r="C173" s="109"/>
      <c r="E173" s="109"/>
      <c r="F173" s="109"/>
      <c r="G173" s="109"/>
    </row>
    <row r="174" spans="1:7" x14ac:dyDescent="0.35">
      <c r="A174" s="109"/>
      <c r="B174" s="109"/>
      <c r="C174" s="109"/>
      <c r="E174" s="109"/>
      <c r="F174" s="109"/>
      <c r="G174" s="109"/>
    </row>
    <row r="175" spans="1:7" x14ac:dyDescent="0.35">
      <c r="A175" s="109"/>
      <c r="B175" s="109"/>
      <c r="C175" s="109"/>
      <c r="E175" s="109"/>
      <c r="F175" s="109"/>
      <c r="G175" s="109"/>
    </row>
    <row r="176" spans="1:7" x14ac:dyDescent="0.35">
      <c r="A176" s="109"/>
      <c r="B176" s="109"/>
      <c r="C176" s="109"/>
      <c r="E176" s="109"/>
      <c r="F176" s="109"/>
      <c r="G176" s="109"/>
    </row>
    <row r="177" spans="1:7" x14ac:dyDescent="0.35">
      <c r="A177" s="109"/>
      <c r="B177" s="109"/>
      <c r="C177" s="109"/>
      <c r="E177" s="109"/>
      <c r="F177" s="109"/>
      <c r="G177" s="109"/>
    </row>
    <row r="178" spans="1:7" x14ac:dyDescent="0.35">
      <c r="A178" s="109"/>
      <c r="B178" s="109"/>
      <c r="C178" s="109"/>
      <c r="E178" s="109"/>
      <c r="F178" s="109"/>
      <c r="G178" s="109"/>
    </row>
    <row r="179" spans="1:7" x14ac:dyDescent="0.35">
      <c r="A179" s="109"/>
      <c r="B179" s="109"/>
      <c r="C179" s="109"/>
      <c r="E179" s="109"/>
      <c r="F179" s="109"/>
      <c r="G179" s="109"/>
    </row>
    <row r="180" spans="1:7" x14ac:dyDescent="0.35">
      <c r="A180" s="109"/>
      <c r="B180" s="109"/>
      <c r="C180" s="109"/>
      <c r="E180" s="109"/>
      <c r="F180" s="109"/>
      <c r="G180" s="109"/>
    </row>
    <row r="181" spans="1:7" x14ac:dyDescent="0.35">
      <c r="A181" s="109"/>
      <c r="B181" s="109"/>
      <c r="C181" s="109"/>
      <c r="E181" s="109"/>
      <c r="F181" s="109"/>
      <c r="G181" s="109"/>
    </row>
    <row r="182" spans="1:7" x14ac:dyDescent="0.35">
      <c r="A182" s="109"/>
      <c r="B182" s="109"/>
      <c r="C182" s="109"/>
      <c r="E182" s="109"/>
      <c r="F182" s="109"/>
      <c r="G182" s="109"/>
    </row>
    <row r="183" spans="1:7" x14ac:dyDescent="0.35">
      <c r="A183" s="109"/>
      <c r="B183" s="109"/>
      <c r="C183" s="109"/>
      <c r="E183" s="109"/>
      <c r="F183" s="109"/>
      <c r="G183" s="109"/>
    </row>
    <row r="184" spans="1:7" x14ac:dyDescent="0.35">
      <c r="A184" s="109"/>
      <c r="B184" s="109"/>
      <c r="C184" s="109"/>
      <c r="E184" s="109"/>
      <c r="F184" s="109"/>
      <c r="G184" s="109"/>
    </row>
    <row r="185" spans="1:7" x14ac:dyDescent="0.35">
      <c r="A185" s="109"/>
      <c r="B185" s="109"/>
      <c r="C185" s="109"/>
      <c r="E185" s="109"/>
      <c r="F185" s="109"/>
      <c r="G185" s="109"/>
    </row>
    <row r="186" spans="1:7" x14ac:dyDescent="0.35">
      <c r="A186" s="109"/>
      <c r="B186" s="109"/>
      <c r="C186" s="109"/>
      <c r="E186" s="109"/>
      <c r="F186" s="109"/>
      <c r="G186" s="109"/>
    </row>
    <row r="187" spans="1:7" x14ac:dyDescent="0.35">
      <c r="A187" s="109"/>
      <c r="B187" s="109"/>
      <c r="C187" s="109"/>
      <c r="E187" s="109"/>
      <c r="F187" s="109"/>
      <c r="G187" s="109"/>
    </row>
    <row r="188" spans="1:7" x14ac:dyDescent="0.35">
      <c r="A188" s="109"/>
      <c r="B188" s="109"/>
      <c r="C188" s="109"/>
      <c r="E188" s="109"/>
      <c r="F188" s="109"/>
      <c r="G188" s="109"/>
    </row>
    <row r="189" spans="1:7" x14ac:dyDescent="0.35">
      <c r="A189" s="109"/>
      <c r="B189" s="109"/>
      <c r="C189" s="109"/>
      <c r="E189" s="109"/>
      <c r="F189" s="109"/>
      <c r="G189" s="109"/>
    </row>
    <row r="190" spans="1:7" x14ac:dyDescent="0.35">
      <c r="A190" s="109"/>
      <c r="B190" s="109"/>
      <c r="C190" s="109"/>
      <c r="E190" s="109"/>
      <c r="F190" s="109"/>
      <c r="G190" s="109"/>
    </row>
    <row r="191" spans="1:7" x14ac:dyDescent="0.35">
      <c r="A191" s="109"/>
      <c r="B191" s="109"/>
      <c r="C191" s="109"/>
      <c r="E191" s="109"/>
      <c r="F191" s="109"/>
      <c r="G191" s="109"/>
    </row>
    <row r="192" spans="1:7" x14ac:dyDescent="0.35">
      <c r="A192" s="109"/>
      <c r="B192" s="109"/>
      <c r="C192" s="109"/>
      <c r="E192" s="109"/>
      <c r="F192" s="109"/>
      <c r="G192" s="109"/>
    </row>
    <row r="193" spans="1:7" x14ac:dyDescent="0.35">
      <c r="A193" s="109"/>
      <c r="B193" s="109"/>
      <c r="C193" s="109"/>
      <c r="E193" s="109"/>
      <c r="F193" s="109"/>
      <c r="G193" s="109"/>
    </row>
    <row r="194" spans="1:7" x14ac:dyDescent="0.35">
      <c r="A194" s="109"/>
      <c r="B194" s="109"/>
      <c r="C194" s="109"/>
      <c r="E194" s="109"/>
      <c r="F194" s="109"/>
      <c r="G194" s="109"/>
    </row>
    <row r="195" spans="1:7" x14ac:dyDescent="0.35">
      <c r="A195" s="109"/>
      <c r="B195" s="109"/>
      <c r="C195" s="109"/>
      <c r="E195" s="109"/>
      <c r="F195" s="109"/>
      <c r="G195" s="109"/>
    </row>
    <row r="196" spans="1:7" x14ac:dyDescent="0.35">
      <c r="A196" s="109"/>
      <c r="B196" s="109"/>
      <c r="C196" s="109"/>
      <c r="E196" s="109"/>
      <c r="F196" s="109"/>
      <c r="G196" s="109"/>
    </row>
    <row r="197" spans="1:7" x14ac:dyDescent="0.35">
      <c r="A197" s="109"/>
      <c r="B197" s="109"/>
      <c r="C197" s="109"/>
      <c r="E197" s="109"/>
      <c r="F197" s="109"/>
      <c r="G197" s="109"/>
    </row>
    <row r="198" spans="1:7" x14ac:dyDescent="0.35">
      <c r="A198" s="109"/>
      <c r="B198" s="109"/>
      <c r="C198" s="109"/>
      <c r="E198" s="109"/>
      <c r="F198" s="109"/>
      <c r="G198" s="109"/>
    </row>
    <row r="199" spans="1:7" x14ac:dyDescent="0.35">
      <c r="A199" s="109"/>
      <c r="B199" s="109"/>
      <c r="C199" s="109"/>
      <c r="E199" s="109"/>
      <c r="F199" s="109"/>
      <c r="G199" s="109"/>
    </row>
    <row r="200" spans="1:7" x14ac:dyDescent="0.35">
      <c r="A200" s="109"/>
      <c r="B200" s="109"/>
      <c r="C200" s="109"/>
      <c r="E200" s="109"/>
      <c r="F200" s="109"/>
      <c r="G200" s="109"/>
    </row>
    <row r="201" spans="1:7" x14ac:dyDescent="0.35">
      <c r="A201" s="109"/>
      <c r="B201" s="109"/>
      <c r="C201" s="109"/>
      <c r="E201" s="109"/>
      <c r="F201" s="109"/>
      <c r="G201" s="109"/>
    </row>
    <row r="202" spans="1:7" x14ac:dyDescent="0.35">
      <c r="A202" s="109"/>
      <c r="B202" s="109"/>
      <c r="C202" s="109"/>
      <c r="E202" s="109"/>
      <c r="F202" s="109"/>
      <c r="G202" s="109"/>
    </row>
    <row r="203" spans="1:7" x14ac:dyDescent="0.35">
      <c r="A203" s="109"/>
      <c r="B203" s="109"/>
      <c r="C203" s="109"/>
      <c r="E203" s="109"/>
      <c r="F203" s="109"/>
      <c r="G203" s="109"/>
    </row>
    <row r="204" spans="1:7" x14ac:dyDescent="0.35">
      <c r="A204" s="109"/>
      <c r="B204" s="109"/>
      <c r="C204" s="109"/>
      <c r="E204" s="109"/>
      <c r="F204" s="109"/>
      <c r="G204" s="109"/>
    </row>
    <row r="205" spans="1:7" x14ac:dyDescent="0.35">
      <c r="A205" s="109"/>
      <c r="B205" s="109"/>
      <c r="C205" s="109"/>
      <c r="E205" s="109"/>
      <c r="F205" s="109"/>
      <c r="G205" s="109"/>
    </row>
    <row r="206" spans="1:7" x14ac:dyDescent="0.35">
      <c r="A206" s="109"/>
      <c r="B206" s="109"/>
      <c r="C206" s="109"/>
      <c r="E206" s="109"/>
      <c r="F206" s="109"/>
      <c r="G206" s="109"/>
    </row>
    <row r="207" spans="1:7" x14ac:dyDescent="0.35">
      <c r="A207" s="109"/>
      <c r="B207" s="109"/>
      <c r="C207" s="109"/>
      <c r="E207" s="109"/>
      <c r="F207" s="109"/>
      <c r="G207" s="109"/>
    </row>
    <row r="208" spans="1:7" x14ac:dyDescent="0.35">
      <c r="A208" s="109"/>
      <c r="B208" s="109"/>
      <c r="C208" s="109"/>
      <c r="E208" s="109"/>
      <c r="F208" s="109"/>
      <c r="G208" s="109"/>
    </row>
    <row r="209" spans="1:7" x14ac:dyDescent="0.35">
      <c r="A209" s="109"/>
      <c r="B209" s="109"/>
      <c r="C209" s="109"/>
      <c r="E209" s="109"/>
      <c r="F209" s="109"/>
      <c r="G209" s="109"/>
    </row>
    <row r="210" spans="1:7" x14ac:dyDescent="0.35">
      <c r="A210" s="109"/>
      <c r="B210" s="109"/>
      <c r="C210" s="109"/>
      <c r="E210" s="109"/>
      <c r="F210" s="109"/>
      <c r="G210" s="109"/>
    </row>
    <row r="211" spans="1:7" x14ac:dyDescent="0.35">
      <c r="A211" s="109"/>
      <c r="B211" s="109"/>
      <c r="C211" s="109"/>
      <c r="E211" s="109"/>
      <c r="F211" s="109"/>
      <c r="G211" s="109"/>
    </row>
    <row r="212" spans="1:7" x14ac:dyDescent="0.35">
      <c r="A212" s="109"/>
      <c r="B212" s="109"/>
      <c r="C212" s="109"/>
      <c r="E212" s="109"/>
      <c r="F212" s="109"/>
      <c r="G212" s="109"/>
    </row>
    <row r="213" spans="1:7" x14ac:dyDescent="0.35">
      <c r="A213" s="109"/>
      <c r="B213" s="109"/>
      <c r="C213" s="109"/>
      <c r="E213" s="109"/>
      <c r="F213" s="109"/>
      <c r="G213" s="109"/>
    </row>
    <row r="214" spans="1:7" x14ac:dyDescent="0.35">
      <c r="A214" s="109"/>
      <c r="B214" s="109"/>
      <c r="C214" s="109"/>
      <c r="E214" s="109"/>
      <c r="F214" s="109"/>
      <c r="G214" s="109"/>
    </row>
    <row r="215" spans="1:7" x14ac:dyDescent="0.35">
      <c r="A215" s="109"/>
      <c r="B215" s="109"/>
      <c r="C215" s="109"/>
      <c r="E215" s="109"/>
      <c r="F215" s="109"/>
      <c r="G215" s="109"/>
    </row>
    <row r="216" spans="1:7" x14ac:dyDescent="0.35">
      <c r="A216" s="109"/>
      <c r="B216" s="109"/>
      <c r="C216" s="109"/>
      <c r="E216" s="109"/>
      <c r="F216" s="109"/>
      <c r="G216" s="109"/>
    </row>
    <row r="217" spans="1:7" x14ac:dyDescent="0.35">
      <c r="A217" s="109"/>
      <c r="B217" s="109"/>
      <c r="C217" s="109"/>
      <c r="E217" s="109"/>
      <c r="F217" s="109"/>
      <c r="G217" s="109"/>
    </row>
    <row r="218" spans="1:7" x14ac:dyDescent="0.35">
      <c r="A218" s="109"/>
      <c r="B218" s="109"/>
      <c r="C218" s="109"/>
      <c r="E218" s="109"/>
      <c r="F218" s="109"/>
      <c r="G218" s="109"/>
    </row>
    <row r="219" spans="1:7" x14ac:dyDescent="0.35">
      <c r="A219" s="109"/>
      <c r="B219" s="109"/>
      <c r="C219" s="109"/>
      <c r="E219" s="109"/>
      <c r="F219" s="109"/>
      <c r="G219" s="109"/>
    </row>
    <row r="220" spans="1:7" x14ac:dyDescent="0.35">
      <c r="A220" s="109"/>
      <c r="B220" s="109"/>
      <c r="C220" s="109"/>
      <c r="E220" s="109"/>
      <c r="F220" s="109"/>
      <c r="G220" s="109"/>
    </row>
    <row r="221" spans="1:7" x14ac:dyDescent="0.35">
      <c r="A221" s="109"/>
      <c r="B221" s="109"/>
      <c r="C221" s="109"/>
      <c r="E221" s="109"/>
      <c r="F221" s="109"/>
      <c r="G221" s="109"/>
    </row>
    <row r="222" spans="1:7" x14ac:dyDescent="0.35">
      <c r="A222" s="109"/>
      <c r="B222" s="109"/>
      <c r="C222" s="109"/>
      <c r="E222" s="109"/>
      <c r="F222" s="109"/>
      <c r="G222" s="109"/>
    </row>
    <row r="223" spans="1:7" x14ac:dyDescent="0.35">
      <c r="A223" s="109"/>
      <c r="B223" s="109"/>
      <c r="C223" s="109"/>
      <c r="E223" s="109"/>
      <c r="F223" s="109"/>
      <c r="G223" s="109"/>
    </row>
    <row r="224" spans="1:7" x14ac:dyDescent="0.35">
      <c r="A224" s="109"/>
      <c r="B224" s="109"/>
      <c r="C224" s="109"/>
      <c r="E224" s="109"/>
      <c r="F224" s="109"/>
      <c r="G224" s="109"/>
    </row>
    <row r="225" spans="1:7" x14ac:dyDescent="0.35">
      <c r="A225" s="109"/>
      <c r="B225" s="109"/>
      <c r="C225" s="109"/>
      <c r="E225" s="109"/>
      <c r="F225" s="109"/>
      <c r="G225" s="109"/>
    </row>
    <row r="226" spans="1:7" x14ac:dyDescent="0.35">
      <c r="A226" s="109"/>
      <c r="B226" s="109"/>
      <c r="C226" s="109"/>
      <c r="E226" s="109"/>
      <c r="F226" s="109"/>
      <c r="G226" s="109"/>
    </row>
    <row r="227" spans="1:7" x14ac:dyDescent="0.35">
      <c r="A227" s="109"/>
      <c r="B227" s="109"/>
      <c r="C227" s="109"/>
      <c r="E227" s="109"/>
      <c r="F227" s="109"/>
      <c r="G227" s="109"/>
    </row>
    <row r="228" spans="1:7" x14ac:dyDescent="0.35">
      <c r="A228" s="109"/>
      <c r="B228" s="109"/>
      <c r="C228" s="109"/>
      <c r="E228" s="109"/>
      <c r="F228" s="109"/>
      <c r="G228" s="109"/>
    </row>
    <row r="229" spans="1:7" x14ac:dyDescent="0.35">
      <c r="A229" s="109"/>
      <c r="B229" s="109"/>
      <c r="C229" s="109"/>
      <c r="E229" s="109"/>
      <c r="F229" s="109"/>
      <c r="G229" s="109"/>
    </row>
    <row r="230" spans="1:7" x14ac:dyDescent="0.35">
      <c r="A230" s="109"/>
      <c r="B230" s="109"/>
      <c r="C230" s="109"/>
      <c r="E230" s="109"/>
      <c r="F230" s="109"/>
      <c r="G230" s="109"/>
    </row>
    <row r="231" spans="1:7" x14ac:dyDescent="0.35">
      <c r="A231" s="109"/>
      <c r="B231" s="109"/>
      <c r="C231" s="109"/>
      <c r="E231" s="109"/>
      <c r="F231" s="109"/>
      <c r="G231" s="109"/>
    </row>
    <row r="232" spans="1:7" x14ac:dyDescent="0.35">
      <c r="A232" s="109"/>
      <c r="B232" s="109"/>
      <c r="C232" s="109"/>
      <c r="E232" s="109"/>
      <c r="F232" s="109"/>
      <c r="G232" s="109"/>
    </row>
    <row r="233" spans="1:7" x14ac:dyDescent="0.35">
      <c r="A233" s="109"/>
      <c r="B233" s="109"/>
      <c r="C233" s="109"/>
      <c r="E233" s="109"/>
      <c r="F233" s="109"/>
      <c r="G233" s="109"/>
    </row>
    <row r="234" spans="1:7" x14ac:dyDescent="0.35">
      <c r="A234" s="109"/>
      <c r="B234" s="109"/>
      <c r="C234" s="109"/>
      <c r="E234" s="109"/>
      <c r="F234" s="109"/>
      <c r="G234" s="109"/>
    </row>
    <row r="235" spans="1:7" x14ac:dyDescent="0.35">
      <c r="A235" s="109"/>
      <c r="B235" s="109"/>
      <c r="C235" s="109"/>
      <c r="E235" s="109"/>
      <c r="F235" s="109"/>
      <c r="G235" s="109"/>
    </row>
    <row r="236" spans="1:7" x14ac:dyDescent="0.35">
      <c r="A236" s="109"/>
      <c r="B236" s="109"/>
      <c r="C236" s="109"/>
      <c r="E236" s="109"/>
      <c r="F236" s="109"/>
      <c r="G236" s="109"/>
    </row>
    <row r="237" spans="1:7" x14ac:dyDescent="0.35">
      <c r="A237" s="109"/>
      <c r="B237" s="109"/>
      <c r="C237" s="109"/>
      <c r="E237" s="109"/>
      <c r="F237" s="109"/>
      <c r="G237" s="109"/>
    </row>
    <row r="238" spans="1:7" x14ac:dyDescent="0.35">
      <c r="A238" s="109"/>
      <c r="B238" s="109"/>
      <c r="C238" s="109"/>
      <c r="E238" s="109"/>
      <c r="F238" s="109"/>
      <c r="G238" s="109"/>
    </row>
    <row r="239" spans="1:7" x14ac:dyDescent="0.35">
      <c r="A239" s="109"/>
      <c r="B239" s="109"/>
      <c r="C239" s="109"/>
      <c r="E239" s="109"/>
      <c r="F239" s="109"/>
      <c r="G239" s="109"/>
    </row>
    <row r="240" spans="1:7" x14ac:dyDescent="0.35">
      <c r="A240" s="109"/>
      <c r="B240" s="109"/>
      <c r="C240" s="109"/>
      <c r="E240" s="109"/>
      <c r="F240" s="109"/>
      <c r="G240" s="109"/>
    </row>
    <row r="241" spans="1:7" x14ac:dyDescent="0.35">
      <c r="A241" s="109"/>
      <c r="B241" s="109"/>
      <c r="C241" s="109"/>
      <c r="E241" s="109"/>
      <c r="F241" s="109"/>
      <c r="G241" s="109"/>
    </row>
    <row r="242" spans="1:7" x14ac:dyDescent="0.35">
      <c r="A242" s="109"/>
      <c r="B242" s="109"/>
      <c r="C242" s="109"/>
      <c r="E242" s="109"/>
      <c r="F242" s="109"/>
      <c r="G242" s="109"/>
    </row>
    <row r="243" spans="1:7" x14ac:dyDescent="0.35">
      <c r="A243" s="109"/>
      <c r="B243" s="109"/>
      <c r="C243" s="109"/>
      <c r="E243" s="109"/>
      <c r="F243" s="109"/>
      <c r="G243" s="109"/>
    </row>
    <row r="244" spans="1:7" x14ac:dyDescent="0.35">
      <c r="A244" s="109"/>
      <c r="B244" s="109"/>
      <c r="C244" s="109"/>
      <c r="E244" s="109"/>
      <c r="F244" s="109"/>
      <c r="G244" s="109"/>
    </row>
    <row r="245" spans="1:7" x14ac:dyDescent="0.35">
      <c r="A245" s="109"/>
      <c r="B245" s="109"/>
      <c r="C245" s="109"/>
      <c r="E245" s="109"/>
      <c r="F245" s="109"/>
      <c r="G245" s="109"/>
    </row>
    <row r="246" spans="1:7" x14ac:dyDescent="0.35">
      <c r="A246" s="109"/>
      <c r="B246" s="109"/>
      <c r="C246" s="109"/>
      <c r="E246" s="109"/>
      <c r="F246" s="109"/>
      <c r="G246" s="109"/>
    </row>
    <row r="247" spans="1:7" x14ac:dyDescent="0.35">
      <c r="A247" s="109"/>
      <c r="B247" s="109"/>
      <c r="C247" s="109"/>
      <c r="E247" s="109"/>
      <c r="F247" s="109"/>
      <c r="G247" s="109"/>
    </row>
    <row r="248" spans="1:7" x14ac:dyDescent="0.35">
      <c r="A248" s="109"/>
      <c r="B248" s="109"/>
      <c r="C248" s="109"/>
      <c r="E248" s="109"/>
      <c r="F248" s="109"/>
      <c r="G248" s="109"/>
    </row>
    <row r="249" spans="1:7" x14ac:dyDescent="0.35">
      <c r="A249" s="109"/>
      <c r="B249" s="109"/>
      <c r="C249" s="109"/>
      <c r="E249" s="109"/>
      <c r="F249" s="109"/>
      <c r="G249" s="109"/>
    </row>
    <row r="250" spans="1:7" x14ac:dyDescent="0.35">
      <c r="A250" s="109"/>
      <c r="B250" s="109"/>
      <c r="C250" s="109"/>
      <c r="E250" s="109"/>
      <c r="F250" s="109"/>
      <c r="G250" s="109"/>
    </row>
    <row r="251" spans="1:7" x14ac:dyDescent="0.35">
      <c r="A251" s="109"/>
      <c r="B251" s="109"/>
      <c r="C251" s="109"/>
      <c r="E251" s="109"/>
      <c r="F251" s="109"/>
      <c r="G251" s="109"/>
    </row>
    <row r="252" spans="1:7" x14ac:dyDescent="0.35">
      <c r="A252" s="109"/>
      <c r="B252" s="109"/>
      <c r="C252" s="109"/>
      <c r="E252" s="109"/>
      <c r="F252" s="109"/>
      <c r="G252" s="109"/>
    </row>
    <row r="253" spans="1:7" x14ac:dyDescent="0.35">
      <c r="A253" s="109"/>
      <c r="B253" s="109"/>
      <c r="C253" s="109"/>
      <c r="E253" s="109"/>
      <c r="F253" s="109"/>
      <c r="G253" s="109"/>
    </row>
    <row r="254" spans="1:7" x14ac:dyDescent="0.35">
      <c r="A254" s="109"/>
      <c r="B254" s="109"/>
      <c r="C254" s="109"/>
      <c r="E254" s="109"/>
      <c r="F254" s="109"/>
      <c r="G254" s="109"/>
    </row>
    <row r="255" spans="1:7" x14ac:dyDescent="0.35">
      <c r="A255" s="109"/>
      <c r="B255" s="109"/>
      <c r="C255" s="109"/>
      <c r="E255" s="109"/>
      <c r="F255" s="109"/>
      <c r="G255" s="109"/>
    </row>
    <row r="256" spans="1:7" x14ac:dyDescent="0.35">
      <c r="A256" s="109"/>
      <c r="B256" s="109"/>
      <c r="C256" s="109"/>
      <c r="E256" s="109"/>
      <c r="F256" s="109"/>
      <c r="G256" s="109"/>
    </row>
    <row r="257" spans="1:7" x14ac:dyDescent="0.35">
      <c r="A257" s="109"/>
      <c r="B257" s="109"/>
      <c r="C257" s="109"/>
      <c r="E257" s="109"/>
      <c r="F257" s="109"/>
      <c r="G257" s="109"/>
    </row>
    <row r="258" spans="1:7" x14ac:dyDescent="0.35">
      <c r="A258" s="109"/>
      <c r="B258" s="109"/>
      <c r="C258" s="109"/>
      <c r="E258" s="109"/>
      <c r="F258" s="109"/>
      <c r="G258" s="109"/>
    </row>
    <row r="259" spans="1:7" x14ac:dyDescent="0.35">
      <c r="A259" s="109"/>
      <c r="B259" s="109"/>
      <c r="C259" s="109"/>
      <c r="E259" s="109"/>
      <c r="F259" s="109"/>
      <c r="G259" s="109"/>
    </row>
    <row r="260" spans="1:7" x14ac:dyDescent="0.35">
      <c r="A260" s="109"/>
      <c r="B260" s="109"/>
      <c r="C260" s="109"/>
      <c r="E260" s="109"/>
      <c r="F260" s="109"/>
      <c r="G260" s="109"/>
    </row>
    <row r="261" spans="1:7" x14ac:dyDescent="0.35">
      <c r="A261" s="109"/>
      <c r="B261" s="109"/>
      <c r="C261" s="109"/>
      <c r="E261" s="109"/>
      <c r="F261" s="109"/>
      <c r="G261" s="109"/>
    </row>
    <row r="262" spans="1:7" x14ac:dyDescent="0.35">
      <c r="A262" s="109"/>
      <c r="B262" s="109"/>
      <c r="C262" s="109"/>
      <c r="E262" s="109"/>
      <c r="F262" s="109"/>
      <c r="G262" s="109"/>
    </row>
    <row r="263" spans="1:7" x14ac:dyDescent="0.35">
      <c r="A263" s="109"/>
      <c r="B263" s="109"/>
      <c r="C263" s="109"/>
      <c r="E263" s="109"/>
      <c r="F263" s="109"/>
      <c r="G263" s="109"/>
    </row>
    <row r="264" spans="1:7" x14ac:dyDescent="0.35">
      <c r="A264" s="109"/>
      <c r="B264" s="109"/>
      <c r="C264" s="109"/>
      <c r="E264" s="109"/>
      <c r="F264" s="109"/>
      <c r="G264" s="109"/>
    </row>
    <row r="265" spans="1:7" x14ac:dyDescent="0.35">
      <c r="A265" s="109"/>
      <c r="B265" s="109"/>
      <c r="C265" s="109"/>
      <c r="E265" s="109"/>
      <c r="F265" s="109"/>
      <c r="G265" s="109"/>
    </row>
    <row r="266" spans="1:7" x14ac:dyDescent="0.35">
      <c r="A266" s="109"/>
      <c r="B266" s="109"/>
      <c r="C266" s="109"/>
      <c r="E266" s="109"/>
      <c r="F266" s="109"/>
      <c r="G266" s="109"/>
    </row>
    <row r="267" spans="1:7" x14ac:dyDescent="0.35">
      <c r="A267" s="109"/>
      <c r="B267" s="109"/>
      <c r="C267" s="109"/>
      <c r="E267" s="109"/>
      <c r="F267" s="109"/>
      <c r="G267" s="109"/>
    </row>
    <row r="268" spans="1:7" x14ac:dyDescent="0.35">
      <c r="A268" s="109"/>
      <c r="B268" s="109"/>
      <c r="C268" s="109"/>
      <c r="E268" s="109"/>
      <c r="F268" s="109"/>
      <c r="G268" s="109"/>
    </row>
    <row r="269" spans="1:7" x14ac:dyDescent="0.35">
      <c r="A269" s="109"/>
      <c r="B269" s="109"/>
      <c r="C269" s="109"/>
      <c r="E269" s="109"/>
      <c r="F269" s="109"/>
      <c r="G269" s="109"/>
    </row>
    <row r="270" spans="1:7" x14ac:dyDescent="0.35">
      <c r="A270" s="109"/>
      <c r="B270" s="109"/>
      <c r="C270" s="109"/>
      <c r="E270" s="109"/>
      <c r="F270" s="109"/>
      <c r="G270" s="109"/>
    </row>
    <row r="271" spans="1:7" x14ac:dyDescent="0.35">
      <c r="A271" s="109"/>
      <c r="B271" s="109"/>
      <c r="C271" s="109"/>
      <c r="E271" s="109"/>
      <c r="F271" s="109"/>
      <c r="G271" s="109"/>
    </row>
    <row r="272" spans="1:7" x14ac:dyDescent="0.35">
      <c r="A272" s="109"/>
      <c r="B272" s="109"/>
      <c r="C272" s="109"/>
      <c r="E272" s="109"/>
      <c r="F272" s="109"/>
      <c r="G272" s="109"/>
    </row>
    <row r="273" spans="1:7" x14ac:dyDescent="0.35">
      <c r="A273" s="109"/>
      <c r="B273" s="109"/>
      <c r="C273" s="109"/>
      <c r="E273" s="109"/>
      <c r="F273" s="109"/>
      <c r="G273" s="109"/>
    </row>
    <row r="274" spans="1:7" x14ac:dyDescent="0.35">
      <c r="A274" s="109"/>
      <c r="B274" s="109"/>
      <c r="C274" s="109"/>
      <c r="E274" s="109"/>
      <c r="F274" s="109"/>
      <c r="G274" s="109"/>
    </row>
    <row r="275" spans="1:7" x14ac:dyDescent="0.35">
      <c r="A275" s="109"/>
      <c r="B275" s="109"/>
      <c r="C275" s="109"/>
      <c r="E275" s="109"/>
      <c r="F275" s="109"/>
      <c r="G275" s="109"/>
    </row>
    <row r="276" spans="1:7" x14ac:dyDescent="0.35">
      <c r="A276" s="109"/>
      <c r="B276" s="109"/>
      <c r="C276" s="109"/>
      <c r="E276" s="109"/>
      <c r="F276" s="109"/>
      <c r="G276" s="109"/>
    </row>
    <row r="277" spans="1:7" x14ac:dyDescent="0.35">
      <c r="A277" s="109"/>
      <c r="B277" s="109"/>
      <c r="C277" s="109"/>
      <c r="E277" s="109"/>
      <c r="F277" s="109"/>
      <c r="G277" s="109"/>
    </row>
    <row r="278" spans="1:7" x14ac:dyDescent="0.35">
      <c r="A278" s="109"/>
      <c r="B278" s="109"/>
      <c r="C278" s="109"/>
      <c r="E278" s="109"/>
      <c r="F278" s="109"/>
      <c r="G278" s="109"/>
    </row>
    <row r="279" spans="1:7" x14ac:dyDescent="0.35">
      <c r="A279" s="109"/>
      <c r="B279" s="109"/>
      <c r="C279" s="109"/>
      <c r="E279" s="109"/>
      <c r="F279" s="109"/>
      <c r="G279" s="109"/>
    </row>
    <row r="280" spans="1:7" x14ac:dyDescent="0.35">
      <c r="A280" s="109"/>
      <c r="B280" s="109"/>
      <c r="C280" s="109"/>
      <c r="E280" s="109"/>
      <c r="F280" s="109"/>
      <c r="G280" s="109"/>
    </row>
    <row r="281" spans="1:7" x14ac:dyDescent="0.35">
      <c r="A281" s="109"/>
      <c r="B281" s="109"/>
      <c r="C281" s="109"/>
      <c r="E281" s="109"/>
      <c r="F281" s="109"/>
      <c r="G281" s="109"/>
    </row>
    <row r="282" spans="1:7" x14ac:dyDescent="0.35">
      <c r="A282" s="109"/>
      <c r="B282" s="109"/>
      <c r="C282" s="109"/>
      <c r="E282" s="109"/>
      <c r="F282" s="109"/>
      <c r="G282" s="109"/>
    </row>
    <row r="283" spans="1:7" x14ac:dyDescent="0.35">
      <c r="A283" s="109"/>
      <c r="B283" s="109"/>
      <c r="C283" s="109"/>
      <c r="E283" s="109"/>
      <c r="F283" s="109"/>
      <c r="G283" s="109"/>
    </row>
    <row r="284" spans="1:7" x14ac:dyDescent="0.35">
      <c r="A284" s="109"/>
      <c r="B284" s="109"/>
      <c r="C284" s="109"/>
      <c r="E284" s="109"/>
      <c r="F284" s="109"/>
      <c r="G284" s="109"/>
    </row>
    <row r="285" spans="1:7" x14ac:dyDescent="0.35">
      <c r="A285" s="109"/>
      <c r="B285" s="109"/>
      <c r="C285" s="109"/>
      <c r="E285" s="109"/>
      <c r="F285" s="109"/>
      <c r="G285" s="109"/>
    </row>
    <row r="286" spans="1:7" x14ac:dyDescent="0.35">
      <c r="A286" s="109"/>
      <c r="B286" s="109"/>
      <c r="C286" s="109"/>
      <c r="E286" s="109"/>
      <c r="F286" s="109"/>
      <c r="G286" s="109"/>
    </row>
    <row r="287" spans="1:7" x14ac:dyDescent="0.35">
      <c r="A287" s="109"/>
      <c r="B287" s="109"/>
      <c r="C287" s="109"/>
      <c r="E287" s="109"/>
      <c r="F287" s="109"/>
      <c r="G287" s="109"/>
    </row>
    <row r="288" spans="1:7" x14ac:dyDescent="0.35">
      <c r="A288" s="109"/>
      <c r="B288" s="109"/>
      <c r="C288" s="109"/>
      <c r="E288" s="109"/>
      <c r="F288" s="109"/>
      <c r="G288" s="109"/>
    </row>
    <row r="289" spans="1:7" x14ac:dyDescent="0.35">
      <c r="A289" s="109"/>
      <c r="B289" s="109"/>
      <c r="C289" s="109"/>
      <c r="E289" s="109"/>
      <c r="F289" s="109"/>
      <c r="G289" s="109"/>
    </row>
    <row r="290" spans="1:7" x14ac:dyDescent="0.35">
      <c r="A290" s="109"/>
      <c r="B290" s="109"/>
      <c r="C290" s="109"/>
      <c r="E290" s="109"/>
      <c r="F290" s="109"/>
      <c r="G290" s="109"/>
    </row>
    <row r="291" spans="1:7" x14ac:dyDescent="0.35">
      <c r="A291" s="109"/>
      <c r="B291" s="109"/>
      <c r="C291" s="109"/>
      <c r="E291" s="109"/>
      <c r="F291" s="109"/>
      <c r="G291" s="109"/>
    </row>
    <row r="292" spans="1:7" x14ac:dyDescent="0.35">
      <c r="A292" s="109"/>
      <c r="B292" s="109"/>
      <c r="C292" s="109"/>
      <c r="E292" s="109"/>
      <c r="F292" s="109"/>
      <c r="G292" s="109"/>
    </row>
    <row r="293" spans="1:7" x14ac:dyDescent="0.35">
      <c r="A293" s="109"/>
      <c r="B293" s="109"/>
      <c r="C293" s="109"/>
      <c r="E293" s="109"/>
      <c r="F293" s="109"/>
      <c r="G293" s="109"/>
    </row>
    <row r="294" spans="1:7" x14ac:dyDescent="0.35">
      <c r="A294" s="109"/>
      <c r="B294" s="109"/>
      <c r="C294" s="109"/>
      <c r="E294" s="109"/>
      <c r="F294" s="109"/>
      <c r="G294" s="109"/>
    </row>
    <row r="295" spans="1:7" x14ac:dyDescent="0.35">
      <c r="A295" s="109"/>
      <c r="B295" s="109"/>
      <c r="C295" s="109"/>
      <c r="E295" s="109"/>
      <c r="F295" s="109"/>
      <c r="G295" s="109"/>
    </row>
    <row r="296" spans="1:7" x14ac:dyDescent="0.35">
      <c r="A296" s="109"/>
      <c r="B296" s="109"/>
      <c r="C296" s="109"/>
      <c r="E296" s="109"/>
      <c r="F296" s="109"/>
      <c r="G296" s="109"/>
    </row>
    <row r="297" spans="1:7" x14ac:dyDescent="0.35">
      <c r="A297" s="109"/>
      <c r="B297" s="109"/>
      <c r="C297" s="109"/>
      <c r="E297" s="109"/>
      <c r="F297" s="109"/>
      <c r="G297" s="109"/>
    </row>
    <row r="298" spans="1:7" x14ac:dyDescent="0.35">
      <c r="A298" s="109"/>
      <c r="B298" s="109"/>
      <c r="C298" s="109"/>
      <c r="E298" s="109"/>
      <c r="F298" s="109"/>
      <c r="G298" s="109"/>
    </row>
    <row r="299" spans="1:7" x14ac:dyDescent="0.35">
      <c r="A299" s="109"/>
      <c r="B299" s="109"/>
      <c r="C299" s="109"/>
      <c r="E299" s="109"/>
      <c r="F299" s="109"/>
      <c r="G299" s="109"/>
    </row>
    <row r="300" spans="1:7" x14ac:dyDescent="0.35">
      <c r="A300" s="109"/>
      <c r="B300" s="109"/>
      <c r="C300" s="109"/>
      <c r="E300" s="109"/>
      <c r="F300" s="109"/>
      <c r="G300" s="109"/>
    </row>
    <row r="301" spans="1:7" x14ac:dyDescent="0.35">
      <c r="A301" s="109"/>
      <c r="B301" s="109"/>
      <c r="C301" s="109"/>
      <c r="E301" s="109"/>
      <c r="F301" s="109"/>
      <c r="G301" s="109"/>
    </row>
    <row r="302" spans="1:7" x14ac:dyDescent="0.35">
      <c r="A302" s="109"/>
      <c r="B302" s="109"/>
      <c r="C302" s="109"/>
      <c r="E302" s="109"/>
      <c r="F302" s="109"/>
      <c r="G302" s="109"/>
    </row>
    <row r="303" spans="1:7" x14ac:dyDescent="0.35">
      <c r="A303" s="109"/>
      <c r="B303" s="109"/>
      <c r="C303" s="109"/>
      <c r="E303" s="109"/>
      <c r="F303" s="109"/>
      <c r="G303" s="109"/>
    </row>
    <row r="304" spans="1:7" x14ac:dyDescent="0.35">
      <c r="A304" s="109"/>
      <c r="B304" s="109"/>
      <c r="C304" s="109"/>
      <c r="E304" s="109"/>
      <c r="F304" s="109"/>
      <c r="G304" s="109"/>
    </row>
    <row r="305" spans="1:7" x14ac:dyDescent="0.35">
      <c r="A305" s="109"/>
      <c r="B305" s="109"/>
      <c r="C305" s="109"/>
      <c r="E305" s="109"/>
      <c r="F305" s="109"/>
      <c r="G305" s="109"/>
    </row>
    <row r="306" spans="1:7" x14ac:dyDescent="0.35">
      <c r="A306" s="109"/>
      <c r="B306" s="109"/>
      <c r="C306" s="109"/>
      <c r="E306" s="109"/>
      <c r="F306" s="109"/>
      <c r="G306" s="109"/>
    </row>
    <row r="307" spans="1:7" x14ac:dyDescent="0.35">
      <c r="A307" s="109"/>
      <c r="B307" s="109"/>
      <c r="C307" s="109"/>
      <c r="E307" s="109"/>
      <c r="F307" s="109"/>
      <c r="G307" s="109"/>
    </row>
    <row r="308" spans="1:7" x14ac:dyDescent="0.35">
      <c r="A308" s="109"/>
      <c r="B308" s="109"/>
      <c r="C308" s="109"/>
      <c r="E308" s="109"/>
      <c r="F308" s="109"/>
      <c r="G308" s="109"/>
    </row>
    <row r="309" spans="1:7" x14ac:dyDescent="0.35">
      <c r="A309" s="109"/>
      <c r="B309" s="109"/>
      <c r="C309" s="109"/>
      <c r="E309" s="109"/>
      <c r="F309" s="109"/>
      <c r="G309" s="109"/>
    </row>
    <row r="310" spans="1:7" x14ac:dyDescent="0.35">
      <c r="A310" s="109"/>
      <c r="B310" s="109"/>
      <c r="C310" s="109"/>
      <c r="E310" s="109"/>
      <c r="F310" s="109"/>
      <c r="G310" s="109"/>
    </row>
    <row r="311" spans="1:7" x14ac:dyDescent="0.35">
      <c r="A311" s="109"/>
      <c r="B311" s="109"/>
      <c r="C311" s="109"/>
      <c r="E311" s="109"/>
      <c r="F311" s="109"/>
      <c r="G311" s="109"/>
    </row>
    <row r="312" spans="1:7" x14ac:dyDescent="0.35">
      <c r="A312" s="109"/>
      <c r="B312" s="109"/>
      <c r="C312" s="109"/>
      <c r="E312" s="109"/>
      <c r="F312" s="109"/>
      <c r="G312" s="109"/>
    </row>
    <row r="313" spans="1:7" x14ac:dyDescent="0.35">
      <c r="A313" s="109"/>
      <c r="B313" s="109"/>
      <c r="C313" s="109"/>
      <c r="E313" s="109"/>
      <c r="F313" s="109"/>
      <c r="G313" s="109"/>
    </row>
    <row r="314" spans="1:7" x14ac:dyDescent="0.35">
      <c r="A314" s="109"/>
      <c r="B314" s="109"/>
      <c r="C314" s="109"/>
      <c r="E314" s="109"/>
      <c r="F314" s="109"/>
      <c r="G314" s="109"/>
    </row>
    <row r="315" spans="1:7" x14ac:dyDescent="0.35">
      <c r="A315" s="109"/>
      <c r="B315" s="109"/>
      <c r="C315" s="109"/>
      <c r="E315" s="109"/>
      <c r="F315" s="109"/>
      <c r="G315" s="109"/>
    </row>
    <row r="316" spans="1:7" x14ac:dyDescent="0.35">
      <c r="A316" s="109"/>
      <c r="B316" s="109"/>
      <c r="C316" s="109"/>
      <c r="E316" s="109"/>
      <c r="F316" s="109"/>
      <c r="G316" s="109"/>
    </row>
    <row r="317" spans="1:7" x14ac:dyDescent="0.35">
      <c r="A317" s="109"/>
      <c r="B317" s="109"/>
      <c r="C317" s="109"/>
      <c r="E317" s="109"/>
      <c r="F317" s="109"/>
      <c r="G317" s="109"/>
    </row>
    <row r="318" spans="1:7" x14ac:dyDescent="0.35">
      <c r="A318" s="109"/>
      <c r="B318" s="109"/>
      <c r="C318" s="109"/>
      <c r="E318" s="109"/>
      <c r="F318" s="109"/>
      <c r="G318" s="109"/>
    </row>
    <row r="319" spans="1:7" x14ac:dyDescent="0.35">
      <c r="A319" s="109"/>
      <c r="B319" s="109"/>
      <c r="C319" s="109"/>
      <c r="E319" s="109"/>
      <c r="F319" s="109"/>
      <c r="G319" s="109"/>
    </row>
    <row r="320" spans="1:7" x14ac:dyDescent="0.35">
      <c r="A320" s="109"/>
      <c r="B320" s="109"/>
      <c r="C320" s="109"/>
      <c r="E320" s="109"/>
      <c r="F320" s="109"/>
      <c r="G320" s="109"/>
    </row>
    <row r="321" spans="1:7" x14ac:dyDescent="0.35">
      <c r="A321" s="109"/>
      <c r="B321" s="109"/>
      <c r="C321" s="109"/>
      <c r="E321" s="109"/>
      <c r="F321" s="109"/>
      <c r="G321" s="109"/>
    </row>
    <row r="322" spans="1:7" x14ac:dyDescent="0.35">
      <c r="A322" s="109"/>
      <c r="B322" s="109"/>
      <c r="C322" s="109"/>
      <c r="E322" s="109"/>
      <c r="F322" s="109"/>
      <c r="G322" s="109"/>
    </row>
    <row r="323" spans="1:7" x14ac:dyDescent="0.35">
      <c r="A323" s="109"/>
      <c r="B323" s="109"/>
      <c r="C323" s="109"/>
      <c r="E323" s="109"/>
      <c r="F323" s="109"/>
      <c r="G323" s="109"/>
    </row>
    <row r="324" spans="1:7" x14ac:dyDescent="0.35">
      <c r="A324" s="109"/>
      <c r="B324" s="109"/>
      <c r="C324" s="109"/>
      <c r="E324" s="109"/>
      <c r="F324" s="109"/>
      <c r="G324" s="109"/>
    </row>
    <row r="325" spans="1:7" x14ac:dyDescent="0.35">
      <c r="A325" s="109"/>
      <c r="B325" s="109"/>
      <c r="C325" s="109"/>
      <c r="E325" s="109"/>
      <c r="F325" s="109"/>
      <c r="G325" s="109"/>
    </row>
    <row r="326" spans="1:7" x14ac:dyDescent="0.35">
      <c r="A326" s="109"/>
      <c r="B326" s="109"/>
      <c r="C326" s="109"/>
      <c r="E326" s="109"/>
      <c r="F326" s="109"/>
      <c r="G326" s="109"/>
    </row>
    <row r="327" spans="1:7" x14ac:dyDescent="0.35">
      <c r="A327" s="109"/>
      <c r="B327" s="109"/>
      <c r="C327" s="109"/>
      <c r="E327" s="109"/>
      <c r="F327" s="109"/>
      <c r="G327" s="109"/>
    </row>
    <row r="328" spans="1:7" x14ac:dyDescent="0.35">
      <c r="A328" s="109"/>
      <c r="B328" s="109"/>
      <c r="C328" s="109"/>
      <c r="E328" s="109"/>
      <c r="F328" s="109"/>
      <c r="G328" s="109"/>
    </row>
    <row r="329" spans="1:7" x14ac:dyDescent="0.35">
      <c r="A329" s="109"/>
      <c r="B329" s="109"/>
      <c r="C329" s="109"/>
      <c r="E329" s="109"/>
      <c r="F329" s="109"/>
      <c r="G329" s="109"/>
    </row>
    <row r="330" spans="1:7" x14ac:dyDescent="0.35">
      <c r="A330" s="109"/>
      <c r="B330" s="109"/>
      <c r="C330" s="109"/>
      <c r="E330" s="109"/>
      <c r="F330" s="109"/>
      <c r="G330" s="109"/>
    </row>
    <row r="331" spans="1:7" x14ac:dyDescent="0.35">
      <c r="A331" s="109"/>
      <c r="B331" s="109"/>
      <c r="C331" s="109"/>
      <c r="E331" s="109"/>
      <c r="F331" s="109"/>
      <c r="G331" s="109"/>
    </row>
    <row r="332" spans="1:7" x14ac:dyDescent="0.35">
      <c r="A332" s="109"/>
      <c r="B332" s="109"/>
      <c r="C332" s="109"/>
      <c r="E332" s="109"/>
      <c r="F332" s="109"/>
      <c r="G332" s="109"/>
    </row>
    <row r="333" spans="1:7" x14ac:dyDescent="0.35">
      <c r="A333" s="109"/>
      <c r="B333" s="109"/>
      <c r="C333" s="109"/>
      <c r="E333" s="109"/>
      <c r="F333" s="109"/>
      <c r="G333" s="109"/>
    </row>
    <row r="334" spans="1:7" x14ac:dyDescent="0.35">
      <c r="A334" s="109"/>
      <c r="B334" s="109"/>
      <c r="C334" s="109"/>
      <c r="E334" s="109"/>
      <c r="F334" s="109"/>
      <c r="G334" s="109"/>
    </row>
    <row r="335" spans="1:7" x14ac:dyDescent="0.35">
      <c r="A335" s="109"/>
      <c r="B335" s="109"/>
      <c r="C335" s="109"/>
      <c r="E335" s="109"/>
      <c r="F335" s="109"/>
      <c r="G335" s="109"/>
    </row>
    <row r="336" spans="1:7" x14ac:dyDescent="0.35">
      <c r="A336" s="109"/>
      <c r="B336" s="109"/>
      <c r="C336" s="109"/>
      <c r="E336" s="109"/>
      <c r="F336" s="109"/>
      <c r="G336" s="109"/>
    </row>
    <row r="337" spans="1:7" x14ac:dyDescent="0.35">
      <c r="A337" s="109"/>
      <c r="B337" s="109"/>
      <c r="C337" s="109"/>
      <c r="E337" s="109"/>
      <c r="F337" s="109"/>
      <c r="G337" s="109"/>
    </row>
    <row r="338" spans="1:7" x14ac:dyDescent="0.35">
      <c r="A338" s="109"/>
      <c r="B338" s="109"/>
      <c r="C338" s="109"/>
      <c r="E338" s="109"/>
      <c r="F338" s="109"/>
      <c r="G338" s="109"/>
    </row>
    <row r="339" spans="1:7" x14ac:dyDescent="0.35">
      <c r="A339" s="109"/>
      <c r="B339" s="109"/>
      <c r="C339" s="109"/>
      <c r="E339" s="109"/>
      <c r="F339" s="109"/>
      <c r="G339" s="109"/>
    </row>
    <row r="340" spans="1:7" x14ac:dyDescent="0.35">
      <c r="A340" s="109"/>
      <c r="B340" s="109"/>
      <c r="C340" s="109"/>
      <c r="E340" s="109"/>
      <c r="F340" s="109"/>
      <c r="G340" s="109"/>
    </row>
    <row r="341" spans="1:7" x14ac:dyDescent="0.35">
      <c r="A341" s="109"/>
      <c r="B341" s="109"/>
      <c r="C341" s="109"/>
      <c r="E341" s="109"/>
      <c r="F341" s="109"/>
      <c r="G341" s="109"/>
    </row>
    <row r="342" spans="1:7" x14ac:dyDescent="0.35">
      <c r="A342" s="109"/>
      <c r="B342" s="109"/>
      <c r="C342" s="109"/>
      <c r="E342" s="109"/>
      <c r="F342" s="109"/>
      <c r="G342" s="109"/>
    </row>
    <row r="343" spans="1:7" x14ac:dyDescent="0.35">
      <c r="A343" s="109"/>
      <c r="B343" s="109"/>
      <c r="C343" s="109"/>
      <c r="E343" s="109"/>
      <c r="F343" s="109"/>
      <c r="G343" s="109"/>
    </row>
    <row r="344" spans="1:7" x14ac:dyDescent="0.35">
      <c r="A344" s="109"/>
      <c r="B344" s="109"/>
      <c r="C344" s="109"/>
      <c r="E344" s="109"/>
      <c r="F344" s="109"/>
      <c r="G344" s="109"/>
    </row>
    <row r="345" spans="1:7" x14ac:dyDescent="0.35">
      <c r="A345" s="109"/>
      <c r="B345" s="109"/>
      <c r="C345" s="109"/>
      <c r="E345" s="109"/>
      <c r="F345" s="109"/>
      <c r="G345" s="109"/>
    </row>
    <row r="346" spans="1:7" x14ac:dyDescent="0.35">
      <c r="A346" s="109"/>
      <c r="B346" s="109"/>
      <c r="C346" s="109"/>
      <c r="E346" s="109"/>
      <c r="F346" s="109"/>
      <c r="G346" s="109"/>
    </row>
    <row r="347" spans="1:7" x14ac:dyDescent="0.35">
      <c r="A347" s="109"/>
      <c r="B347" s="109"/>
      <c r="C347" s="109"/>
      <c r="E347" s="109"/>
      <c r="F347" s="109"/>
      <c r="G347" s="109"/>
    </row>
    <row r="348" spans="1:7" x14ac:dyDescent="0.35">
      <c r="A348" s="109"/>
      <c r="B348" s="109"/>
      <c r="C348" s="109"/>
      <c r="E348" s="109"/>
      <c r="F348" s="109"/>
      <c r="G348" s="109"/>
    </row>
    <row r="349" spans="1:7" x14ac:dyDescent="0.35">
      <c r="A349" s="109"/>
      <c r="B349" s="109"/>
      <c r="C349" s="109"/>
      <c r="E349" s="109"/>
      <c r="F349" s="109"/>
      <c r="G349" s="109"/>
    </row>
    <row r="350" spans="1:7" x14ac:dyDescent="0.35">
      <c r="A350" s="109"/>
      <c r="B350" s="109"/>
      <c r="C350" s="109"/>
      <c r="E350" s="109"/>
      <c r="F350" s="109"/>
      <c r="G350" s="109"/>
    </row>
    <row r="351" spans="1:7" x14ac:dyDescent="0.35">
      <c r="A351" s="109"/>
      <c r="B351" s="109"/>
      <c r="C351" s="109"/>
      <c r="E351" s="109"/>
      <c r="F351" s="109"/>
      <c r="G351" s="109"/>
    </row>
    <row r="352" spans="1:7" x14ac:dyDescent="0.35">
      <c r="A352" s="109"/>
      <c r="B352" s="109"/>
      <c r="C352" s="109"/>
      <c r="E352" s="109"/>
      <c r="F352" s="109"/>
      <c r="G352" s="109"/>
    </row>
    <row r="353" spans="1:7" x14ac:dyDescent="0.35">
      <c r="A353" s="109"/>
      <c r="B353" s="109"/>
      <c r="C353" s="109"/>
      <c r="E353" s="109"/>
      <c r="F353" s="109"/>
      <c r="G353" s="109"/>
    </row>
    <row r="354" spans="1:7" x14ac:dyDescent="0.35">
      <c r="A354" s="109"/>
      <c r="B354" s="109"/>
      <c r="C354" s="109"/>
      <c r="E354" s="109"/>
      <c r="F354" s="109"/>
      <c r="G354" s="109"/>
    </row>
    <row r="355" spans="1:7" x14ac:dyDescent="0.35">
      <c r="A355" s="109"/>
      <c r="B355" s="109"/>
      <c r="C355" s="109"/>
      <c r="E355" s="109"/>
      <c r="F355" s="109"/>
      <c r="G355" s="109"/>
    </row>
    <row r="356" spans="1:7" x14ac:dyDescent="0.35">
      <c r="A356" s="109"/>
      <c r="B356" s="109"/>
      <c r="C356" s="109"/>
      <c r="E356" s="109"/>
      <c r="F356" s="109"/>
      <c r="G356" s="109"/>
    </row>
    <row r="357" spans="1:7" x14ac:dyDescent="0.35">
      <c r="A357" s="109"/>
      <c r="B357" s="109"/>
      <c r="C357" s="109"/>
      <c r="E357" s="109"/>
      <c r="F357" s="109"/>
      <c r="G357" s="109"/>
    </row>
    <row r="358" spans="1:7" x14ac:dyDescent="0.35">
      <c r="A358" s="109"/>
      <c r="B358" s="109"/>
      <c r="C358" s="109"/>
      <c r="E358" s="109"/>
      <c r="F358" s="109"/>
      <c r="G358" s="109"/>
    </row>
    <row r="359" spans="1:7" x14ac:dyDescent="0.35">
      <c r="A359" s="109"/>
      <c r="B359" s="109"/>
      <c r="C359" s="109"/>
      <c r="E359" s="109"/>
      <c r="F359" s="109"/>
      <c r="G359" s="109"/>
    </row>
    <row r="360" spans="1:7" x14ac:dyDescent="0.35">
      <c r="A360" s="109"/>
      <c r="B360" s="109"/>
      <c r="C360" s="109"/>
      <c r="E360" s="109"/>
      <c r="F360" s="109"/>
      <c r="G360" s="109"/>
    </row>
    <row r="361" spans="1:7" x14ac:dyDescent="0.35">
      <c r="A361" s="109"/>
      <c r="B361" s="109"/>
      <c r="C361" s="109"/>
      <c r="E361" s="109"/>
      <c r="F361" s="109"/>
      <c r="G361" s="109"/>
    </row>
    <row r="362" spans="1:7" x14ac:dyDescent="0.35">
      <c r="A362" s="109"/>
      <c r="B362" s="109"/>
      <c r="C362" s="109"/>
      <c r="E362" s="109"/>
      <c r="F362" s="109"/>
      <c r="G362" s="109"/>
    </row>
    <row r="363" spans="1:7" x14ac:dyDescent="0.35">
      <c r="A363" s="109"/>
      <c r="B363" s="109"/>
      <c r="C363" s="109"/>
      <c r="E363" s="109"/>
      <c r="F363" s="109"/>
      <c r="G363" s="109"/>
    </row>
    <row r="364" spans="1:7" x14ac:dyDescent="0.35">
      <c r="A364" s="109"/>
      <c r="B364" s="109"/>
      <c r="C364" s="109"/>
      <c r="E364" s="109"/>
      <c r="F364" s="109"/>
      <c r="G364" s="109"/>
    </row>
    <row r="365" spans="1:7" x14ac:dyDescent="0.35">
      <c r="A365" s="109"/>
      <c r="B365" s="109"/>
      <c r="C365" s="109"/>
      <c r="E365" s="109"/>
      <c r="F365" s="109"/>
      <c r="G365" s="109"/>
    </row>
    <row r="366" spans="1:7" x14ac:dyDescent="0.35">
      <c r="A366" s="109"/>
      <c r="B366" s="109"/>
      <c r="C366" s="109"/>
      <c r="E366" s="109"/>
      <c r="F366" s="109"/>
      <c r="G366" s="109"/>
    </row>
    <row r="367" spans="1:7" x14ac:dyDescent="0.35">
      <c r="A367" s="109"/>
      <c r="B367" s="109"/>
      <c r="C367" s="109"/>
      <c r="E367" s="109"/>
      <c r="F367" s="109"/>
      <c r="G367" s="109"/>
    </row>
    <row r="368" spans="1:7" x14ac:dyDescent="0.35">
      <c r="A368" s="109"/>
      <c r="B368" s="109"/>
      <c r="C368" s="109"/>
      <c r="E368" s="109"/>
      <c r="F368" s="109"/>
      <c r="G368" s="109"/>
    </row>
    <row r="369" spans="1:7" x14ac:dyDescent="0.35">
      <c r="A369" s="109"/>
      <c r="B369" s="109"/>
      <c r="C369" s="109"/>
      <c r="E369" s="109"/>
      <c r="F369" s="109"/>
      <c r="G369" s="109"/>
    </row>
    <row r="370" spans="1:7" x14ac:dyDescent="0.35">
      <c r="A370" s="109"/>
      <c r="B370" s="109"/>
      <c r="C370" s="109"/>
      <c r="E370" s="109"/>
      <c r="F370" s="109"/>
      <c r="G370" s="109"/>
    </row>
    <row r="371" spans="1:7" x14ac:dyDescent="0.35">
      <c r="A371" s="109"/>
      <c r="B371" s="109"/>
      <c r="C371" s="109"/>
      <c r="E371" s="109"/>
      <c r="F371" s="109"/>
      <c r="G371" s="109"/>
    </row>
    <row r="372" spans="1:7" x14ac:dyDescent="0.35">
      <c r="A372" s="109"/>
      <c r="B372" s="109"/>
      <c r="C372" s="109"/>
      <c r="E372" s="109"/>
      <c r="F372" s="109"/>
      <c r="G372" s="109"/>
    </row>
    <row r="373" spans="1:7" x14ac:dyDescent="0.35">
      <c r="A373" s="109"/>
      <c r="B373" s="109"/>
      <c r="C373" s="109"/>
      <c r="E373" s="109"/>
      <c r="F373" s="109"/>
      <c r="G373" s="109"/>
    </row>
    <row r="374" spans="1:7" x14ac:dyDescent="0.35">
      <c r="A374" s="109"/>
      <c r="B374" s="109"/>
      <c r="C374" s="109"/>
      <c r="E374" s="109"/>
      <c r="F374" s="109"/>
      <c r="G374" s="109"/>
    </row>
    <row r="375" spans="1:7" x14ac:dyDescent="0.35">
      <c r="A375" s="109"/>
      <c r="B375" s="109"/>
      <c r="C375" s="109"/>
      <c r="E375" s="109"/>
      <c r="F375" s="109"/>
      <c r="G375" s="109"/>
    </row>
    <row r="376" spans="1:7" x14ac:dyDescent="0.35">
      <c r="A376" s="109"/>
      <c r="B376" s="109"/>
      <c r="C376" s="109"/>
      <c r="E376" s="109"/>
      <c r="F376" s="109"/>
      <c r="G376" s="109"/>
    </row>
    <row r="377" spans="1:7" x14ac:dyDescent="0.35">
      <c r="A377" s="109"/>
      <c r="B377" s="109"/>
      <c r="C377" s="109"/>
      <c r="E377" s="109"/>
      <c r="F377" s="109"/>
      <c r="G377" s="109"/>
    </row>
    <row r="378" spans="1:7" x14ac:dyDescent="0.35">
      <c r="A378" s="109"/>
      <c r="B378" s="109"/>
      <c r="C378" s="109"/>
      <c r="E378" s="109"/>
      <c r="F378" s="109"/>
      <c r="G378" s="109"/>
    </row>
    <row r="379" spans="1:7" x14ac:dyDescent="0.35">
      <c r="A379" s="109"/>
      <c r="B379" s="109"/>
      <c r="C379" s="109"/>
      <c r="E379" s="109"/>
      <c r="F379" s="109"/>
      <c r="G379" s="109"/>
    </row>
    <row r="380" spans="1:7" x14ac:dyDescent="0.35">
      <c r="A380" s="109"/>
      <c r="B380" s="109"/>
      <c r="C380" s="109"/>
      <c r="E380" s="109"/>
      <c r="F380" s="109"/>
      <c r="G380" s="109"/>
    </row>
    <row r="381" spans="1:7" x14ac:dyDescent="0.35">
      <c r="A381" s="109"/>
      <c r="B381" s="109"/>
      <c r="C381" s="109"/>
      <c r="E381" s="109"/>
      <c r="F381" s="109"/>
      <c r="G381" s="109"/>
    </row>
    <row r="382" spans="1:7" x14ac:dyDescent="0.35">
      <c r="A382" s="109"/>
      <c r="B382" s="109"/>
      <c r="C382" s="109"/>
      <c r="E382" s="109"/>
      <c r="F382" s="109"/>
      <c r="G382" s="109"/>
    </row>
    <row r="383" spans="1:7" x14ac:dyDescent="0.35">
      <c r="A383" s="109"/>
      <c r="B383" s="109"/>
      <c r="C383" s="109"/>
      <c r="E383" s="109"/>
      <c r="F383" s="109"/>
      <c r="G383" s="109"/>
    </row>
    <row r="384" spans="1:7" x14ac:dyDescent="0.35">
      <c r="A384" s="109"/>
      <c r="B384" s="109"/>
      <c r="C384" s="109"/>
      <c r="E384" s="109"/>
      <c r="F384" s="109"/>
      <c r="G384" s="109"/>
    </row>
    <row r="385" spans="1:7" x14ac:dyDescent="0.35">
      <c r="A385" s="109"/>
      <c r="B385" s="109"/>
      <c r="C385" s="109"/>
      <c r="E385" s="109"/>
      <c r="F385" s="109"/>
      <c r="G385" s="109"/>
    </row>
    <row r="386" spans="1:7" x14ac:dyDescent="0.35">
      <c r="A386" s="109"/>
      <c r="B386" s="109"/>
      <c r="C386" s="109"/>
      <c r="E386" s="109"/>
      <c r="F386" s="109"/>
      <c r="G386" s="109"/>
    </row>
    <row r="387" spans="1:7" x14ac:dyDescent="0.35">
      <c r="A387" s="109"/>
      <c r="B387" s="109"/>
      <c r="C387" s="109"/>
      <c r="E387" s="109"/>
      <c r="F387" s="109"/>
      <c r="G387" s="109"/>
    </row>
    <row r="388" spans="1:7" x14ac:dyDescent="0.35">
      <c r="A388" s="109"/>
      <c r="B388" s="109"/>
      <c r="C388" s="109"/>
      <c r="E388" s="109"/>
      <c r="F388" s="109"/>
      <c r="G388" s="109"/>
    </row>
    <row r="389" spans="1:7" x14ac:dyDescent="0.35">
      <c r="A389" s="109"/>
      <c r="B389" s="109"/>
      <c r="C389" s="109"/>
      <c r="E389" s="109"/>
      <c r="F389" s="109"/>
      <c r="G389" s="109"/>
    </row>
    <row r="390" spans="1:7" x14ac:dyDescent="0.35">
      <c r="A390" s="109"/>
      <c r="B390" s="109"/>
      <c r="C390" s="109"/>
      <c r="E390" s="109"/>
      <c r="F390" s="109"/>
      <c r="G390" s="109"/>
    </row>
    <row r="391" spans="1:7" x14ac:dyDescent="0.35">
      <c r="A391" s="109"/>
      <c r="B391" s="109"/>
      <c r="C391" s="109"/>
      <c r="E391" s="109"/>
      <c r="F391" s="109"/>
      <c r="G391" s="109"/>
    </row>
    <row r="392" spans="1:7" x14ac:dyDescent="0.35">
      <c r="A392" s="109"/>
      <c r="B392" s="109"/>
      <c r="C392" s="109"/>
      <c r="E392" s="109"/>
      <c r="F392" s="109"/>
      <c r="G392" s="109"/>
    </row>
    <row r="393" spans="1:7" x14ac:dyDescent="0.35">
      <c r="A393" s="109"/>
      <c r="B393" s="109"/>
      <c r="C393" s="109"/>
      <c r="E393" s="109"/>
      <c r="F393" s="109"/>
      <c r="G393" s="109"/>
    </row>
    <row r="394" spans="1:7" x14ac:dyDescent="0.35">
      <c r="A394" s="109"/>
      <c r="B394" s="109"/>
      <c r="C394" s="109"/>
      <c r="E394" s="109"/>
      <c r="F394" s="109"/>
      <c r="G394" s="109"/>
    </row>
    <row r="395" spans="1:7" x14ac:dyDescent="0.35">
      <c r="A395" s="109"/>
      <c r="B395" s="109"/>
      <c r="C395" s="109"/>
      <c r="E395" s="109"/>
      <c r="F395" s="109"/>
      <c r="G395" s="109"/>
    </row>
    <row r="396" spans="1:7" x14ac:dyDescent="0.35">
      <c r="A396" s="109"/>
      <c r="B396" s="109"/>
      <c r="C396" s="109"/>
      <c r="E396" s="109"/>
      <c r="F396" s="109"/>
      <c r="G396" s="109"/>
    </row>
    <row r="397" spans="1:7" x14ac:dyDescent="0.35">
      <c r="A397" s="109"/>
      <c r="B397" s="109"/>
      <c r="C397" s="109"/>
      <c r="E397" s="109"/>
      <c r="F397" s="109"/>
      <c r="G397" s="109"/>
    </row>
    <row r="398" spans="1:7" x14ac:dyDescent="0.35">
      <c r="A398" s="109"/>
      <c r="B398" s="109"/>
      <c r="C398" s="109"/>
      <c r="E398" s="109"/>
      <c r="F398" s="109"/>
      <c r="G398" s="109"/>
    </row>
    <row r="399" spans="1:7" x14ac:dyDescent="0.35">
      <c r="A399" s="109"/>
      <c r="B399" s="109"/>
      <c r="C399" s="109"/>
      <c r="E399" s="109"/>
      <c r="F399" s="109"/>
      <c r="G399" s="109"/>
    </row>
    <row r="400" spans="1:7" x14ac:dyDescent="0.35">
      <c r="A400" s="109"/>
      <c r="B400" s="109"/>
      <c r="C400" s="109"/>
      <c r="E400" s="109"/>
      <c r="F400" s="109"/>
      <c r="G400" s="109"/>
    </row>
    <row r="401" spans="1:7" x14ac:dyDescent="0.35">
      <c r="A401" s="109"/>
      <c r="B401" s="109"/>
      <c r="C401" s="109"/>
      <c r="E401" s="109"/>
      <c r="F401" s="109"/>
      <c r="G401" s="109"/>
    </row>
    <row r="402" spans="1:7" x14ac:dyDescent="0.35">
      <c r="A402" s="109"/>
      <c r="B402" s="109"/>
      <c r="C402" s="109"/>
      <c r="E402" s="109"/>
      <c r="F402" s="109"/>
      <c r="G402" s="109"/>
    </row>
    <row r="403" spans="1:7" x14ac:dyDescent="0.35">
      <c r="A403" s="109"/>
      <c r="B403" s="109"/>
      <c r="C403" s="109"/>
      <c r="E403" s="109"/>
      <c r="F403" s="109"/>
      <c r="G403" s="109"/>
    </row>
    <row r="404" spans="1:7" x14ac:dyDescent="0.35">
      <c r="A404" s="109"/>
      <c r="B404" s="109"/>
      <c r="C404" s="109"/>
      <c r="E404" s="109"/>
      <c r="F404" s="109"/>
      <c r="G404" s="109"/>
    </row>
    <row r="405" spans="1:7" x14ac:dyDescent="0.35">
      <c r="A405" s="109"/>
      <c r="B405" s="109"/>
      <c r="C405" s="109"/>
      <c r="E405" s="109"/>
      <c r="F405" s="109"/>
      <c r="G405" s="109"/>
    </row>
    <row r="406" spans="1:7" x14ac:dyDescent="0.35">
      <c r="A406" s="109"/>
      <c r="B406" s="109"/>
      <c r="C406" s="109"/>
      <c r="E406" s="109"/>
      <c r="F406" s="109"/>
      <c r="G406" s="109"/>
    </row>
    <row r="407" spans="1:7" x14ac:dyDescent="0.35">
      <c r="A407" s="109"/>
      <c r="B407" s="109"/>
      <c r="C407" s="109"/>
      <c r="E407" s="109"/>
      <c r="F407" s="109"/>
      <c r="G407" s="109"/>
    </row>
    <row r="408" spans="1:7" x14ac:dyDescent="0.35">
      <c r="A408" s="109"/>
      <c r="B408" s="109"/>
      <c r="C408" s="109"/>
      <c r="E408" s="109"/>
      <c r="F408" s="109"/>
      <c r="G408" s="109"/>
    </row>
    <row r="409" spans="1:7" x14ac:dyDescent="0.35">
      <c r="A409" s="109"/>
      <c r="B409" s="109"/>
      <c r="C409" s="109"/>
      <c r="E409" s="109"/>
      <c r="F409" s="109"/>
      <c r="G409" s="109"/>
    </row>
    <row r="410" spans="1:7" x14ac:dyDescent="0.35">
      <c r="A410" s="109"/>
      <c r="B410" s="109"/>
      <c r="C410" s="109"/>
      <c r="E410" s="109"/>
      <c r="F410" s="109"/>
      <c r="G410" s="109"/>
    </row>
    <row r="411" spans="1:7" x14ac:dyDescent="0.35">
      <c r="A411" s="109"/>
      <c r="B411" s="109"/>
      <c r="C411" s="109"/>
      <c r="E411" s="109"/>
      <c r="F411" s="109"/>
      <c r="G411" s="109"/>
    </row>
    <row r="412" spans="1:7" x14ac:dyDescent="0.35">
      <c r="A412" s="109"/>
      <c r="B412" s="109"/>
      <c r="C412" s="109"/>
      <c r="E412" s="109"/>
      <c r="F412" s="109"/>
      <c r="G412" s="109"/>
    </row>
    <row r="413" spans="1:7" x14ac:dyDescent="0.35">
      <c r="A413" s="109"/>
      <c r="B413" s="109"/>
      <c r="C413" s="109"/>
      <c r="E413" s="109"/>
      <c r="F413" s="109"/>
      <c r="G413" s="109"/>
    </row>
    <row r="414" spans="1:7" x14ac:dyDescent="0.35">
      <c r="A414" s="109"/>
      <c r="B414" s="109"/>
      <c r="C414" s="109"/>
      <c r="E414" s="109"/>
      <c r="F414" s="109"/>
      <c r="G414" s="109"/>
    </row>
    <row r="415" spans="1:7" x14ac:dyDescent="0.35">
      <c r="A415" s="109"/>
      <c r="B415" s="109"/>
      <c r="C415" s="109"/>
      <c r="E415" s="109"/>
      <c r="F415" s="109"/>
      <c r="G415" s="109"/>
    </row>
    <row r="416" spans="1:7" x14ac:dyDescent="0.35">
      <c r="A416" s="109"/>
      <c r="B416" s="109"/>
      <c r="C416" s="109"/>
      <c r="E416" s="109"/>
      <c r="F416" s="109"/>
      <c r="G416" s="109"/>
    </row>
    <row r="417" spans="1:7" x14ac:dyDescent="0.35">
      <c r="A417" s="109"/>
      <c r="B417" s="109"/>
      <c r="C417" s="109"/>
      <c r="E417" s="109"/>
      <c r="F417" s="109"/>
      <c r="G417" s="109"/>
    </row>
    <row r="418" spans="1:7" x14ac:dyDescent="0.35">
      <c r="A418" s="109"/>
      <c r="B418" s="109"/>
      <c r="C418" s="109"/>
      <c r="E418" s="109"/>
      <c r="F418" s="109"/>
      <c r="G418" s="109"/>
    </row>
    <row r="419" spans="1:7" x14ac:dyDescent="0.35">
      <c r="A419" s="109"/>
      <c r="B419" s="109"/>
      <c r="C419" s="109"/>
      <c r="E419" s="109"/>
      <c r="F419" s="109"/>
      <c r="G419" s="109"/>
    </row>
    <row r="420" spans="1:7" x14ac:dyDescent="0.35">
      <c r="A420" s="109"/>
      <c r="B420" s="109"/>
      <c r="C420" s="109"/>
      <c r="E420" s="109"/>
      <c r="F420" s="109"/>
      <c r="G420" s="109"/>
    </row>
    <row r="421" spans="1:7" x14ac:dyDescent="0.35">
      <c r="A421" s="109"/>
      <c r="B421" s="109"/>
      <c r="C421" s="109"/>
      <c r="E421" s="109"/>
      <c r="F421" s="109"/>
      <c r="G421" s="109"/>
    </row>
    <row r="422" spans="1:7" x14ac:dyDescent="0.35">
      <c r="A422" s="109"/>
      <c r="B422" s="109"/>
      <c r="C422" s="109"/>
      <c r="E422" s="109"/>
      <c r="F422" s="109"/>
      <c r="G422" s="109"/>
    </row>
    <row r="423" spans="1:7" x14ac:dyDescent="0.35">
      <c r="A423" s="109"/>
      <c r="B423" s="109"/>
      <c r="C423" s="109"/>
      <c r="E423" s="109"/>
      <c r="F423" s="109"/>
      <c r="G423" s="109"/>
    </row>
    <row r="424" spans="1:7" x14ac:dyDescent="0.35">
      <c r="A424" s="109"/>
      <c r="B424" s="109"/>
      <c r="C424" s="109"/>
      <c r="E424" s="109"/>
      <c r="F424" s="109"/>
      <c r="G424" s="109"/>
    </row>
    <row r="425" spans="1:7" x14ac:dyDescent="0.35">
      <c r="A425" s="109"/>
      <c r="B425" s="109"/>
      <c r="C425" s="109"/>
      <c r="E425" s="109"/>
      <c r="F425" s="109"/>
      <c r="G425" s="109"/>
    </row>
    <row r="426" spans="1:7" x14ac:dyDescent="0.35">
      <c r="A426" s="109"/>
      <c r="B426" s="109"/>
      <c r="C426" s="109"/>
      <c r="E426" s="109"/>
      <c r="F426" s="109"/>
      <c r="G426" s="109"/>
    </row>
    <row r="427" spans="1:7" x14ac:dyDescent="0.35">
      <c r="A427" s="109"/>
      <c r="B427" s="109"/>
      <c r="C427" s="109"/>
      <c r="E427" s="109"/>
      <c r="F427" s="109"/>
      <c r="G427" s="109"/>
    </row>
    <row r="428" spans="1:7" x14ac:dyDescent="0.35">
      <c r="A428" s="109"/>
      <c r="B428" s="109"/>
      <c r="C428" s="109"/>
      <c r="E428" s="109"/>
      <c r="F428" s="109"/>
      <c r="G428" s="109"/>
    </row>
    <row r="429" spans="1:7" x14ac:dyDescent="0.35">
      <c r="A429" s="109"/>
      <c r="B429" s="109"/>
      <c r="C429" s="109"/>
      <c r="E429" s="109"/>
      <c r="F429" s="109"/>
      <c r="G429" s="109"/>
    </row>
    <row r="430" spans="1:7" x14ac:dyDescent="0.35">
      <c r="A430" s="109"/>
      <c r="B430" s="109"/>
      <c r="C430" s="109"/>
      <c r="E430" s="109"/>
      <c r="F430" s="109"/>
      <c r="G430" s="109"/>
    </row>
    <row r="431" spans="1:7" x14ac:dyDescent="0.35">
      <c r="A431" s="109"/>
      <c r="B431" s="109"/>
      <c r="C431" s="109"/>
      <c r="E431" s="109"/>
      <c r="F431" s="109"/>
      <c r="G431" s="109"/>
    </row>
    <row r="432" spans="1:7" x14ac:dyDescent="0.35">
      <c r="A432" s="109"/>
      <c r="B432" s="109"/>
      <c r="C432" s="109"/>
      <c r="E432" s="109"/>
      <c r="F432" s="109"/>
      <c r="G432" s="109"/>
    </row>
    <row r="433" spans="1:7" x14ac:dyDescent="0.35">
      <c r="A433" s="109"/>
      <c r="B433" s="109"/>
      <c r="C433" s="109"/>
      <c r="E433" s="109"/>
      <c r="F433" s="109"/>
      <c r="G433" s="109"/>
    </row>
    <row r="434" spans="1:7" x14ac:dyDescent="0.35">
      <c r="A434" s="109"/>
      <c r="B434" s="109"/>
      <c r="C434" s="109"/>
      <c r="E434" s="109"/>
      <c r="F434" s="109"/>
      <c r="G434" s="109"/>
    </row>
    <row r="435" spans="1:7" x14ac:dyDescent="0.35">
      <c r="A435" s="109"/>
      <c r="B435" s="109"/>
      <c r="C435" s="109"/>
      <c r="E435" s="109"/>
      <c r="F435" s="109"/>
      <c r="G435" s="109"/>
    </row>
    <row r="436" spans="1:7" x14ac:dyDescent="0.35">
      <c r="A436" s="109"/>
      <c r="B436" s="109"/>
      <c r="C436" s="109"/>
      <c r="E436" s="109"/>
      <c r="F436" s="109"/>
      <c r="G436" s="109"/>
    </row>
    <row r="437" spans="1:7" x14ac:dyDescent="0.35">
      <c r="A437" s="109"/>
      <c r="B437" s="109"/>
      <c r="C437" s="109"/>
      <c r="E437" s="109"/>
      <c r="F437" s="109"/>
      <c r="G437" s="109"/>
    </row>
    <row r="438" spans="1:7" x14ac:dyDescent="0.35">
      <c r="A438" s="109"/>
      <c r="B438" s="109"/>
      <c r="C438" s="109"/>
      <c r="E438" s="109"/>
      <c r="F438" s="109"/>
      <c r="G438" s="109"/>
    </row>
    <row r="439" spans="1:7" x14ac:dyDescent="0.35">
      <c r="A439" s="109"/>
      <c r="B439" s="109"/>
      <c r="C439" s="109"/>
      <c r="E439" s="109"/>
      <c r="F439" s="109"/>
      <c r="G439" s="109"/>
    </row>
    <row r="440" spans="1:7" x14ac:dyDescent="0.35">
      <c r="A440" s="109"/>
      <c r="B440" s="109"/>
      <c r="C440" s="109"/>
      <c r="E440" s="109"/>
      <c r="F440" s="109"/>
      <c r="G440" s="109"/>
    </row>
    <row r="441" spans="1:7" x14ac:dyDescent="0.35">
      <c r="A441" s="109"/>
      <c r="B441" s="109"/>
      <c r="C441" s="109"/>
      <c r="E441" s="109"/>
      <c r="F441" s="109"/>
      <c r="G441" s="109"/>
    </row>
    <row r="442" spans="1:7" x14ac:dyDescent="0.35">
      <c r="A442" s="109"/>
      <c r="B442" s="109"/>
      <c r="C442" s="109"/>
      <c r="E442" s="109"/>
      <c r="F442" s="109"/>
      <c r="G442" s="109"/>
    </row>
    <row r="443" spans="1:7" x14ac:dyDescent="0.35">
      <c r="A443" s="109"/>
      <c r="B443" s="109"/>
      <c r="C443" s="109"/>
      <c r="E443" s="109"/>
      <c r="F443" s="109"/>
      <c r="G443" s="109"/>
    </row>
    <row r="444" spans="1:7" x14ac:dyDescent="0.35">
      <c r="A444" s="109"/>
      <c r="B444" s="109"/>
      <c r="C444" s="109"/>
      <c r="E444" s="109"/>
      <c r="F444" s="109"/>
      <c r="G444" s="109"/>
    </row>
    <row r="445" spans="1:7" x14ac:dyDescent="0.35">
      <c r="A445" s="109"/>
      <c r="B445" s="109"/>
      <c r="C445" s="109"/>
      <c r="E445" s="109"/>
      <c r="F445" s="109"/>
      <c r="G445" s="109"/>
    </row>
    <row r="446" spans="1:7" x14ac:dyDescent="0.35">
      <c r="A446" s="109"/>
      <c r="B446" s="109"/>
      <c r="C446" s="109"/>
      <c r="E446" s="109"/>
      <c r="F446" s="109"/>
      <c r="G446" s="109"/>
    </row>
    <row r="447" spans="1:7" x14ac:dyDescent="0.35">
      <c r="A447" s="109"/>
      <c r="B447" s="109"/>
      <c r="C447" s="109"/>
      <c r="E447" s="109"/>
      <c r="F447" s="109"/>
      <c r="G447" s="109"/>
    </row>
    <row r="448" spans="1:7" x14ac:dyDescent="0.35">
      <c r="A448" s="109"/>
      <c r="B448" s="109"/>
      <c r="C448" s="109"/>
      <c r="E448" s="109"/>
      <c r="F448" s="109"/>
      <c r="G448" s="109"/>
    </row>
    <row r="449" spans="1:7" x14ac:dyDescent="0.35">
      <c r="A449" s="109"/>
      <c r="B449" s="109"/>
      <c r="C449" s="109"/>
      <c r="E449" s="109"/>
      <c r="F449" s="109"/>
      <c r="G449" s="109"/>
    </row>
    <row r="450" spans="1:7" x14ac:dyDescent="0.35">
      <c r="A450" s="109"/>
      <c r="B450" s="109"/>
      <c r="C450" s="109"/>
      <c r="E450" s="109"/>
      <c r="F450" s="109"/>
      <c r="G450" s="109"/>
    </row>
    <row r="451" spans="1:7" x14ac:dyDescent="0.35">
      <c r="A451" s="109"/>
      <c r="B451" s="109"/>
      <c r="C451" s="109"/>
      <c r="E451" s="109"/>
      <c r="F451" s="109"/>
      <c r="G451" s="109"/>
    </row>
    <row r="452" spans="1:7" x14ac:dyDescent="0.35">
      <c r="A452" s="109"/>
      <c r="B452" s="109"/>
      <c r="C452" s="109"/>
      <c r="E452" s="109"/>
      <c r="F452" s="109"/>
      <c r="G452" s="109"/>
    </row>
    <row r="453" spans="1:7" x14ac:dyDescent="0.35">
      <c r="A453" s="109"/>
      <c r="B453" s="109"/>
      <c r="C453" s="109"/>
      <c r="E453" s="109"/>
      <c r="F453" s="109"/>
      <c r="G453" s="109"/>
    </row>
    <row r="454" spans="1:7" x14ac:dyDescent="0.35">
      <c r="A454" s="109"/>
      <c r="B454" s="109"/>
      <c r="C454" s="109"/>
      <c r="E454" s="109"/>
      <c r="F454" s="109"/>
      <c r="G454" s="109"/>
    </row>
    <row r="455" spans="1:7" x14ac:dyDescent="0.35">
      <c r="A455" s="109"/>
      <c r="B455" s="109"/>
      <c r="C455" s="109"/>
      <c r="E455" s="109"/>
      <c r="F455" s="109"/>
      <c r="G455" s="109"/>
    </row>
    <row r="456" spans="1:7" x14ac:dyDescent="0.35">
      <c r="A456" s="109"/>
      <c r="B456" s="109"/>
      <c r="C456" s="109"/>
      <c r="E456" s="109"/>
      <c r="F456" s="109"/>
      <c r="G456" s="109"/>
    </row>
    <row r="457" spans="1:7" x14ac:dyDescent="0.35">
      <c r="A457" s="109"/>
      <c r="B457" s="109"/>
      <c r="C457" s="109"/>
      <c r="E457" s="109"/>
      <c r="F457" s="109"/>
      <c r="G457" s="109"/>
    </row>
    <row r="458" spans="1:7" x14ac:dyDescent="0.35">
      <c r="A458" s="109"/>
      <c r="B458" s="109"/>
      <c r="C458" s="109"/>
      <c r="E458" s="109"/>
      <c r="F458" s="109"/>
      <c r="G458" s="109"/>
    </row>
    <row r="459" spans="1:7" x14ac:dyDescent="0.35">
      <c r="A459" s="109"/>
      <c r="B459" s="109"/>
      <c r="C459" s="109"/>
      <c r="E459" s="109"/>
      <c r="F459" s="109"/>
      <c r="G459" s="109"/>
    </row>
    <row r="460" spans="1:7" x14ac:dyDescent="0.35">
      <c r="A460" s="109"/>
      <c r="B460" s="109"/>
      <c r="C460" s="109"/>
      <c r="E460" s="109"/>
      <c r="F460" s="109"/>
      <c r="G460" s="109"/>
    </row>
    <row r="461" spans="1:7" x14ac:dyDescent="0.35">
      <c r="A461" s="109"/>
      <c r="B461" s="109"/>
      <c r="C461" s="109"/>
      <c r="E461" s="109"/>
      <c r="F461" s="109"/>
      <c r="G461" s="109"/>
    </row>
    <row r="462" spans="1:7" x14ac:dyDescent="0.35">
      <c r="A462" s="109"/>
      <c r="B462" s="109"/>
      <c r="C462" s="109"/>
      <c r="E462" s="109"/>
      <c r="F462" s="109"/>
      <c r="G462" s="109"/>
    </row>
    <row r="463" spans="1:7" x14ac:dyDescent="0.35">
      <c r="A463" s="109"/>
      <c r="B463" s="109"/>
      <c r="C463" s="109"/>
      <c r="E463" s="109"/>
      <c r="F463" s="109"/>
      <c r="G463" s="109"/>
    </row>
    <row r="464" spans="1:7" x14ac:dyDescent="0.35">
      <c r="A464" s="109"/>
      <c r="B464" s="109"/>
      <c r="C464" s="109"/>
      <c r="E464" s="109"/>
      <c r="F464" s="109"/>
      <c r="G464" s="109"/>
    </row>
    <row r="465" spans="1:7" x14ac:dyDescent="0.35">
      <c r="A465" s="109"/>
      <c r="B465" s="109"/>
      <c r="C465" s="109"/>
      <c r="E465" s="109"/>
      <c r="F465" s="109"/>
      <c r="G465" s="109"/>
    </row>
    <row r="466" spans="1:7" x14ac:dyDescent="0.35">
      <c r="A466" s="109"/>
      <c r="B466" s="109"/>
      <c r="C466" s="109"/>
      <c r="E466" s="109"/>
      <c r="F466" s="109"/>
      <c r="G466" s="109"/>
    </row>
    <row r="467" spans="1:7" x14ac:dyDescent="0.35">
      <c r="A467" s="109"/>
      <c r="B467" s="109"/>
      <c r="C467" s="109"/>
      <c r="E467" s="109"/>
      <c r="F467" s="109"/>
      <c r="G467" s="109"/>
    </row>
    <row r="468" spans="1:7" x14ac:dyDescent="0.35">
      <c r="A468" s="109"/>
      <c r="B468" s="109"/>
      <c r="C468" s="109"/>
      <c r="E468" s="109"/>
      <c r="F468" s="109"/>
      <c r="G468" s="109"/>
    </row>
    <row r="469" spans="1:7" x14ac:dyDescent="0.35">
      <c r="A469" s="109"/>
      <c r="B469" s="109"/>
      <c r="C469" s="109"/>
      <c r="E469" s="109"/>
      <c r="F469" s="109"/>
      <c r="G469" s="109"/>
    </row>
    <row r="470" spans="1:7" x14ac:dyDescent="0.35">
      <c r="A470" s="109"/>
      <c r="B470" s="109"/>
      <c r="C470" s="109"/>
      <c r="E470" s="109"/>
      <c r="F470" s="109"/>
      <c r="G470" s="109"/>
    </row>
    <row r="471" spans="1:7" x14ac:dyDescent="0.35">
      <c r="A471" s="109"/>
      <c r="B471" s="109"/>
      <c r="C471" s="109"/>
      <c r="E471" s="109"/>
      <c r="F471" s="109"/>
      <c r="G471" s="109"/>
    </row>
    <row r="472" spans="1:7" x14ac:dyDescent="0.35">
      <c r="A472" s="109"/>
      <c r="B472" s="109"/>
      <c r="C472" s="109"/>
      <c r="E472" s="109"/>
      <c r="F472" s="109"/>
      <c r="G472" s="109"/>
    </row>
    <row r="473" spans="1:7" x14ac:dyDescent="0.35">
      <c r="A473" s="109"/>
      <c r="B473" s="109"/>
      <c r="C473" s="109"/>
      <c r="E473" s="109"/>
      <c r="F473" s="109"/>
      <c r="G473" s="109"/>
    </row>
    <row r="474" spans="1:7" x14ac:dyDescent="0.35">
      <c r="A474" s="109"/>
      <c r="B474" s="109"/>
      <c r="C474" s="109"/>
      <c r="E474" s="109"/>
      <c r="F474" s="109"/>
      <c r="G474" s="109"/>
    </row>
    <row r="475" spans="1:7" x14ac:dyDescent="0.35">
      <c r="A475" s="109"/>
      <c r="B475" s="109"/>
      <c r="C475" s="109"/>
      <c r="E475" s="109"/>
      <c r="F475" s="109"/>
      <c r="G475" s="109"/>
    </row>
    <row r="476" spans="1:7" x14ac:dyDescent="0.35">
      <c r="A476" s="109"/>
      <c r="B476" s="109"/>
      <c r="C476" s="109"/>
      <c r="E476" s="109"/>
      <c r="F476" s="109"/>
      <c r="G476" s="109"/>
    </row>
    <row r="477" spans="1:7" x14ac:dyDescent="0.35">
      <c r="A477" s="109"/>
      <c r="B477" s="109"/>
      <c r="C477" s="109"/>
      <c r="E477" s="109"/>
      <c r="F477" s="109"/>
      <c r="G477" s="109"/>
    </row>
    <row r="478" spans="1:7" x14ac:dyDescent="0.35">
      <c r="A478" s="109"/>
      <c r="B478" s="109"/>
      <c r="C478" s="109"/>
      <c r="E478" s="109"/>
      <c r="F478" s="109"/>
      <c r="G478" s="109"/>
    </row>
    <row r="479" spans="1:7" x14ac:dyDescent="0.35">
      <c r="A479" s="109"/>
      <c r="B479" s="109"/>
      <c r="C479" s="109"/>
      <c r="E479" s="109"/>
      <c r="F479" s="109"/>
      <c r="G479" s="109"/>
    </row>
    <row r="480" spans="1:7" x14ac:dyDescent="0.35">
      <c r="A480" s="109"/>
      <c r="B480" s="109"/>
      <c r="C480" s="109"/>
      <c r="E480" s="109"/>
      <c r="F480" s="109"/>
      <c r="G480" s="109"/>
    </row>
    <row r="481" spans="1:7" x14ac:dyDescent="0.35">
      <c r="A481" s="109"/>
      <c r="B481" s="109"/>
      <c r="C481" s="109"/>
      <c r="E481" s="109"/>
      <c r="F481" s="109"/>
      <c r="G481" s="109"/>
    </row>
    <row r="482" spans="1:7" x14ac:dyDescent="0.35">
      <c r="A482" s="109"/>
      <c r="B482" s="109"/>
      <c r="C482" s="109"/>
      <c r="E482" s="109"/>
      <c r="F482" s="109"/>
      <c r="G482" s="109"/>
    </row>
    <row r="483" spans="1:7" x14ac:dyDescent="0.35">
      <c r="A483" s="109"/>
      <c r="B483" s="109"/>
      <c r="C483" s="109"/>
      <c r="E483" s="109"/>
      <c r="F483" s="109"/>
      <c r="G483" s="109"/>
    </row>
    <row r="484" spans="1:7" x14ac:dyDescent="0.35">
      <c r="A484" s="109"/>
      <c r="B484" s="109"/>
      <c r="C484" s="109"/>
      <c r="E484" s="109"/>
      <c r="F484" s="109"/>
      <c r="G484" s="109"/>
    </row>
    <row r="485" spans="1:7" x14ac:dyDescent="0.35">
      <c r="A485" s="109"/>
      <c r="B485" s="109"/>
      <c r="C485" s="109"/>
      <c r="E485" s="109"/>
      <c r="F485" s="109"/>
      <c r="G485" s="109"/>
    </row>
    <row r="486" spans="1:7" x14ac:dyDescent="0.35">
      <c r="A486" s="109"/>
      <c r="B486" s="109"/>
      <c r="C486" s="109"/>
      <c r="E486" s="109"/>
      <c r="F486" s="109"/>
      <c r="G486" s="109"/>
    </row>
    <row r="487" spans="1:7" x14ac:dyDescent="0.35">
      <c r="A487" s="109"/>
      <c r="B487" s="109"/>
      <c r="C487" s="109"/>
      <c r="E487" s="109"/>
      <c r="F487" s="109"/>
      <c r="G487" s="109"/>
    </row>
    <row r="488" spans="1:7" x14ac:dyDescent="0.35">
      <c r="A488" s="109"/>
      <c r="B488" s="109"/>
      <c r="C488" s="109"/>
      <c r="E488" s="109"/>
      <c r="F488" s="109"/>
      <c r="G488" s="109"/>
    </row>
    <row r="489" spans="1:7" x14ac:dyDescent="0.35">
      <c r="A489" s="109"/>
      <c r="B489" s="109"/>
      <c r="C489" s="109"/>
      <c r="E489" s="109"/>
      <c r="F489" s="109"/>
      <c r="G489" s="109"/>
    </row>
    <row r="490" spans="1:7" x14ac:dyDescent="0.35">
      <c r="A490" s="109"/>
      <c r="B490" s="109"/>
      <c r="C490" s="109"/>
      <c r="E490" s="109"/>
      <c r="F490" s="109"/>
      <c r="G490" s="109"/>
    </row>
    <row r="491" spans="1:7" x14ac:dyDescent="0.35">
      <c r="A491" s="109"/>
      <c r="B491" s="109"/>
      <c r="C491" s="109"/>
      <c r="E491" s="109"/>
      <c r="F491" s="109"/>
      <c r="G491" s="109"/>
    </row>
    <row r="492" spans="1:7" x14ac:dyDescent="0.35">
      <c r="A492" s="109"/>
      <c r="B492" s="109"/>
      <c r="C492" s="109"/>
      <c r="E492" s="109"/>
      <c r="F492" s="109"/>
      <c r="G492" s="109"/>
    </row>
    <row r="493" spans="1:7" x14ac:dyDescent="0.35">
      <c r="A493" s="109"/>
      <c r="B493" s="109"/>
      <c r="C493" s="109"/>
      <c r="E493" s="109"/>
      <c r="F493" s="109"/>
      <c r="G493" s="109"/>
    </row>
    <row r="494" spans="1:7" x14ac:dyDescent="0.35">
      <c r="A494" s="109"/>
      <c r="B494" s="109"/>
      <c r="C494" s="109"/>
      <c r="E494" s="109"/>
      <c r="F494" s="109"/>
      <c r="G494" s="109"/>
    </row>
    <row r="495" spans="1:7" x14ac:dyDescent="0.35">
      <c r="A495" s="109"/>
      <c r="B495" s="109"/>
      <c r="C495" s="109"/>
      <c r="E495" s="109"/>
      <c r="F495" s="109"/>
      <c r="G495" s="109"/>
    </row>
    <row r="496" spans="1:7" x14ac:dyDescent="0.35">
      <c r="A496" s="109"/>
      <c r="B496" s="109"/>
      <c r="C496" s="109"/>
      <c r="E496" s="109"/>
      <c r="F496" s="109"/>
      <c r="G496" s="109"/>
    </row>
    <row r="497" spans="1:7" x14ac:dyDescent="0.35">
      <c r="A497" s="109"/>
      <c r="B497" s="109"/>
      <c r="C497" s="109"/>
      <c r="E497" s="109"/>
      <c r="F497" s="109"/>
      <c r="G497" s="109"/>
    </row>
    <row r="498" spans="1:7" x14ac:dyDescent="0.35">
      <c r="A498" s="109"/>
      <c r="B498" s="109"/>
      <c r="C498" s="109"/>
      <c r="E498" s="109"/>
      <c r="F498" s="109"/>
      <c r="G498" s="109"/>
    </row>
    <row r="499" spans="1:7" x14ac:dyDescent="0.35">
      <c r="A499" s="109"/>
      <c r="B499" s="109"/>
      <c r="C499" s="109"/>
      <c r="E499" s="109"/>
      <c r="F499" s="109"/>
      <c r="G499" s="109"/>
    </row>
    <row r="500" spans="1:7" x14ac:dyDescent="0.35">
      <c r="A500" s="109"/>
      <c r="B500" s="109"/>
      <c r="C500" s="109"/>
      <c r="E500" s="109"/>
      <c r="F500" s="109"/>
      <c r="G500" s="109"/>
    </row>
    <row r="501" spans="1:7" x14ac:dyDescent="0.35">
      <c r="A501" s="109"/>
      <c r="B501" s="109"/>
      <c r="C501" s="109"/>
      <c r="E501" s="109"/>
      <c r="F501" s="109"/>
      <c r="G501" s="109"/>
    </row>
    <row r="502" spans="1:7" x14ac:dyDescent="0.35">
      <c r="A502" s="109"/>
      <c r="B502" s="109"/>
      <c r="C502" s="109"/>
      <c r="E502" s="109"/>
      <c r="F502" s="109"/>
      <c r="G502" s="109"/>
    </row>
    <row r="503" spans="1:7" x14ac:dyDescent="0.35">
      <c r="A503" s="109"/>
      <c r="B503" s="109"/>
      <c r="C503" s="109"/>
      <c r="E503" s="109"/>
      <c r="F503" s="109"/>
      <c r="G503" s="109"/>
    </row>
    <row r="504" spans="1:7" x14ac:dyDescent="0.35">
      <c r="A504" s="109"/>
      <c r="B504" s="109"/>
      <c r="C504" s="109"/>
      <c r="E504" s="109"/>
      <c r="F504" s="109"/>
      <c r="G504" s="109"/>
    </row>
    <row r="505" spans="1:7" x14ac:dyDescent="0.35">
      <c r="A505" s="109"/>
      <c r="B505" s="109"/>
      <c r="C505" s="109"/>
      <c r="E505" s="109"/>
      <c r="F505" s="109"/>
      <c r="G505" s="109"/>
    </row>
    <row r="506" spans="1:7" x14ac:dyDescent="0.35">
      <c r="A506" s="109"/>
      <c r="B506" s="109"/>
      <c r="C506" s="109"/>
      <c r="E506" s="109"/>
      <c r="F506" s="109"/>
      <c r="G506" s="109"/>
    </row>
    <row r="507" spans="1:7" x14ac:dyDescent="0.35">
      <c r="A507" s="109"/>
      <c r="B507" s="109"/>
      <c r="C507" s="109"/>
      <c r="E507" s="109"/>
      <c r="F507" s="109"/>
      <c r="G507" s="109"/>
    </row>
    <row r="508" spans="1:7" x14ac:dyDescent="0.35">
      <c r="A508" s="109"/>
      <c r="B508" s="109"/>
      <c r="C508" s="109"/>
      <c r="E508" s="109"/>
      <c r="F508" s="109"/>
      <c r="G508" s="109"/>
    </row>
    <row r="509" spans="1:7" x14ac:dyDescent="0.35">
      <c r="A509" s="109"/>
      <c r="B509" s="109"/>
      <c r="C509" s="109"/>
      <c r="E509" s="109"/>
      <c r="F509" s="109"/>
      <c r="G509" s="109"/>
    </row>
    <row r="510" spans="1:7" x14ac:dyDescent="0.35">
      <c r="A510" s="109"/>
      <c r="B510" s="109"/>
      <c r="C510" s="109"/>
      <c r="E510" s="109"/>
      <c r="F510" s="109"/>
      <c r="G510" s="109"/>
    </row>
    <row r="511" spans="1:7" x14ac:dyDescent="0.35">
      <c r="A511" s="109"/>
      <c r="B511" s="109"/>
      <c r="C511" s="109"/>
      <c r="E511" s="109"/>
      <c r="F511" s="109"/>
      <c r="G511" s="109"/>
    </row>
    <row r="512" spans="1:7" x14ac:dyDescent="0.35">
      <c r="A512" s="109"/>
      <c r="B512" s="109"/>
      <c r="C512" s="109"/>
      <c r="E512" s="109"/>
      <c r="F512" s="109"/>
      <c r="G512" s="109"/>
    </row>
    <row r="513" spans="1:7" x14ac:dyDescent="0.35">
      <c r="A513" s="109"/>
      <c r="B513" s="109"/>
      <c r="C513" s="109"/>
      <c r="E513" s="109"/>
      <c r="F513" s="109"/>
      <c r="G513" s="109"/>
    </row>
    <row r="514" spans="1:7" x14ac:dyDescent="0.35">
      <c r="A514" s="109"/>
      <c r="B514" s="109"/>
      <c r="C514" s="109"/>
      <c r="E514" s="109"/>
      <c r="F514" s="109"/>
      <c r="G514" s="109"/>
    </row>
    <row r="515" spans="1:7" x14ac:dyDescent="0.35">
      <c r="A515" s="109"/>
      <c r="B515" s="109"/>
      <c r="C515" s="109"/>
      <c r="E515" s="109"/>
      <c r="F515" s="109"/>
      <c r="G515" s="109"/>
    </row>
    <row r="516" spans="1:7" x14ac:dyDescent="0.35">
      <c r="A516" s="109"/>
      <c r="B516" s="109"/>
      <c r="C516" s="109"/>
      <c r="E516" s="109"/>
      <c r="F516" s="109"/>
      <c r="G516" s="109"/>
    </row>
    <row r="517" spans="1:7" x14ac:dyDescent="0.35">
      <c r="A517" s="109"/>
      <c r="B517" s="109"/>
      <c r="C517" s="109"/>
      <c r="E517" s="109"/>
      <c r="F517" s="109"/>
      <c r="G517" s="109"/>
    </row>
    <row r="518" spans="1:7" x14ac:dyDescent="0.35">
      <c r="A518" s="109"/>
      <c r="B518" s="109"/>
      <c r="C518" s="109"/>
      <c r="E518" s="109"/>
      <c r="F518" s="109"/>
      <c r="G518" s="109"/>
    </row>
    <row r="519" spans="1:7" x14ac:dyDescent="0.35">
      <c r="A519" s="109"/>
      <c r="B519" s="109"/>
      <c r="C519" s="109"/>
      <c r="E519" s="109"/>
      <c r="F519" s="109"/>
      <c r="G519" s="109"/>
    </row>
    <row r="520" spans="1:7" x14ac:dyDescent="0.35">
      <c r="A520" s="109"/>
      <c r="B520" s="109"/>
      <c r="C520" s="109"/>
      <c r="E520" s="109"/>
      <c r="F520" s="109"/>
      <c r="G520" s="109"/>
    </row>
    <row r="521" spans="1:7" x14ac:dyDescent="0.35">
      <c r="A521" s="109"/>
      <c r="B521" s="109"/>
      <c r="C521" s="109"/>
      <c r="E521" s="109"/>
      <c r="F521" s="109"/>
      <c r="G521" s="109"/>
    </row>
    <row r="522" spans="1:7" x14ac:dyDescent="0.35">
      <c r="A522" s="109"/>
      <c r="B522" s="109"/>
      <c r="C522" s="109"/>
      <c r="E522" s="109"/>
      <c r="F522" s="109"/>
      <c r="G522" s="109"/>
    </row>
    <row r="523" spans="1:7" x14ac:dyDescent="0.35">
      <c r="A523" s="109"/>
      <c r="B523" s="109"/>
      <c r="C523" s="109"/>
      <c r="E523" s="109"/>
      <c r="F523" s="109"/>
      <c r="G523" s="109"/>
    </row>
    <row r="524" spans="1:7" x14ac:dyDescent="0.35">
      <c r="A524" s="109"/>
      <c r="B524" s="109"/>
      <c r="C524" s="109"/>
      <c r="E524" s="109"/>
      <c r="F524" s="109"/>
      <c r="G524" s="109"/>
    </row>
    <row r="525" spans="1:7" x14ac:dyDescent="0.35">
      <c r="A525" s="109"/>
      <c r="B525" s="109"/>
      <c r="C525" s="109"/>
      <c r="E525" s="109"/>
      <c r="F525" s="109"/>
      <c r="G525" s="109"/>
    </row>
    <row r="526" spans="1:7" x14ac:dyDescent="0.35">
      <c r="A526" s="109"/>
      <c r="B526" s="109"/>
      <c r="C526" s="109"/>
      <c r="E526" s="109"/>
      <c r="F526" s="109"/>
      <c r="G526" s="109"/>
    </row>
    <row r="527" spans="1:7" x14ac:dyDescent="0.35">
      <c r="A527" s="109"/>
      <c r="B527" s="109"/>
      <c r="C527" s="109"/>
      <c r="E527" s="109"/>
      <c r="F527" s="109"/>
      <c r="G527" s="109"/>
    </row>
    <row r="528" spans="1:7" x14ac:dyDescent="0.35">
      <c r="A528" s="109"/>
      <c r="B528" s="109"/>
      <c r="C528" s="109"/>
      <c r="E528" s="109"/>
      <c r="F528" s="109"/>
      <c r="G528" s="109"/>
    </row>
    <row r="529" spans="1:7" x14ac:dyDescent="0.35">
      <c r="A529" s="109"/>
      <c r="B529" s="109"/>
      <c r="C529" s="109"/>
      <c r="E529" s="109"/>
      <c r="F529" s="109"/>
      <c r="G529" s="109"/>
    </row>
    <row r="530" spans="1:7" x14ac:dyDescent="0.35">
      <c r="A530" s="109"/>
      <c r="B530" s="109"/>
      <c r="C530" s="109"/>
      <c r="E530" s="109"/>
      <c r="F530" s="109"/>
      <c r="G530" s="109"/>
    </row>
    <row r="531" spans="1:7" x14ac:dyDescent="0.35">
      <c r="A531" s="109"/>
      <c r="B531" s="109"/>
      <c r="C531" s="109"/>
      <c r="E531" s="109"/>
      <c r="F531" s="109"/>
      <c r="G531" s="109"/>
    </row>
    <row r="532" spans="1:7" x14ac:dyDescent="0.35">
      <c r="A532" s="109"/>
      <c r="B532" s="109"/>
      <c r="C532" s="109"/>
      <c r="E532" s="109"/>
      <c r="F532" s="109"/>
      <c r="G532" s="109"/>
    </row>
    <row r="533" spans="1:7" x14ac:dyDescent="0.35">
      <c r="A533" s="109"/>
      <c r="B533" s="109"/>
      <c r="C533" s="109"/>
      <c r="E533" s="109"/>
      <c r="F533" s="109"/>
      <c r="G533" s="109"/>
    </row>
    <row r="534" spans="1:7" x14ac:dyDescent="0.35">
      <c r="A534" s="109"/>
      <c r="B534" s="109"/>
      <c r="C534" s="109"/>
      <c r="E534" s="109"/>
      <c r="F534" s="109"/>
      <c r="G534" s="109"/>
    </row>
    <row r="535" spans="1:7" x14ac:dyDescent="0.35">
      <c r="A535" s="109"/>
      <c r="B535" s="109"/>
      <c r="C535" s="109"/>
      <c r="E535" s="109"/>
      <c r="F535" s="109"/>
      <c r="G535" s="109"/>
    </row>
    <row r="536" spans="1:7" x14ac:dyDescent="0.35">
      <c r="A536" s="109"/>
      <c r="B536" s="109"/>
      <c r="C536" s="109"/>
      <c r="E536" s="109"/>
      <c r="F536" s="109"/>
      <c r="G536" s="109"/>
    </row>
    <row r="537" spans="1:7" x14ac:dyDescent="0.35">
      <c r="A537" s="109"/>
      <c r="B537" s="109"/>
      <c r="C537" s="109"/>
      <c r="E537" s="109"/>
      <c r="F537" s="109"/>
      <c r="G537" s="109"/>
    </row>
    <row r="538" spans="1:7" x14ac:dyDescent="0.35">
      <c r="A538" s="109"/>
      <c r="B538" s="109"/>
      <c r="C538" s="109"/>
      <c r="E538" s="109"/>
      <c r="F538" s="109"/>
      <c r="G538" s="109"/>
    </row>
    <row r="539" spans="1:7" x14ac:dyDescent="0.35">
      <c r="A539" s="109"/>
      <c r="B539" s="109"/>
      <c r="C539" s="109"/>
      <c r="E539" s="109"/>
      <c r="F539" s="109"/>
      <c r="G539" s="109"/>
    </row>
    <row r="540" spans="1:7" x14ac:dyDescent="0.35">
      <c r="A540" s="109"/>
      <c r="B540" s="109"/>
      <c r="C540" s="109"/>
      <c r="E540" s="109"/>
      <c r="F540" s="109"/>
      <c r="G540" s="109"/>
    </row>
    <row r="541" spans="1:7" x14ac:dyDescent="0.35">
      <c r="A541" s="109"/>
      <c r="B541" s="109"/>
      <c r="C541" s="109"/>
      <c r="E541" s="109"/>
      <c r="F541" s="109"/>
      <c r="G541" s="109"/>
    </row>
    <row r="542" spans="1:7" x14ac:dyDescent="0.35">
      <c r="A542" s="109"/>
      <c r="B542" s="109"/>
      <c r="C542" s="109"/>
      <c r="E542" s="109"/>
      <c r="F542" s="109"/>
      <c r="G542" s="109"/>
    </row>
    <row r="543" spans="1:7" x14ac:dyDescent="0.35">
      <c r="A543" s="109"/>
      <c r="B543" s="109"/>
      <c r="C543" s="109"/>
      <c r="E543" s="109"/>
      <c r="F543" s="109"/>
      <c r="G543" s="109"/>
    </row>
    <row r="544" spans="1:7" x14ac:dyDescent="0.35">
      <c r="A544" s="109"/>
      <c r="B544" s="109"/>
      <c r="C544" s="109"/>
      <c r="E544" s="109"/>
      <c r="F544" s="109"/>
      <c r="G544" s="109"/>
    </row>
    <row r="545" spans="1:7" x14ac:dyDescent="0.35">
      <c r="A545" s="109"/>
      <c r="B545" s="109"/>
      <c r="C545" s="109"/>
      <c r="E545" s="109"/>
      <c r="F545" s="109"/>
      <c r="G545" s="109"/>
    </row>
    <row r="546" spans="1:7" x14ac:dyDescent="0.35">
      <c r="A546" s="109"/>
      <c r="B546" s="109"/>
      <c r="C546" s="109"/>
      <c r="E546" s="109"/>
      <c r="F546" s="109"/>
      <c r="G546" s="109"/>
    </row>
    <row r="547" spans="1:7" x14ac:dyDescent="0.35">
      <c r="A547" s="109"/>
      <c r="B547" s="109"/>
      <c r="C547" s="109"/>
      <c r="E547" s="109"/>
      <c r="F547" s="109"/>
      <c r="G547" s="109"/>
    </row>
    <row r="548" spans="1:7" x14ac:dyDescent="0.35">
      <c r="A548" s="109"/>
      <c r="B548" s="109"/>
      <c r="C548" s="109"/>
      <c r="E548" s="109"/>
      <c r="F548" s="109"/>
      <c r="G548" s="109"/>
    </row>
    <row r="549" spans="1:7" x14ac:dyDescent="0.35">
      <c r="A549" s="109"/>
      <c r="B549" s="109"/>
      <c r="C549" s="109"/>
      <c r="E549" s="109"/>
      <c r="F549" s="109"/>
      <c r="G549" s="109"/>
    </row>
    <row r="550" spans="1:7" x14ac:dyDescent="0.35">
      <c r="A550" s="109"/>
      <c r="B550" s="109"/>
      <c r="C550" s="109"/>
      <c r="E550" s="109"/>
      <c r="F550" s="109"/>
      <c r="G550" s="109"/>
    </row>
    <row r="551" spans="1:7" x14ac:dyDescent="0.35">
      <c r="A551" s="109"/>
      <c r="B551" s="109"/>
      <c r="C551" s="109"/>
      <c r="E551" s="109"/>
      <c r="F551" s="109"/>
      <c r="G551" s="109"/>
    </row>
    <row r="552" spans="1:7" x14ac:dyDescent="0.35">
      <c r="A552" s="109"/>
      <c r="B552" s="109"/>
      <c r="C552" s="109"/>
      <c r="E552" s="109"/>
      <c r="F552" s="109"/>
      <c r="G552" s="109"/>
    </row>
    <row r="553" spans="1:7" x14ac:dyDescent="0.35">
      <c r="A553" s="109"/>
      <c r="B553" s="109"/>
      <c r="C553" s="109"/>
      <c r="E553" s="109"/>
      <c r="F553" s="109"/>
      <c r="G553" s="109"/>
    </row>
    <row r="554" spans="1:7" x14ac:dyDescent="0.35">
      <c r="A554" s="109"/>
      <c r="B554" s="109"/>
      <c r="C554" s="109"/>
      <c r="E554" s="109"/>
      <c r="F554" s="109"/>
      <c r="G554" s="109"/>
    </row>
    <row r="555" spans="1:7" x14ac:dyDescent="0.35">
      <c r="A555" s="109"/>
      <c r="B555" s="109"/>
      <c r="C555" s="109"/>
      <c r="E555" s="109"/>
      <c r="F555" s="109"/>
      <c r="G555" s="109"/>
    </row>
    <row r="556" spans="1:7" x14ac:dyDescent="0.35">
      <c r="A556" s="109"/>
      <c r="B556" s="109"/>
      <c r="C556" s="109"/>
      <c r="E556" s="109"/>
      <c r="F556" s="109"/>
      <c r="G556" s="109"/>
    </row>
    <row r="557" spans="1:7" x14ac:dyDescent="0.35">
      <c r="A557" s="109"/>
      <c r="B557" s="109"/>
      <c r="C557" s="109"/>
      <c r="E557" s="109"/>
      <c r="F557" s="109"/>
      <c r="G557" s="109"/>
    </row>
    <row r="558" spans="1:7" x14ac:dyDescent="0.35">
      <c r="A558" s="109"/>
      <c r="B558" s="109"/>
      <c r="C558" s="109"/>
      <c r="E558" s="109"/>
      <c r="F558" s="109"/>
      <c r="G558" s="109"/>
    </row>
    <row r="559" spans="1:7" x14ac:dyDescent="0.35">
      <c r="A559" s="109"/>
      <c r="B559" s="109"/>
      <c r="C559" s="109"/>
      <c r="E559" s="109"/>
      <c r="F559" s="109"/>
      <c r="G559" s="109"/>
    </row>
    <row r="560" spans="1:7" x14ac:dyDescent="0.35">
      <c r="A560" s="109"/>
      <c r="B560" s="109"/>
      <c r="C560" s="109"/>
      <c r="E560" s="109"/>
      <c r="F560" s="109"/>
      <c r="G560" s="109"/>
    </row>
    <row r="561" spans="1:7" x14ac:dyDescent="0.35">
      <c r="A561" s="109"/>
      <c r="B561" s="109"/>
      <c r="C561" s="109"/>
      <c r="E561" s="109"/>
      <c r="F561" s="109"/>
      <c r="G561" s="109"/>
    </row>
    <row r="562" spans="1:7" x14ac:dyDescent="0.35">
      <c r="A562" s="109"/>
      <c r="B562" s="109"/>
      <c r="C562" s="109"/>
      <c r="E562" s="109"/>
      <c r="F562" s="109"/>
      <c r="G562" s="109"/>
    </row>
    <row r="563" spans="1:7" x14ac:dyDescent="0.35">
      <c r="A563" s="109"/>
      <c r="B563" s="109"/>
      <c r="C563" s="109"/>
      <c r="E563" s="109"/>
      <c r="F563" s="109"/>
      <c r="G563" s="109"/>
    </row>
    <row r="564" spans="1:7" x14ac:dyDescent="0.35">
      <c r="A564" s="109"/>
      <c r="B564" s="109"/>
      <c r="C564" s="109"/>
      <c r="E564" s="109"/>
      <c r="F564" s="109"/>
      <c r="G564" s="109"/>
    </row>
    <row r="565" spans="1:7" x14ac:dyDescent="0.35">
      <c r="A565" s="109"/>
      <c r="B565" s="109"/>
      <c r="C565" s="109"/>
      <c r="E565" s="109"/>
      <c r="F565" s="109"/>
      <c r="G565" s="109"/>
    </row>
    <row r="566" spans="1:7" x14ac:dyDescent="0.35">
      <c r="A566" s="109"/>
      <c r="B566" s="109"/>
      <c r="C566" s="109"/>
      <c r="E566" s="109"/>
      <c r="F566" s="109"/>
      <c r="G566" s="109"/>
    </row>
    <row r="567" spans="1:7" x14ac:dyDescent="0.35">
      <c r="A567" s="109"/>
      <c r="B567" s="109"/>
      <c r="C567" s="109"/>
      <c r="E567" s="109"/>
      <c r="F567" s="109"/>
      <c r="G567" s="109"/>
    </row>
    <row r="568" spans="1:7" x14ac:dyDescent="0.35">
      <c r="A568" s="109"/>
      <c r="B568" s="109"/>
      <c r="C568" s="109"/>
      <c r="E568" s="109"/>
      <c r="F568" s="109"/>
      <c r="G568" s="109"/>
    </row>
    <row r="569" spans="1:7" x14ac:dyDescent="0.35">
      <c r="A569" s="109"/>
      <c r="B569" s="109"/>
      <c r="C569" s="109"/>
      <c r="E569" s="109"/>
      <c r="F569" s="109"/>
      <c r="G569" s="109"/>
    </row>
    <row r="570" spans="1:7" x14ac:dyDescent="0.35">
      <c r="A570" s="109"/>
      <c r="B570" s="109"/>
      <c r="C570" s="109"/>
      <c r="E570" s="109"/>
      <c r="F570" s="109"/>
      <c r="G570" s="109"/>
    </row>
    <row r="571" spans="1:7" x14ac:dyDescent="0.35">
      <c r="A571" s="109"/>
      <c r="B571" s="109"/>
      <c r="C571" s="109"/>
      <c r="E571" s="109"/>
      <c r="F571" s="109"/>
      <c r="G571" s="109"/>
    </row>
    <row r="572" spans="1:7" x14ac:dyDescent="0.35">
      <c r="A572" s="109"/>
      <c r="B572" s="109"/>
      <c r="C572" s="109"/>
      <c r="E572" s="109"/>
      <c r="F572" s="109"/>
      <c r="G572" s="109"/>
    </row>
    <row r="573" spans="1:7" x14ac:dyDescent="0.35">
      <c r="A573" s="109"/>
      <c r="B573" s="109"/>
      <c r="C573" s="109"/>
      <c r="E573" s="109"/>
      <c r="F573" s="109"/>
      <c r="G573" s="109"/>
    </row>
    <row r="574" spans="1:7" x14ac:dyDescent="0.35">
      <c r="A574" s="109"/>
      <c r="B574" s="109"/>
      <c r="C574" s="109"/>
      <c r="E574" s="109"/>
      <c r="F574" s="109"/>
      <c r="G574" s="109"/>
    </row>
    <row r="575" spans="1:7" x14ac:dyDescent="0.35">
      <c r="A575" s="109"/>
      <c r="B575" s="109"/>
      <c r="C575" s="109"/>
      <c r="E575" s="109"/>
      <c r="F575" s="109"/>
      <c r="G575" s="109"/>
    </row>
    <row r="576" spans="1:7" x14ac:dyDescent="0.35">
      <c r="A576" s="109"/>
      <c r="B576" s="109"/>
      <c r="C576" s="109"/>
      <c r="E576" s="109"/>
      <c r="F576" s="109"/>
      <c r="G576" s="109"/>
    </row>
    <row r="577" spans="1:7" x14ac:dyDescent="0.35">
      <c r="A577" s="109"/>
      <c r="B577" s="109"/>
      <c r="C577" s="109"/>
      <c r="E577" s="109"/>
      <c r="F577" s="109"/>
      <c r="G577" s="109"/>
    </row>
    <row r="578" spans="1:7" x14ac:dyDescent="0.35">
      <c r="A578" s="109"/>
      <c r="B578" s="109"/>
      <c r="C578" s="109"/>
      <c r="E578" s="109"/>
      <c r="F578" s="109"/>
      <c r="G578" s="109"/>
    </row>
    <row r="579" spans="1:7" x14ac:dyDescent="0.35">
      <c r="A579" s="109"/>
      <c r="B579" s="109"/>
      <c r="C579" s="109"/>
      <c r="E579" s="109"/>
      <c r="F579" s="109"/>
      <c r="G579" s="109"/>
    </row>
    <row r="580" spans="1:7" x14ac:dyDescent="0.35">
      <c r="A580" s="109"/>
      <c r="B580" s="109"/>
      <c r="C580" s="109"/>
      <c r="E580" s="109"/>
      <c r="F580" s="109"/>
      <c r="G580" s="109"/>
    </row>
    <row r="581" spans="1:7" x14ac:dyDescent="0.35">
      <c r="A581" s="109"/>
      <c r="B581" s="109"/>
      <c r="C581" s="109"/>
      <c r="E581" s="109"/>
      <c r="F581" s="109"/>
      <c r="G581" s="109"/>
    </row>
    <row r="582" spans="1:7" x14ac:dyDescent="0.35">
      <c r="A582" s="109"/>
      <c r="B582" s="109"/>
      <c r="C582" s="109"/>
      <c r="E582" s="109"/>
      <c r="F582" s="109"/>
      <c r="G582" s="109"/>
    </row>
    <row r="583" spans="1:7" x14ac:dyDescent="0.35">
      <c r="A583" s="109"/>
      <c r="B583" s="109"/>
      <c r="C583" s="109"/>
      <c r="E583" s="109"/>
      <c r="F583" s="109"/>
      <c r="G583" s="109"/>
    </row>
    <row r="584" spans="1:7" x14ac:dyDescent="0.35">
      <c r="A584" s="109"/>
      <c r="B584" s="109"/>
      <c r="C584" s="109"/>
      <c r="E584" s="109"/>
      <c r="F584" s="109"/>
      <c r="G584" s="109"/>
    </row>
    <row r="585" spans="1:7" x14ac:dyDescent="0.35">
      <c r="A585" s="109"/>
      <c r="B585" s="109"/>
      <c r="C585" s="109"/>
      <c r="E585" s="109"/>
      <c r="F585" s="109"/>
      <c r="G585" s="109"/>
    </row>
    <row r="586" spans="1:7" x14ac:dyDescent="0.35">
      <c r="A586" s="109"/>
      <c r="B586" s="109"/>
      <c r="C586" s="109"/>
      <c r="E586" s="109"/>
      <c r="F586" s="109"/>
      <c r="G586" s="109"/>
    </row>
    <row r="587" spans="1:7" x14ac:dyDescent="0.35">
      <c r="A587" s="109"/>
      <c r="B587" s="109"/>
      <c r="C587" s="109"/>
      <c r="E587" s="109"/>
      <c r="F587" s="109"/>
      <c r="G587" s="109"/>
    </row>
    <row r="588" spans="1:7" x14ac:dyDescent="0.35">
      <c r="A588" s="109"/>
      <c r="B588" s="109"/>
      <c r="C588" s="109"/>
      <c r="E588" s="109"/>
      <c r="F588" s="109"/>
      <c r="G588" s="109"/>
    </row>
    <row r="589" spans="1:7" x14ac:dyDescent="0.35">
      <c r="A589" s="109"/>
      <c r="B589" s="109"/>
      <c r="C589" s="109"/>
      <c r="E589" s="109"/>
      <c r="F589" s="109"/>
      <c r="G589" s="109"/>
    </row>
    <row r="590" spans="1:7" x14ac:dyDescent="0.35">
      <c r="A590" s="109"/>
      <c r="B590" s="109"/>
      <c r="C590" s="109"/>
      <c r="E590" s="109"/>
      <c r="F590" s="109"/>
      <c r="G590" s="109"/>
    </row>
    <row r="591" spans="1:7" x14ac:dyDescent="0.35">
      <c r="A591" s="109"/>
      <c r="B591" s="109"/>
      <c r="C591" s="109"/>
      <c r="E591" s="109"/>
      <c r="F591" s="109"/>
      <c r="G591" s="109"/>
    </row>
    <row r="592" spans="1:7" x14ac:dyDescent="0.35">
      <c r="A592" s="109"/>
      <c r="B592" s="109"/>
      <c r="C592" s="109"/>
      <c r="E592" s="109"/>
      <c r="F592" s="109"/>
      <c r="G592" s="109"/>
    </row>
    <row r="593" spans="1:7" x14ac:dyDescent="0.35">
      <c r="A593" s="109"/>
      <c r="B593" s="109"/>
      <c r="C593" s="109"/>
      <c r="E593" s="109"/>
      <c r="F593" s="109"/>
      <c r="G593" s="109"/>
    </row>
    <row r="594" spans="1:7" x14ac:dyDescent="0.35">
      <c r="A594" s="109"/>
      <c r="B594" s="109"/>
      <c r="C594" s="109"/>
      <c r="E594" s="109"/>
      <c r="F594" s="109"/>
      <c r="G594" s="109"/>
    </row>
    <row r="595" spans="1:7" x14ac:dyDescent="0.35">
      <c r="A595" s="109"/>
      <c r="B595" s="109"/>
      <c r="C595" s="109"/>
      <c r="E595" s="109"/>
      <c r="F595" s="109"/>
      <c r="G595" s="109"/>
    </row>
    <row r="596" spans="1:7" x14ac:dyDescent="0.35">
      <c r="A596" s="109"/>
      <c r="B596" s="109"/>
      <c r="C596" s="109"/>
      <c r="E596" s="109"/>
      <c r="F596" s="109"/>
      <c r="G596" s="109"/>
    </row>
    <row r="597" spans="1:7" x14ac:dyDescent="0.35">
      <c r="A597" s="109"/>
      <c r="B597" s="109"/>
      <c r="C597" s="109"/>
      <c r="E597" s="109"/>
      <c r="F597" s="109"/>
      <c r="G597" s="109"/>
    </row>
    <row r="598" spans="1:7" x14ac:dyDescent="0.35">
      <c r="A598" s="109"/>
      <c r="B598" s="109"/>
      <c r="C598" s="109"/>
      <c r="E598" s="109"/>
      <c r="F598" s="109"/>
      <c r="G598" s="109"/>
    </row>
    <row r="599" spans="1:7" x14ac:dyDescent="0.35">
      <c r="A599" s="109"/>
      <c r="B599" s="109"/>
      <c r="C599" s="109"/>
      <c r="E599" s="109"/>
      <c r="F599" s="109"/>
      <c r="G599" s="109"/>
    </row>
    <row r="600" spans="1:7" x14ac:dyDescent="0.35">
      <c r="A600" s="109"/>
      <c r="B600" s="109"/>
      <c r="C600" s="109"/>
      <c r="E600" s="109"/>
      <c r="F600" s="109"/>
      <c r="G600" s="109"/>
    </row>
    <row r="601" spans="1:7" x14ac:dyDescent="0.35">
      <c r="A601" s="109"/>
      <c r="B601" s="109"/>
      <c r="C601" s="109"/>
      <c r="E601" s="109"/>
      <c r="F601" s="109"/>
      <c r="G601" s="109"/>
    </row>
    <row r="602" spans="1:7" x14ac:dyDescent="0.35">
      <c r="A602" s="109"/>
      <c r="B602" s="109"/>
      <c r="C602" s="109"/>
      <c r="E602" s="109"/>
      <c r="F602" s="109"/>
      <c r="G602" s="109"/>
    </row>
    <row r="603" spans="1:7" x14ac:dyDescent="0.35">
      <c r="A603" s="109"/>
      <c r="B603" s="109"/>
      <c r="C603" s="109"/>
      <c r="E603" s="109"/>
      <c r="F603" s="109"/>
      <c r="G603" s="109"/>
    </row>
    <row r="604" spans="1:7" x14ac:dyDescent="0.35">
      <c r="A604" s="109"/>
      <c r="B604" s="109"/>
      <c r="C604" s="109"/>
      <c r="E604" s="109"/>
      <c r="F604" s="109"/>
      <c r="G604" s="109"/>
    </row>
    <row r="605" spans="1:7" x14ac:dyDescent="0.35">
      <c r="A605" s="109"/>
      <c r="B605" s="109"/>
      <c r="C605" s="109"/>
      <c r="E605" s="109"/>
      <c r="F605" s="109"/>
      <c r="G605" s="109"/>
    </row>
    <row r="606" spans="1:7" x14ac:dyDescent="0.35">
      <c r="A606" s="109"/>
      <c r="B606" s="109"/>
      <c r="C606" s="109"/>
      <c r="E606" s="109"/>
      <c r="F606" s="109"/>
      <c r="G606" s="109"/>
    </row>
    <row r="607" spans="1:7" x14ac:dyDescent="0.35">
      <c r="A607" s="109"/>
      <c r="B607" s="109"/>
      <c r="C607" s="109"/>
      <c r="E607" s="109"/>
      <c r="F607" s="109"/>
      <c r="G607" s="109"/>
    </row>
    <row r="608" spans="1:7" x14ac:dyDescent="0.35">
      <c r="A608" s="109"/>
      <c r="B608" s="109"/>
      <c r="C608" s="109"/>
      <c r="E608" s="109"/>
      <c r="F608" s="109"/>
      <c r="G608" s="109"/>
    </row>
    <row r="609" spans="1:7" x14ac:dyDescent="0.35">
      <c r="A609" s="109"/>
      <c r="B609" s="109"/>
      <c r="C609" s="109"/>
      <c r="E609" s="109"/>
      <c r="F609" s="109"/>
      <c r="G609" s="109"/>
    </row>
    <row r="610" spans="1:7" x14ac:dyDescent="0.35">
      <c r="A610" s="109"/>
      <c r="B610" s="109"/>
      <c r="C610" s="109"/>
      <c r="E610" s="109"/>
      <c r="F610" s="109"/>
      <c r="G610" s="109"/>
    </row>
    <row r="611" spans="1:7" x14ac:dyDescent="0.35">
      <c r="A611" s="109"/>
      <c r="B611" s="109"/>
      <c r="C611" s="109"/>
      <c r="E611" s="109"/>
      <c r="F611" s="109"/>
      <c r="G611" s="109"/>
    </row>
    <row r="612" spans="1:7" x14ac:dyDescent="0.35">
      <c r="A612" s="109"/>
      <c r="B612" s="109"/>
      <c r="C612" s="109"/>
      <c r="E612" s="109"/>
      <c r="F612" s="109"/>
      <c r="G612" s="109"/>
    </row>
    <row r="613" spans="1:7" x14ac:dyDescent="0.35">
      <c r="A613" s="109"/>
      <c r="B613" s="109"/>
      <c r="C613" s="109"/>
      <c r="E613" s="109"/>
      <c r="F613" s="109"/>
      <c r="G613" s="109"/>
    </row>
    <row r="614" spans="1:7" x14ac:dyDescent="0.35">
      <c r="A614" s="109"/>
      <c r="B614" s="109"/>
      <c r="C614" s="109"/>
      <c r="E614" s="109"/>
      <c r="F614" s="109"/>
      <c r="G614" s="109"/>
    </row>
    <row r="615" spans="1:7" x14ac:dyDescent="0.35">
      <c r="A615" s="109"/>
      <c r="B615" s="109"/>
      <c r="C615" s="109"/>
      <c r="E615" s="109"/>
      <c r="F615" s="109"/>
      <c r="G615" s="109"/>
    </row>
    <row r="616" spans="1:7" x14ac:dyDescent="0.35">
      <c r="A616" s="109"/>
      <c r="B616" s="109"/>
      <c r="C616" s="109"/>
      <c r="E616" s="109"/>
      <c r="F616" s="109"/>
      <c r="G616" s="109"/>
    </row>
    <row r="617" spans="1:7" x14ac:dyDescent="0.35">
      <c r="A617" s="109"/>
      <c r="B617" s="109"/>
      <c r="C617" s="109"/>
      <c r="E617" s="109"/>
      <c r="F617" s="109"/>
      <c r="G617" s="109"/>
    </row>
    <row r="618" spans="1:7" x14ac:dyDescent="0.35">
      <c r="A618" s="109"/>
      <c r="B618" s="109"/>
      <c r="C618" s="109"/>
      <c r="E618" s="109"/>
      <c r="F618" s="109"/>
      <c r="G618" s="109"/>
    </row>
    <row r="619" spans="1:7" x14ac:dyDescent="0.35">
      <c r="A619" s="109"/>
      <c r="B619" s="109"/>
      <c r="C619" s="109"/>
      <c r="E619" s="109"/>
      <c r="F619" s="109"/>
      <c r="G619" s="109"/>
    </row>
    <row r="620" spans="1:7" x14ac:dyDescent="0.35">
      <c r="A620" s="109"/>
      <c r="B620" s="109"/>
      <c r="C620" s="109"/>
      <c r="E620" s="109"/>
      <c r="F620" s="109"/>
      <c r="G620" s="109"/>
    </row>
    <row r="621" spans="1:7" x14ac:dyDescent="0.35">
      <c r="A621" s="109"/>
      <c r="B621" s="109"/>
      <c r="C621" s="109"/>
      <c r="E621" s="109"/>
      <c r="F621" s="109"/>
      <c r="G621" s="109"/>
    </row>
    <row r="622" spans="1:7" x14ac:dyDescent="0.35">
      <c r="A622" s="109"/>
      <c r="B622" s="109"/>
      <c r="C622" s="109"/>
      <c r="E622" s="109"/>
      <c r="F622" s="109"/>
      <c r="G622" s="109"/>
    </row>
    <row r="623" spans="1:7" x14ac:dyDescent="0.35">
      <c r="A623" s="109"/>
      <c r="B623" s="109"/>
      <c r="C623" s="109"/>
      <c r="E623" s="109"/>
      <c r="F623" s="109"/>
      <c r="G623" s="109"/>
    </row>
    <row r="624" spans="1:7" x14ac:dyDescent="0.35">
      <c r="A624" s="109"/>
      <c r="B624" s="109"/>
      <c r="C624" s="109"/>
      <c r="E624" s="109"/>
      <c r="F624" s="109"/>
      <c r="G624" s="109"/>
    </row>
    <row r="625" spans="1:7" x14ac:dyDescent="0.35">
      <c r="A625" s="109"/>
      <c r="B625" s="109"/>
      <c r="C625" s="109"/>
      <c r="E625" s="109"/>
      <c r="F625" s="109"/>
      <c r="G625" s="109"/>
    </row>
    <row r="626" spans="1:7" x14ac:dyDescent="0.35">
      <c r="A626" s="109"/>
      <c r="B626" s="109"/>
      <c r="C626" s="109"/>
      <c r="E626" s="109"/>
      <c r="F626" s="109"/>
      <c r="G626" s="109"/>
    </row>
    <row r="627" spans="1:7" x14ac:dyDescent="0.35">
      <c r="A627" s="109"/>
      <c r="B627" s="109"/>
      <c r="C627" s="109"/>
      <c r="E627" s="109"/>
      <c r="F627" s="109"/>
      <c r="G627" s="109"/>
    </row>
    <row r="628" spans="1:7" x14ac:dyDescent="0.35">
      <c r="A628" s="109"/>
      <c r="B628" s="109"/>
      <c r="C628" s="109"/>
      <c r="E628" s="109"/>
      <c r="F628" s="109"/>
      <c r="G628" s="109"/>
    </row>
    <row r="629" spans="1:7" x14ac:dyDescent="0.35">
      <c r="A629" s="109"/>
      <c r="B629" s="109"/>
      <c r="C629" s="109"/>
      <c r="E629" s="109"/>
      <c r="F629" s="109"/>
      <c r="G629" s="109"/>
    </row>
    <row r="630" spans="1:7" x14ac:dyDescent="0.35">
      <c r="A630" s="109"/>
      <c r="B630" s="109"/>
      <c r="C630" s="109"/>
      <c r="E630" s="109"/>
      <c r="F630" s="109"/>
      <c r="G630" s="109"/>
    </row>
    <row r="631" spans="1:7" x14ac:dyDescent="0.35">
      <c r="A631" s="109"/>
      <c r="B631" s="109"/>
      <c r="C631" s="109"/>
      <c r="E631" s="109"/>
      <c r="F631" s="109"/>
      <c r="G631" s="109"/>
    </row>
    <row r="632" spans="1:7" x14ac:dyDescent="0.35">
      <c r="A632" s="109"/>
      <c r="B632" s="109"/>
      <c r="C632" s="109"/>
      <c r="E632" s="109"/>
      <c r="F632" s="109"/>
      <c r="G632" s="109"/>
    </row>
    <row r="633" spans="1:7" x14ac:dyDescent="0.35">
      <c r="A633" s="109"/>
      <c r="B633" s="109"/>
      <c r="C633" s="109"/>
      <c r="E633" s="109"/>
      <c r="F633" s="109"/>
      <c r="G633" s="109"/>
    </row>
    <row r="634" spans="1:7" x14ac:dyDescent="0.35">
      <c r="A634" s="109"/>
      <c r="B634" s="109"/>
      <c r="C634" s="109"/>
      <c r="E634" s="109"/>
      <c r="F634" s="109"/>
      <c r="G634" s="109"/>
    </row>
    <row r="635" spans="1:7" x14ac:dyDescent="0.35">
      <c r="A635" s="109"/>
      <c r="B635" s="109"/>
      <c r="C635" s="109"/>
      <c r="E635" s="109"/>
      <c r="F635" s="109"/>
      <c r="G635" s="109"/>
    </row>
    <row r="636" spans="1:7" x14ac:dyDescent="0.35">
      <c r="A636" s="109"/>
      <c r="B636" s="109"/>
      <c r="C636" s="109"/>
      <c r="E636" s="109"/>
      <c r="F636" s="109"/>
      <c r="G636" s="109"/>
    </row>
    <row r="637" spans="1:7" x14ac:dyDescent="0.35">
      <c r="A637" s="109"/>
      <c r="B637" s="109"/>
      <c r="C637" s="109"/>
      <c r="E637" s="109"/>
      <c r="F637" s="109"/>
      <c r="G637" s="109"/>
    </row>
    <row r="638" spans="1:7" x14ac:dyDescent="0.35">
      <c r="A638" s="109"/>
      <c r="B638" s="109"/>
      <c r="C638" s="109"/>
      <c r="E638" s="109"/>
      <c r="F638" s="109"/>
      <c r="G638" s="109"/>
    </row>
    <row r="639" spans="1:7" x14ac:dyDescent="0.35">
      <c r="A639" s="109"/>
      <c r="B639" s="109"/>
      <c r="C639" s="109"/>
      <c r="E639" s="109"/>
      <c r="F639" s="109"/>
      <c r="G639" s="109"/>
    </row>
    <row r="640" spans="1:7" x14ac:dyDescent="0.35">
      <c r="A640" s="109"/>
      <c r="B640" s="109"/>
      <c r="C640" s="109"/>
      <c r="E640" s="109"/>
      <c r="F640" s="109"/>
      <c r="G640" s="109"/>
    </row>
    <row r="641" spans="1:7" x14ac:dyDescent="0.35">
      <c r="A641" s="109"/>
      <c r="B641" s="109"/>
      <c r="C641" s="109"/>
      <c r="E641" s="109"/>
      <c r="F641" s="109"/>
      <c r="G641" s="109"/>
    </row>
    <row r="642" spans="1:7" x14ac:dyDescent="0.35">
      <c r="A642" s="109"/>
      <c r="B642" s="109"/>
      <c r="C642" s="109"/>
      <c r="E642" s="109"/>
      <c r="F642" s="109"/>
      <c r="G642" s="109"/>
    </row>
    <row r="643" spans="1:7" x14ac:dyDescent="0.35">
      <c r="A643" s="109"/>
      <c r="B643" s="109"/>
      <c r="C643" s="109"/>
      <c r="E643" s="109"/>
      <c r="F643" s="109"/>
      <c r="G643" s="109"/>
    </row>
    <row r="644" spans="1:7" x14ac:dyDescent="0.35">
      <c r="A644" s="109"/>
      <c r="B644" s="109"/>
      <c r="C644" s="109"/>
      <c r="E644" s="109"/>
      <c r="F644" s="109"/>
      <c r="G644" s="109"/>
    </row>
    <row r="645" spans="1:7" x14ac:dyDescent="0.35">
      <c r="A645" s="109"/>
      <c r="B645" s="109"/>
      <c r="C645" s="109"/>
      <c r="E645" s="109"/>
      <c r="F645" s="109"/>
      <c r="G645" s="109"/>
    </row>
    <row r="646" spans="1:7" x14ac:dyDescent="0.35">
      <c r="A646" s="109"/>
      <c r="B646" s="109"/>
      <c r="C646" s="109"/>
      <c r="E646" s="109"/>
      <c r="F646" s="109"/>
      <c r="G646" s="109"/>
    </row>
    <row r="647" spans="1:7" x14ac:dyDescent="0.35">
      <c r="A647" s="109"/>
      <c r="B647" s="109"/>
      <c r="C647" s="109"/>
      <c r="E647" s="109"/>
      <c r="F647" s="109"/>
      <c r="G647" s="109"/>
    </row>
    <row r="648" spans="1:7" x14ac:dyDescent="0.35">
      <c r="A648" s="109"/>
      <c r="B648" s="109"/>
      <c r="C648" s="109"/>
      <c r="E648" s="109"/>
      <c r="F648" s="109"/>
      <c r="G648" s="109"/>
    </row>
    <row r="649" spans="1:7" x14ac:dyDescent="0.35">
      <c r="A649" s="109"/>
      <c r="B649" s="109"/>
      <c r="C649" s="109"/>
      <c r="E649" s="109"/>
      <c r="F649" s="109"/>
      <c r="G649" s="109"/>
    </row>
    <row r="650" spans="1:7" x14ac:dyDescent="0.35">
      <c r="A650" s="109"/>
      <c r="B650" s="109"/>
      <c r="C650" s="109"/>
      <c r="E650" s="109"/>
      <c r="F650" s="109"/>
      <c r="G650" s="109"/>
    </row>
    <row r="651" spans="1:7" x14ac:dyDescent="0.35">
      <c r="A651" s="109"/>
      <c r="B651" s="109"/>
      <c r="C651" s="109"/>
      <c r="E651" s="109"/>
      <c r="F651" s="109"/>
      <c r="G651" s="109"/>
    </row>
    <row r="652" spans="1:7" x14ac:dyDescent="0.35">
      <c r="A652" s="109"/>
      <c r="B652" s="109"/>
      <c r="C652" s="109"/>
      <c r="E652" s="109"/>
      <c r="F652" s="109"/>
      <c r="G652" s="109"/>
    </row>
    <row r="653" spans="1:7" x14ac:dyDescent="0.35">
      <c r="A653" s="109"/>
      <c r="B653" s="109"/>
      <c r="C653" s="109"/>
      <c r="E653" s="109"/>
      <c r="F653" s="109"/>
      <c r="G653" s="109"/>
    </row>
    <row r="654" spans="1:7" x14ac:dyDescent="0.35">
      <c r="A654" s="109"/>
      <c r="B654" s="109"/>
      <c r="C654" s="109"/>
      <c r="E654" s="109"/>
      <c r="F654" s="109"/>
      <c r="G654" s="109"/>
    </row>
    <row r="655" spans="1:7" x14ac:dyDescent="0.35">
      <c r="A655" s="109"/>
      <c r="B655" s="109"/>
      <c r="C655" s="109"/>
      <c r="E655" s="109"/>
      <c r="F655" s="109"/>
      <c r="G655" s="109"/>
    </row>
    <row r="656" spans="1:7" x14ac:dyDescent="0.35">
      <c r="A656" s="109"/>
      <c r="B656" s="109"/>
      <c r="C656" s="109"/>
      <c r="E656" s="109"/>
      <c r="F656" s="109"/>
      <c r="G656" s="109"/>
    </row>
    <row r="657" spans="1:7" x14ac:dyDescent="0.35">
      <c r="A657" s="109"/>
      <c r="B657" s="109"/>
      <c r="C657" s="109"/>
      <c r="E657" s="109"/>
      <c r="F657" s="109"/>
      <c r="G657" s="109"/>
    </row>
    <row r="658" spans="1:7" x14ac:dyDescent="0.35">
      <c r="A658" s="109"/>
      <c r="B658" s="109"/>
      <c r="C658" s="109"/>
      <c r="E658" s="109"/>
      <c r="F658" s="109"/>
      <c r="G658" s="109"/>
    </row>
    <row r="659" spans="1:7" x14ac:dyDescent="0.35">
      <c r="A659" s="109"/>
      <c r="B659" s="109"/>
      <c r="C659" s="109"/>
      <c r="E659" s="109"/>
      <c r="F659" s="109"/>
      <c r="G659" s="109"/>
    </row>
    <row r="660" spans="1:7" x14ac:dyDescent="0.35">
      <c r="A660" s="109"/>
      <c r="B660" s="109"/>
      <c r="C660" s="109"/>
      <c r="E660" s="109"/>
      <c r="F660" s="109"/>
      <c r="G660" s="109"/>
    </row>
    <row r="661" spans="1:7" x14ac:dyDescent="0.35">
      <c r="A661" s="109"/>
      <c r="B661" s="109"/>
      <c r="C661" s="109"/>
      <c r="E661" s="109"/>
      <c r="F661" s="109"/>
      <c r="G661" s="109"/>
    </row>
    <row r="662" spans="1:7" x14ac:dyDescent="0.35">
      <c r="A662" s="109"/>
      <c r="B662" s="109"/>
      <c r="C662" s="109"/>
      <c r="E662" s="109"/>
      <c r="F662" s="109"/>
      <c r="G662" s="109"/>
    </row>
    <row r="663" spans="1:7" x14ac:dyDescent="0.35">
      <c r="A663" s="109"/>
      <c r="B663" s="109"/>
      <c r="C663" s="109"/>
      <c r="E663" s="109"/>
      <c r="F663" s="109"/>
      <c r="G663" s="109"/>
    </row>
    <row r="664" spans="1:7" x14ac:dyDescent="0.35">
      <c r="A664" s="109"/>
      <c r="B664" s="109"/>
      <c r="C664" s="109"/>
      <c r="E664" s="109"/>
      <c r="F664" s="109"/>
      <c r="G664" s="109"/>
    </row>
    <row r="665" spans="1:7" x14ac:dyDescent="0.35">
      <c r="A665" s="109"/>
      <c r="B665" s="109"/>
      <c r="C665" s="109"/>
      <c r="E665" s="109"/>
      <c r="F665" s="109"/>
      <c r="G665" s="109"/>
    </row>
    <row r="666" spans="1:7" x14ac:dyDescent="0.35">
      <c r="A666" s="109"/>
      <c r="B666" s="109"/>
      <c r="C666" s="109"/>
      <c r="E666" s="109"/>
      <c r="F666" s="109"/>
      <c r="G666" s="109"/>
    </row>
    <row r="667" spans="1:7" x14ac:dyDescent="0.35">
      <c r="A667" s="109"/>
      <c r="B667" s="109"/>
      <c r="C667" s="109"/>
      <c r="E667" s="109"/>
      <c r="F667" s="109"/>
      <c r="G667" s="109"/>
    </row>
    <row r="668" spans="1:7" x14ac:dyDescent="0.35">
      <c r="A668" s="109"/>
      <c r="B668" s="109"/>
      <c r="C668" s="109"/>
      <c r="E668" s="109"/>
      <c r="F668" s="109"/>
      <c r="G668" s="109"/>
    </row>
    <row r="669" spans="1:7" x14ac:dyDescent="0.35">
      <c r="A669" s="109"/>
      <c r="B669" s="109"/>
      <c r="C669" s="109"/>
      <c r="E669" s="109"/>
      <c r="F669" s="109"/>
      <c r="G669" s="109"/>
    </row>
    <row r="670" spans="1:7" x14ac:dyDescent="0.35">
      <c r="A670" s="109"/>
      <c r="B670" s="109"/>
      <c r="C670" s="109"/>
      <c r="E670" s="109"/>
      <c r="F670" s="109"/>
      <c r="G670" s="109"/>
    </row>
    <row r="671" spans="1:7" x14ac:dyDescent="0.35">
      <c r="A671" s="109"/>
      <c r="B671" s="109"/>
      <c r="C671" s="109"/>
      <c r="E671" s="109"/>
      <c r="F671" s="109"/>
      <c r="G671" s="109"/>
    </row>
    <row r="672" spans="1:7" x14ac:dyDescent="0.35">
      <c r="A672" s="109"/>
      <c r="B672" s="109"/>
      <c r="C672" s="109"/>
      <c r="E672" s="109"/>
      <c r="F672" s="109"/>
      <c r="G672" s="109"/>
    </row>
    <row r="673" spans="1:7" x14ac:dyDescent="0.35">
      <c r="A673" s="109"/>
      <c r="B673" s="109"/>
      <c r="C673" s="109"/>
      <c r="E673" s="109"/>
      <c r="F673" s="109"/>
      <c r="G673" s="109"/>
    </row>
    <row r="674" spans="1:7" x14ac:dyDescent="0.35">
      <c r="A674" s="109"/>
      <c r="B674" s="109"/>
      <c r="C674" s="109"/>
      <c r="E674" s="109"/>
      <c r="F674" s="109"/>
      <c r="G674" s="109"/>
    </row>
    <row r="675" spans="1:7" x14ac:dyDescent="0.35">
      <c r="A675" s="109"/>
      <c r="B675" s="109"/>
      <c r="C675" s="109"/>
      <c r="E675" s="109"/>
      <c r="F675" s="109"/>
      <c r="G675" s="109"/>
    </row>
    <row r="676" spans="1:7" x14ac:dyDescent="0.35">
      <c r="A676" s="109"/>
      <c r="B676" s="109"/>
      <c r="C676" s="109"/>
      <c r="E676" s="109"/>
      <c r="F676" s="109"/>
      <c r="G676" s="109"/>
    </row>
    <row r="677" spans="1:7" x14ac:dyDescent="0.35">
      <c r="A677" s="109"/>
      <c r="B677" s="109"/>
      <c r="C677" s="109"/>
      <c r="E677" s="109"/>
      <c r="F677" s="109"/>
      <c r="G677" s="109"/>
    </row>
    <row r="678" spans="1:7" x14ac:dyDescent="0.35">
      <c r="A678" s="109"/>
      <c r="B678" s="109"/>
      <c r="C678" s="109"/>
      <c r="E678" s="109"/>
      <c r="F678" s="109"/>
      <c r="G678" s="109"/>
    </row>
    <row r="679" spans="1:7" x14ac:dyDescent="0.35">
      <c r="A679" s="109"/>
      <c r="B679" s="109"/>
      <c r="C679" s="109"/>
      <c r="E679" s="109"/>
      <c r="F679" s="109"/>
      <c r="G679" s="109"/>
    </row>
    <row r="680" spans="1:7" x14ac:dyDescent="0.35">
      <c r="A680" s="109"/>
      <c r="B680" s="109"/>
      <c r="C680" s="109"/>
      <c r="E680" s="109"/>
      <c r="F680" s="109"/>
      <c r="G680" s="109"/>
    </row>
    <row r="681" spans="1:7" x14ac:dyDescent="0.35">
      <c r="A681" s="109"/>
      <c r="B681" s="109"/>
      <c r="C681" s="109"/>
      <c r="E681" s="109"/>
      <c r="F681" s="109"/>
      <c r="G681" s="109"/>
    </row>
    <row r="682" spans="1:7" x14ac:dyDescent="0.35">
      <c r="A682" s="109"/>
      <c r="B682" s="109"/>
      <c r="C682" s="109"/>
      <c r="E682" s="109"/>
      <c r="F682" s="109"/>
      <c r="G682" s="109"/>
    </row>
    <row r="683" spans="1:7" x14ac:dyDescent="0.35">
      <c r="A683" s="109"/>
      <c r="B683" s="109"/>
      <c r="C683" s="109"/>
      <c r="E683" s="109"/>
      <c r="F683" s="109"/>
      <c r="G683" s="109"/>
    </row>
    <row r="684" spans="1:7" x14ac:dyDescent="0.35">
      <c r="A684" s="109"/>
      <c r="B684" s="109"/>
      <c r="C684" s="109"/>
      <c r="E684" s="109"/>
      <c r="F684" s="109"/>
      <c r="G684" s="109"/>
    </row>
    <row r="685" spans="1:7" x14ac:dyDescent="0.35">
      <c r="A685" s="109"/>
      <c r="B685" s="109"/>
      <c r="C685" s="109"/>
      <c r="E685" s="109"/>
      <c r="F685" s="109"/>
      <c r="G685" s="109"/>
    </row>
    <row r="686" spans="1:7" x14ac:dyDescent="0.35">
      <c r="A686" s="109"/>
      <c r="B686" s="109"/>
      <c r="C686" s="109"/>
      <c r="E686" s="109"/>
      <c r="F686" s="109"/>
      <c r="G686" s="109"/>
    </row>
    <row r="687" spans="1:7" x14ac:dyDescent="0.35">
      <c r="A687" s="109"/>
      <c r="B687" s="109"/>
      <c r="C687" s="109"/>
      <c r="E687" s="109"/>
      <c r="F687" s="109"/>
      <c r="G687" s="109"/>
    </row>
    <row r="688" spans="1:7" x14ac:dyDescent="0.35">
      <c r="A688" s="109"/>
      <c r="B688" s="109"/>
      <c r="C688" s="109"/>
      <c r="E688" s="109"/>
      <c r="F688" s="109"/>
      <c r="G688" s="109"/>
    </row>
    <row r="689" spans="1:7" x14ac:dyDescent="0.35">
      <c r="A689" s="109"/>
      <c r="B689" s="109"/>
      <c r="C689" s="109"/>
      <c r="E689" s="109"/>
      <c r="F689" s="109"/>
      <c r="G689" s="109"/>
    </row>
    <row r="690" spans="1:7" x14ac:dyDescent="0.35">
      <c r="A690" s="109"/>
      <c r="B690" s="109"/>
      <c r="C690" s="109"/>
      <c r="E690" s="109"/>
      <c r="F690" s="109"/>
      <c r="G690" s="109"/>
    </row>
    <row r="691" spans="1:7" x14ac:dyDescent="0.35">
      <c r="A691" s="109"/>
      <c r="B691" s="109"/>
      <c r="C691" s="109"/>
      <c r="E691" s="109"/>
      <c r="F691" s="109"/>
      <c r="G691" s="109"/>
    </row>
    <row r="692" spans="1:7" x14ac:dyDescent="0.35">
      <c r="A692" s="109"/>
      <c r="B692" s="109"/>
      <c r="C692" s="109"/>
      <c r="E692" s="109"/>
      <c r="F692" s="109"/>
      <c r="G692" s="109"/>
    </row>
    <row r="693" spans="1:7" x14ac:dyDescent="0.35">
      <c r="A693" s="109"/>
      <c r="B693" s="109"/>
      <c r="C693" s="109"/>
      <c r="E693" s="109"/>
      <c r="F693" s="109"/>
      <c r="G693" s="109"/>
    </row>
    <row r="694" spans="1:7" x14ac:dyDescent="0.35">
      <c r="A694" s="109"/>
      <c r="B694" s="109"/>
      <c r="C694" s="109"/>
      <c r="E694" s="109"/>
      <c r="F694" s="109"/>
      <c r="G694" s="109"/>
    </row>
    <row r="695" spans="1:7" x14ac:dyDescent="0.35">
      <c r="A695" s="109"/>
      <c r="B695" s="109"/>
      <c r="C695" s="109"/>
      <c r="E695" s="109"/>
      <c r="F695" s="109"/>
      <c r="G695" s="109"/>
    </row>
    <row r="696" spans="1:7" x14ac:dyDescent="0.35">
      <c r="A696" s="109"/>
      <c r="B696" s="109"/>
      <c r="C696" s="109"/>
      <c r="E696" s="109"/>
      <c r="F696" s="109"/>
      <c r="G696" s="109"/>
    </row>
    <row r="697" spans="1:7" x14ac:dyDescent="0.35">
      <c r="A697" s="109"/>
      <c r="B697" s="109"/>
      <c r="C697" s="109"/>
      <c r="E697" s="109"/>
      <c r="F697" s="109"/>
      <c r="G697" s="109"/>
    </row>
    <row r="698" spans="1:7" x14ac:dyDescent="0.35">
      <c r="A698" s="109"/>
      <c r="B698" s="109"/>
      <c r="C698" s="109"/>
      <c r="E698" s="109"/>
      <c r="F698" s="109"/>
      <c r="G698" s="109"/>
    </row>
    <row r="699" spans="1:7" x14ac:dyDescent="0.35">
      <c r="A699" s="109"/>
      <c r="B699" s="109"/>
      <c r="C699" s="109"/>
      <c r="E699" s="109"/>
      <c r="F699" s="109"/>
      <c r="G699" s="109"/>
    </row>
    <row r="700" spans="1:7" x14ac:dyDescent="0.35">
      <c r="A700" s="109"/>
      <c r="B700" s="109"/>
      <c r="C700" s="109"/>
      <c r="E700" s="109"/>
      <c r="F700" s="109"/>
      <c r="G700" s="109"/>
    </row>
    <row r="701" spans="1:7" x14ac:dyDescent="0.35">
      <c r="A701" s="109"/>
      <c r="B701" s="109"/>
      <c r="C701" s="109"/>
      <c r="E701" s="109"/>
      <c r="F701" s="109"/>
      <c r="G701" s="109"/>
    </row>
    <row r="702" spans="1:7" x14ac:dyDescent="0.35">
      <c r="A702" s="109"/>
      <c r="B702" s="109"/>
      <c r="C702" s="109"/>
      <c r="E702" s="109"/>
      <c r="F702" s="109"/>
      <c r="G702" s="109"/>
    </row>
    <row r="703" spans="1:7" x14ac:dyDescent="0.35">
      <c r="A703" s="109"/>
      <c r="B703" s="109"/>
      <c r="C703" s="109"/>
      <c r="E703" s="109"/>
      <c r="F703" s="109"/>
      <c r="G703" s="109"/>
    </row>
    <row r="704" spans="1:7" x14ac:dyDescent="0.35">
      <c r="A704" s="109"/>
      <c r="B704" s="109"/>
      <c r="C704" s="109"/>
      <c r="E704" s="109"/>
      <c r="F704" s="109"/>
      <c r="G704" s="109"/>
    </row>
    <row r="705" spans="1:7" x14ac:dyDescent="0.35">
      <c r="A705" s="109"/>
      <c r="B705" s="109"/>
      <c r="C705" s="109"/>
      <c r="E705" s="109"/>
      <c r="F705" s="109"/>
      <c r="G705" s="109"/>
    </row>
    <row r="706" spans="1:7" x14ac:dyDescent="0.35">
      <c r="A706" s="109"/>
      <c r="B706" s="109"/>
      <c r="C706" s="109"/>
      <c r="E706" s="109"/>
      <c r="F706" s="109"/>
      <c r="G706" s="109"/>
    </row>
    <row r="707" spans="1:7" x14ac:dyDescent="0.35">
      <c r="A707" s="109"/>
      <c r="B707" s="109"/>
      <c r="C707" s="109"/>
      <c r="E707" s="109"/>
      <c r="F707" s="109"/>
      <c r="G707" s="109"/>
    </row>
    <row r="708" spans="1:7" x14ac:dyDescent="0.35">
      <c r="A708" s="109"/>
      <c r="B708" s="109"/>
      <c r="C708" s="109"/>
      <c r="E708" s="109"/>
      <c r="F708" s="109"/>
      <c r="G708" s="109"/>
    </row>
    <row r="709" spans="1:7" x14ac:dyDescent="0.35">
      <c r="A709" s="109"/>
      <c r="B709" s="109"/>
      <c r="C709" s="109"/>
      <c r="E709" s="109"/>
      <c r="F709" s="109"/>
      <c r="G709" s="109"/>
    </row>
    <row r="710" spans="1:7" x14ac:dyDescent="0.35">
      <c r="A710" s="109"/>
      <c r="B710" s="109"/>
      <c r="C710" s="109"/>
      <c r="E710" s="109"/>
      <c r="F710" s="109"/>
      <c r="G710" s="109"/>
    </row>
    <row r="711" spans="1:7" x14ac:dyDescent="0.35">
      <c r="A711" s="109"/>
      <c r="B711" s="109"/>
      <c r="C711" s="109"/>
      <c r="E711" s="109"/>
      <c r="F711" s="109"/>
      <c r="G711" s="109"/>
    </row>
    <row r="712" spans="1:7" x14ac:dyDescent="0.35">
      <c r="A712" s="109"/>
      <c r="B712" s="109"/>
      <c r="C712" s="109"/>
      <c r="E712" s="109"/>
      <c r="F712" s="109"/>
      <c r="G712" s="109"/>
    </row>
    <row r="713" spans="1:7" x14ac:dyDescent="0.35">
      <c r="A713" s="109"/>
      <c r="B713" s="109"/>
      <c r="C713" s="109"/>
      <c r="E713" s="109"/>
      <c r="F713" s="109"/>
      <c r="G713" s="109"/>
    </row>
    <row r="714" spans="1:7" x14ac:dyDescent="0.35">
      <c r="A714" s="109"/>
      <c r="B714" s="109"/>
      <c r="C714" s="109"/>
      <c r="E714" s="109"/>
      <c r="F714" s="109"/>
      <c r="G714" s="109"/>
    </row>
    <row r="715" spans="1:7" x14ac:dyDescent="0.35">
      <c r="A715" s="109"/>
      <c r="B715" s="109"/>
      <c r="C715" s="109"/>
      <c r="E715" s="109"/>
      <c r="F715" s="109"/>
      <c r="G715" s="109"/>
    </row>
    <row r="716" spans="1:7" x14ac:dyDescent="0.35">
      <c r="A716" s="109"/>
      <c r="B716" s="109"/>
      <c r="C716" s="109"/>
      <c r="E716" s="109"/>
      <c r="F716" s="109"/>
      <c r="G716" s="109"/>
    </row>
    <row r="717" spans="1:7" x14ac:dyDescent="0.35">
      <c r="A717" s="109"/>
      <c r="B717" s="109"/>
      <c r="C717" s="109"/>
      <c r="E717" s="109"/>
      <c r="F717" s="109"/>
      <c r="G717" s="109"/>
    </row>
    <row r="718" spans="1:7" x14ac:dyDescent="0.35">
      <c r="A718" s="109"/>
      <c r="B718" s="109"/>
      <c r="C718" s="109"/>
      <c r="E718" s="109"/>
      <c r="F718" s="109"/>
      <c r="G718" s="109"/>
    </row>
    <row r="719" spans="1:7" x14ac:dyDescent="0.35">
      <c r="A719" s="109"/>
      <c r="B719" s="109"/>
      <c r="C719" s="109"/>
      <c r="E719" s="109"/>
      <c r="F719" s="109"/>
      <c r="G719" s="109"/>
    </row>
    <row r="720" spans="1:7" x14ac:dyDescent="0.35">
      <c r="A720" s="109"/>
      <c r="B720" s="109"/>
      <c r="C720" s="109"/>
      <c r="E720" s="109"/>
      <c r="F720" s="109"/>
      <c r="G720" s="109"/>
    </row>
    <row r="721" spans="1:7" x14ac:dyDescent="0.35">
      <c r="A721" s="109"/>
      <c r="B721" s="109"/>
      <c r="C721" s="109"/>
      <c r="E721" s="109"/>
      <c r="F721" s="109"/>
      <c r="G721" s="109"/>
    </row>
    <row r="722" spans="1:7" x14ac:dyDescent="0.35">
      <c r="A722" s="109"/>
      <c r="B722" s="109"/>
      <c r="C722" s="109"/>
      <c r="E722" s="109"/>
      <c r="F722" s="109"/>
      <c r="G722" s="109"/>
    </row>
    <row r="723" spans="1:7" x14ac:dyDescent="0.35">
      <c r="A723" s="109"/>
      <c r="B723" s="109"/>
      <c r="C723" s="109"/>
      <c r="E723" s="109"/>
      <c r="F723" s="109"/>
      <c r="G723" s="109"/>
    </row>
    <row r="724" spans="1:7" x14ac:dyDescent="0.35">
      <c r="A724" s="109"/>
      <c r="B724" s="109"/>
      <c r="C724" s="109"/>
      <c r="E724" s="109"/>
      <c r="F724" s="109"/>
      <c r="G724" s="109"/>
    </row>
    <row r="725" spans="1:7" x14ac:dyDescent="0.35">
      <c r="A725" s="109"/>
      <c r="B725" s="109"/>
      <c r="C725" s="109"/>
      <c r="E725" s="109"/>
      <c r="F725" s="109"/>
      <c r="G725" s="109"/>
    </row>
    <row r="726" spans="1:7" x14ac:dyDescent="0.35">
      <c r="A726" s="109"/>
      <c r="B726" s="109"/>
      <c r="C726" s="109"/>
      <c r="E726" s="109"/>
      <c r="F726" s="109"/>
      <c r="G726" s="109"/>
    </row>
    <row r="727" spans="1:7" x14ac:dyDescent="0.35">
      <c r="A727" s="109"/>
      <c r="B727" s="109"/>
      <c r="C727" s="109"/>
      <c r="E727" s="109"/>
      <c r="F727" s="109"/>
      <c r="G727" s="109"/>
    </row>
    <row r="728" spans="1:7" x14ac:dyDescent="0.35">
      <c r="A728" s="109"/>
      <c r="B728" s="109"/>
      <c r="C728" s="109"/>
      <c r="E728" s="109"/>
      <c r="F728" s="109"/>
      <c r="G728" s="109"/>
    </row>
    <row r="729" spans="1:7" x14ac:dyDescent="0.35">
      <c r="A729" s="109"/>
      <c r="B729" s="109"/>
      <c r="C729" s="109"/>
      <c r="E729" s="109"/>
      <c r="F729" s="109"/>
      <c r="G729" s="109"/>
    </row>
    <row r="730" spans="1:7" x14ac:dyDescent="0.35">
      <c r="A730" s="109"/>
      <c r="B730" s="109"/>
      <c r="C730" s="109"/>
      <c r="E730" s="109"/>
      <c r="F730" s="109"/>
      <c r="G730" s="109"/>
    </row>
    <row r="731" spans="1:7" x14ac:dyDescent="0.35">
      <c r="A731" s="109"/>
      <c r="B731" s="109"/>
      <c r="C731" s="109"/>
      <c r="E731" s="109"/>
      <c r="F731" s="109"/>
      <c r="G731" s="109"/>
    </row>
    <row r="732" spans="1:7" x14ac:dyDescent="0.35">
      <c r="A732" s="109"/>
      <c r="B732" s="109"/>
      <c r="C732" s="109"/>
      <c r="E732" s="109"/>
      <c r="F732" s="109"/>
      <c r="G732" s="109"/>
    </row>
    <row r="733" spans="1:7" x14ac:dyDescent="0.35">
      <c r="A733" s="109"/>
      <c r="B733" s="109"/>
      <c r="C733" s="109"/>
      <c r="E733" s="109"/>
      <c r="F733" s="109"/>
      <c r="G733" s="109"/>
    </row>
    <row r="734" spans="1:7" x14ac:dyDescent="0.35">
      <c r="A734" s="109"/>
      <c r="B734" s="109"/>
      <c r="C734" s="109"/>
      <c r="E734" s="109"/>
      <c r="F734" s="109"/>
      <c r="G734" s="109"/>
    </row>
    <row r="735" spans="1:7" x14ac:dyDescent="0.35">
      <c r="A735" s="109"/>
      <c r="B735" s="109"/>
      <c r="C735" s="109"/>
      <c r="E735" s="109"/>
      <c r="F735" s="109"/>
      <c r="G735" s="109"/>
    </row>
    <row r="736" spans="1:7" x14ac:dyDescent="0.35">
      <c r="A736" s="109"/>
      <c r="B736" s="109"/>
      <c r="C736" s="109"/>
      <c r="E736" s="109"/>
      <c r="F736" s="109"/>
      <c r="G736" s="109"/>
    </row>
    <row r="737" spans="1:7" x14ac:dyDescent="0.35">
      <c r="A737" s="109"/>
      <c r="B737" s="109"/>
      <c r="C737" s="109"/>
      <c r="E737" s="109"/>
      <c r="F737" s="109"/>
      <c r="G737" s="109"/>
    </row>
    <row r="738" spans="1:7" x14ac:dyDescent="0.35">
      <c r="A738" s="109"/>
      <c r="B738" s="109"/>
      <c r="C738" s="109"/>
      <c r="E738" s="109"/>
      <c r="F738" s="109"/>
      <c r="G738" s="109"/>
    </row>
    <row r="739" spans="1:7" x14ac:dyDescent="0.35">
      <c r="A739" s="109"/>
      <c r="B739" s="109"/>
      <c r="C739" s="109"/>
      <c r="E739" s="109"/>
      <c r="F739" s="109"/>
      <c r="G739" s="109"/>
    </row>
    <row r="740" spans="1:7" x14ac:dyDescent="0.35">
      <c r="A740" s="109"/>
      <c r="B740" s="109"/>
      <c r="C740" s="109"/>
      <c r="E740" s="109"/>
      <c r="F740" s="109"/>
      <c r="G740" s="109"/>
    </row>
    <row r="741" spans="1:7" x14ac:dyDescent="0.35">
      <c r="A741" s="109"/>
      <c r="B741" s="109"/>
      <c r="C741" s="109"/>
      <c r="E741" s="109"/>
      <c r="F741" s="109"/>
      <c r="G741" s="109"/>
    </row>
    <row r="742" spans="1:7" x14ac:dyDescent="0.35">
      <c r="A742" s="109"/>
      <c r="B742" s="109"/>
      <c r="C742" s="109"/>
      <c r="E742" s="109"/>
      <c r="F742" s="109"/>
      <c r="G742" s="109"/>
    </row>
    <row r="743" spans="1:7" x14ac:dyDescent="0.35">
      <c r="A743" s="109"/>
      <c r="B743" s="109"/>
      <c r="C743" s="109"/>
      <c r="E743" s="109"/>
      <c r="F743" s="109"/>
      <c r="G743" s="109"/>
    </row>
    <row r="744" spans="1:7" x14ac:dyDescent="0.35">
      <c r="A744" s="109"/>
      <c r="B744" s="109"/>
      <c r="C744" s="109"/>
      <c r="E744" s="109"/>
      <c r="F744" s="109"/>
      <c r="G744" s="109"/>
    </row>
    <row r="745" spans="1:7" x14ac:dyDescent="0.35">
      <c r="A745" s="109"/>
      <c r="B745" s="109"/>
      <c r="C745" s="109"/>
      <c r="E745" s="109"/>
      <c r="F745" s="109"/>
      <c r="G745" s="109"/>
    </row>
    <row r="746" spans="1:7" x14ac:dyDescent="0.35">
      <c r="A746" s="109"/>
      <c r="B746" s="109"/>
      <c r="C746" s="109"/>
      <c r="E746" s="109"/>
      <c r="F746" s="109"/>
      <c r="G746" s="109"/>
    </row>
    <row r="747" spans="1:7" x14ac:dyDescent="0.35">
      <c r="A747" s="109"/>
      <c r="B747" s="109"/>
      <c r="C747" s="109"/>
      <c r="E747" s="109"/>
      <c r="F747" s="109"/>
      <c r="G747" s="109"/>
    </row>
    <row r="748" spans="1:7" x14ac:dyDescent="0.35">
      <c r="A748" s="109"/>
      <c r="B748" s="109"/>
      <c r="C748" s="109"/>
      <c r="E748" s="109"/>
      <c r="F748" s="109"/>
      <c r="G748" s="109"/>
    </row>
    <row r="749" spans="1:7" x14ac:dyDescent="0.35">
      <c r="A749" s="109"/>
      <c r="B749" s="109"/>
      <c r="C749" s="109"/>
      <c r="E749" s="109"/>
      <c r="F749" s="109"/>
      <c r="G749" s="109"/>
    </row>
    <row r="750" spans="1:7" x14ac:dyDescent="0.35">
      <c r="A750" s="109"/>
      <c r="B750" s="109"/>
      <c r="C750" s="109"/>
      <c r="E750" s="109"/>
      <c r="F750" s="109"/>
      <c r="G750" s="109"/>
    </row>
    <row r="751" spans="1:7" x14ac:dyDescent="0.35">
      <c r="A751" s="109"/>
      <c r="B751" s="109"/>
      <c r="C751" s="109"/>
      <c r="E751" s="109"/>
      <c r="F751" s="109"/>
      <c r="G751" s="109"/>
    </row>
    <row r="752" spans="1:7" x14ac:dyDescent="0.35">
      <c r="A752" s="109"/>
      <c r="B752" s="109"/>
      <c r="C752" s="109"/>
      <c r="E752" s="109"/>
      <c r="F752" s="109"/>
      <c r="G752" s="109"/>
    </row>
    <row r="753" spans="1:7" x14ac:dyDescent="0.35">
      <c r="A753" s="109"/>
      <c r="B753" s="109"/>
      <c r="C753" s="109"/>
      <c r="E753" s="109"/>
      <c r="F753" s="109"/>
      <c r="G753" s="109"/>
    </row>
    <row r="754" spans="1:7" x14ac:dyDescent="0.35">
      <c r="A754" s="109"/>
      <c r="B754" s="109"/>
      <c r="C754" s="109"/>
      <c r="E754" s="109"/>
      <c r="F754" s="109"/>
      <c r="G754" s="109"/>
    </row>
    <row r="755" spans="1:7" x14ac:dyDescent="0.35">
      <c r="A755" s="109"/>
      <c r="B755" s="109"/>
      <c r="C755" s="109"/>
      <c r="E755" s="109"/>
      <c r="F755" s="109"/>
      <c r="G755" s="109"/>
    </row>
    <row r="756" spans="1:7" x14ac:dyDescent="0.35">
      <c r="A756" s="109"/>
      <c r="B756" s="109"/>
      <c r="C756" s="109"/>
      <c r="E756" s="109"/>
      <c r="F756" s="109"/>
      <c r="G756" s="109"/>
    </row>
    <row r="757" spans="1:7" x14ac:dyDescent="0.35">
      <c r="A757" s="109"/>
      <c r="B757" s="109"/>
      <c r="C757" s="109"/>
      <c r="E757" s="109"/>
      <c r="F757" s="109"/>
      <c r="G757" s="109"/>
    </row>
    <row r="758" spans="1:7" x14ac:dyDescent="0.35">
      <c r="A758" s="109"/>
      <c r="B758" s="109"/>
      <c r="C758" s="109"/>
      <c r="E758" s="109"/>
      <c r="F758" s="109"/>
      <c r="G758" s="109"/>
    </row>
    <row r="759" spans="1:7" x14ac:dyDescent="0.35">
      <c r="A759" s="109"/>
      <c r="B759" s="109"/>
      <c r="C759" s="109"/>
      <c r="E759" s="109"/>
      <c r="F759" s="109"/>
      <c r="G759" s="109"/>
    </row>
    <row r="760" spans="1:7" x14ac:dyDescent="0.35">
      <c r="A760" s="109"/>
      <c r="B760" s="109"/>
      <c r="C760" s="109"/>
      <c r="E760" s="109"/>
      <c r="F760" s="109"/>
      <c r="G760" s="109"/>
    </row>
    <row r="761" spans="1:7" x14ac:dyDescent="0.35">
      <c r="A761" s="109"/>
      <c r="B761" s="109"/>
      <c r="C761" s="109"/>
      <c r="E761" s="109"/>
      <c r="F761" s="109"/>
      <c r="G761" s="109"/>
    </row>
    <row r="762" spans="1:7" x14ac:dyDescent="0.35">
      <c r="A762" s="109"/>
      <c r="B762" s="109"/>
      <c r="C762" s="109"/>
      <c r="E762" s="109"/>
      <c r="F762" s="109"/>
      <c r="G762" s="109"/>
    </row>
    <row r="763" spans="1:7" x14ac:dyDescent="0.35">
      <c r="A763" s="109"/>
      <c r="B763" s="109"/>
      <c r="C763" s="109"/>
      <c r="E763" s="109"/>
      <c r="F763" s="109"/>
      <c r="G763" s="109"/>
    </row>
    <row r="764" spans="1:7" x14ac:dyDescent="0.35">
      <c r="A764" s="109"/>
      <c r="B764" s="109"/>
      <c r="C764" s="109"/>
      <c r="E764" s="109"/>
      <c r="F764" s="109"/>
      <c r="G764" s="109"/>
    </row>
    <row r="765" spans="1:7" x14ac:dyDescent="0.35">
      <c r="A765" s="109"/>
      <c r="B765" s="109"/>
      <c r="C765" s="109"/>
      <c r="E765" s="109"/>
      <c r="F765" s="109"/>
      <c r="G765" s="109"/>
    </row>
    <row r="766" spans="1:7" x14ac:dyDescent="0.35">
      <c r="A766" s="109"/>
      <c r="B766" s="109"/>
      <c r="C766" s="109"/>
      <c r="E766" s="109"/>
      <c r="F766" s="109"/>
      <c r="G766" s="109"/>
    </row>
    <row r="767" spans="1:7" x14ac:dyDescent="0.35">
      <c r="A767" s="109"/>
      <c r="B767" s="109"/>
      <c r="C767" s="109"/>
      <c r="E767" s="109"/>
      <c r="F767" s="109"/>
      <c r="G767" s="109"/>
    </row>
    <row r="768" spans="1:7" x14ac:dyDescent="0.35">
      <c r="A768" s="109"/>
      <c r="B768" s="109"/>
      <c r="C768" s="109"/>
      <c r="E768" s="109"/>
      <c r="F768" s="109"/>
      <c r="G768" s="109"/>
    </row>
    <row r="769" spans="1:7" x14ac:dyDescent="0.35">
      <c r="A769" s="109"/>
      <c r="B769" s="109"/>
      <c r="C769" s="109"/>
      <c r="E769" s="109"/>
      <c r="F769" s="109"/>
      <c r="G769" s="109"/>
    </row>
    <row r="770" spans="1:7" x14ac:dyDescent="0.35">
      <c r="A770" s="109"/>
      <c r="B770" s="109"/>
      <c r="C770" s="109"/>
      <c r="E770" s="109"/>
      <c r="F770" s="109"/>
      <c r="G770" s="109"/>
    </row>
    <row r="771" spans="1:7" x14ac:dyDescent="0.35">
      <c r="A771" s="109"/>
      <c r="B771" s="109"/>
      <c r="C771" s="109"/>
      <c r="E771" s="109"/>
      <c r="F771" s="109"/>
      <c r="G771" s="109"/>
    </row>
    <row r="772" spans="1:7" x14ac:dyDescent="0.35">
      <c r="A772" s="109"/>
      <c r="B772" s="109"/>
      <c r="C772" s="109"/>
      <c r="E772" s="109"/>
      <c r="F772" s="109"/>
      <c r="G772" s="109"/>
    </row>
    <row r="773" spans="1:7" x14ac:dyDescent="0.35">
      <c r="A773" s="109"/>
      <c r="B773" s="109"/>
      <c r="C773" s="109"/>
      <c r="E773" s="109"/>
      <c r="F773" s="109"/>
      <c r="G773" s="109"/>
    </row>
    <row r="774" spans="1:7" x14ac:dyDescent="0.35">
      <c r="A774" s="109"/>
      <c r="B774" s="109"/>
      <c r="C774" s="109"/>
      <c r="E774" s="109"/>
      <c r="F774" s="109"/>
      <c r="G774" s="109"/>
    </row>
    <row r="775" spans="1:7" x14ac:dyDescent="0.35">
      <c r="A775" s="109"/>
      <c r="B775" s="109"/>
      <c r="C775" s="109"/>
      <c r="E775" s="109"/>
      <c r="F775" s="109"/>
      <c r="G775" s="109"/>
    </row>
    <row r="776" spans="1:7" x14ac:dyDescent="0.35">
      <c r="A776" s="109"/>
      <c r="B776" s="109"/>
      <c r="C776" s="109"/>
      <c r="E776" s="109"/>
      <c r="F776" s="109"/>
      <c r="G776" s="109"/>
    </row>
    <row r="777" spans="1:7" x14ac:dyDescent="0.35">
      <c r="A777" s="109"/>
      <c r="B777" s="109"/>
      <c r="C777" s="109"/>
      <c r="E777" s="109"/>
      <c r="F777" s="109"/>
      <c r="G777" s="109"/>
    </row>
    <row r="778" spans="1:7" x14ac:dyDescent="0.35">
      <c r="A778" s="109"/>
      <c r="B778" s="109"/>
      <c r="C778" s="109"/>
      <c r="E778" s="109"/>
      <c r="F778" s="109"/>
      <c r="G778" s="109"/>
    </row>
    <row r="779" spans="1:7" x14ac:dyDescent="0.35">
      <c r="A779" s="109"/>
      <c r="B779" s="109"/>
      <c r="C779" s="109"/>
      <c r="E779" s="109"/>
      <c r="F779" s="109"/>
      <c r="G779" s="109"/>
    </row>
    <row r="780" spans="1:7" x14ac:dyDescent="0.35">
      <c r="A780" s="109"/>
      <c r="B780" s="109"/>
      <c r="C780" s="109"/>
      <c r="E780" s="109"/>
      <c r="F780" s="109"/>
      <c r="G780" s="109"/>
    </row>
    <row r="781" spans="1:7" x14ac:dyDescent="0.35">
      <c r="A781" s="109"/>
      <c r="B781" s="109"/>
      <c r="C781" s="109"/>
      <c r="E781" s="109"/>
      <c r="F781" s="109"/>
      <c r="G781" s="109"/>
    </row>
    <row r="782" spans="1:7" x14ac:dyDescent="0.35">
      <c r="A782" s="109"/>
      <c r="B782" s="109"/>
      <c r="C782" s="109"/>
      <c r="E782" s="109"/>
      <c r="F782" s="109"/>
      <c r="G782" s="109"/>
    </row>
    <row r="783" spans="1:7" x14ac:dyDescent="0.35">
      <c r="A783" s="109"/>
      <c r="B783" s="109"/>
      <c r="C783" s="109"/>
      <c r="E783" s="109"/>
      <c r="F783" s="109"/>
      <c r="G783" s="109"/>
    </row>
    <row r="784" spans="1:7" x14ac:dyDescent="0.35">
      <c r="A784" s="109"/>
      <c r="B784" s="109"/>
      <c r="C784" s="109"/>
      <c r="E784" s="109"/>
      <c r="F784" s="109"/>
      <c r="G784" s="109"/>
    </row>
    <row r="785" spans="1:7" x14ac:dyDescent="0.35">
      <c r="A785" s="109"/>
      <c r="B785" s="109"/>
      <c r="C785" s="109"/>
      <c r="E785" s="109"/>
      <c r="F785" s="109"/>
      <c r="G785" s="109"/>
    </row>
    <row r="786" spans="1:7" x14ac:dyDescent="0.35">
      <c r="A786" s="109"/>
      <c r="B786" s="109"/>
      <c r="C786" s="109"/>
      <c r="E786" s="109"/>
      <c r="F786" s="109"/>
      <c r="G786" s="109"/>
    </row>
    <row r="787" spans="1:7" x14ac:dyDescent="0.35">
      <c r="A787" s="109"/>
      <c r="B787" s="109"/>
      <c r="C787" s="109"/>
      <c r="E787" s="109"/>
      <c r="F787" s="109"/>
      <c r="G787" s="109"/>
    </row>
    <row r="788" spans="1:7" x14ac:dyDescent="0.35">
      <c r="A788" s="109"/>
      <c r="B788" s="109"/>
      <c r="C788" s="109"/>
      <c r="E788" s="109"/>
      <c r="F788" s="109"/>
      <c r="G788" s="109"/>
    </row>
    <row r="789" spans="1:7" x14ac:dyDescent="0.35">
      <c r="A789" s="109"/>
      <c r="B789" s="109"/>
      <c r="C789" s="109"/>
      <c r="E789" s="109"/>
      <c r="F789" s="109"/>
      <c r="G789" s="109"/>
    </row>
    <row r="790" spans="1:7" x14ac:dyDescent="0.35">
      <c r="A790" s="109"/>
      <c r="B790" s="109"/>
      <c r="C790" s="109"/>
      <c r="E790" s="109"/>
      <c r="F790" s="109"/>
      <c r="G790" s="109"/>
    </row>
    <row r="791" spans="1:7" x14ac:dyDescent="0.35">
      <c r="A791" s="109"/>
      <c r="B791" s="109"/>
      <c r="C791" s="109"/>
      <c r="E791" s="109"/>
      <c r="F791" s="109"/>
      <c r="G791" s="109"/>
    </row>
    <row r="792" spans="1:7" x14ac:dyDescent="0.35">
      <c r="A792" s="109"/>
      <c r="B792" s="109"/>
      <c r="C792" s="109"/>
      <c r="E792" s="109"/>
      <c r="F792" s="109"/>
      <c r="G792" s="109"/>
    </row>
    <row r="793" spans="1:7" x14ac:dyDescent="0.35">
      <c r="A793" s="109"/>
      <c r="B793" s="109"/>
      <c r="C793" s="109"/>
      <c r="E793" s="109"/>
      <c r="F793" s="109"/>
      <c r="G793" s="109"/>
    </row>
    <row r="794" spans="1:7" x14ac:dyDescent="0.35">
      <c r="A794" s="109"/>
      <c r="B794" s="109"/>
      <c r="C794" s="109"/>
      <c r="E794" s="109"/>
      <c r="F794" s="109"/>
      <c r="G794" s="109"/>
    </row>
    <row r="795" spans="1:7" x14ac:dyDescent="0.35">
      <c r="A795" s="109"/>
      <c r="B795" s="109"/>
      <c r="C795" s="109"/>
      <c r="E795" s="109"/>
      <c r="F795" s="109"/>
      <c r="G795" s="109"/>
    </row>
    <row r="796" spans="1:7" x14ac:dyDescent="0.35">
      <c r="A796" s="109"/>
      <c r="B796" s="109"/>
      <c r="C796" s="109"/>
      <c r="E796" s="109"/>
      <c r="F796" s="109"/>
      <c r="G796" s="109"/>
    </row>
    <row r="797" spans="1:7" x14ac:dyDescent="0.35">
      <c r="A797" s="109"/>
      <c r="B797" s="109"/>
      <c r="C797" s="109"/>
      <c r="E797" s="109"/>
      <c r="F797" s="109"/>
      <c r="G797" s="109"/>
    </row>
    <row r="798" spans="1:7" x14ac:dyDescent="0.35">
      <c r="A798" s="109"/>
      <c r="B798" s="109"/>
      <c r="C798" s="109"/>
      <c r="E798" s="109"/>
      <c r="F798" s="109"/>
      <c r="G798" s="109"/>
    </row>
    <row r="799" spans="1:7" x14ac:dyDescent="0.35">
      <c r="A799" s="109"/>
      <c r="B799" s="109"/>
      <c r="C799" s="109"/>
      <c r="E799" s="109"/>
      <c r="F799" s="109"/>
      <c r="G799" s="109"/>
    </row>
    <row r="800" spans="1:7" x14ac:dyDescent="0.35">
      <c r="A800" s="109"/>
      <c r="B800" s="109"/>
      <c r="C800" s="109"/>
      <c r="E800" s="109"/>
      <c r="F800" s="109"/>
      <c r="G800" s="109"/>
    </row>
    <row r="801" spans="1:7" x14ac:dyDescent="0.35">
      <c r="A801" s="109"/>
      <c r="B801" s="109"/>
      <c r="C801" s="109"/>
      <c r="E801" s="109"/>
      <c r="F801" s="109"/>
      <c r="G801" s="109"/>
    </row>
    <row r="802" spans="1:7" x14ac:dyDescent="0.35">
      <c r="A802" s="109"/>
      <c r="B802" s="109"/>
      <c r="C802" s="109"/>
      <c r="E802" s="109"/>
      <c r="F802" s="109"/>
      <c r="G802" s="109"/>
    </row>
    <row r="803" spans="1:7" x14ac:dyDescent="0.35">
      <c r="A803" s="109"/>
      <c r="B803" s="109"/>
      <c r="C803" s="109"/>
      <c r="E803" s="109"/>
      <c r="F803" s="109"/>
      <c r="G803" s="109"/>
    </row>
    <row r="804" spans="1:7" x14ac:dyDescent="0.35">
      <c r="A804" s="109"/>
      <c r="B804" s="109"/>
      <c r="C804" s="109"/>
      <c r="E804" s="109"/>
      <c r="F804" s="109"/>
      <c r="G804" s="109"/>
    </row>
    <row r="805" spans="1:7" x14ac:dyDescent="0.35">
      <c r="A805" s="109"/>
      <c r="B805" s="109"/>
      <c r="C805" s="109"/>
      <c r="E805" s="109"/>
      <c r="F805" s="109"/>
      <c r="G805" s="109"/>
    </row>
    <row r="806" spans="1:7" x14ac:dyDescent="0.35">
      <c r="A806" s="109"/>
      <c r="B806" s="109"/>
      <c r="C806" s="109"/>
      <c r="E806" s="109"/>
      <c r="F806" s="109"/>
      <c r="G806" s="109"/>
    </row>
    <row r="807" spans="1:7" x14ac:dyDescent="0.35">
      <c r="A807" s="109"/>
      <c r="B807" s="109"/>
      <c r="C807" s="109"/>
      <c r="E807" s="109"/>
      <c r="F807" s="109"/>
      <c r="G807" s="109"/>
    </row>
    <row r="808" spans="1:7" x14ac:dyDescent="0.35">
      <c r="A808" s="109"/>
      <c r="B808" s="109"/>
      <c r="C808" s="109"/>
      <c r="E808" s="109"/>
      <c r="F808" s="109"/>
      <c r="G808" s="109"/>
    </row>
    <row r="809" spans="1:7" x14ac:dyDescent="0.35">
      <c r="A809" s="109"/>
      <c r="B809" s="109"/>
      <c r="C809" s="109"/>
      <c r="E809" s="109"/>
      <c r="F809" s="109"/>
      <c r="G809" s="109"/>
    </row>
    <row r="810" spans="1:7" x14ac:dyDescent="0.35">
      <c r="A810" s="109"/>
      <c r="B810" s="109"/>
      <c r="C810" s="109"/>
      <c r="E810" s="109"/>
      <c r="F810" s="109"/>
      <c r="G810" s="109"/>
    </row>
    <row r="811" spans="1:7" x14ac:dyDescent="0.35">
      <c r="A811" s="109"/>
      <c r="B811" s="109"/>
      <c r="C811" s="109"/>
      <c r="E811" s="109"/>
      <c r="F811" s="109"/>
      <c r="G811" s="109"/>
    </row>
    <row r="812" spans="1:7" x14ac:dyDescent="0.35">
      <c r="A812" s="109"/>
      <c r="B812" s="109"/>
      <c r="C812" s="109"/>
      <c r="E812" s="109"/>
      <c r="F812" s="109"/>
      <c r="G812" s="109"/>
    </row>
    <row r="813" spans="1:7" x14ac:dyDescent="0.35">
      <c r="A813" s="109"/>
      <c r="B813" s="109"/>
      <c r="C813" s="109"/>
      <c r="E813" s="109"/>
      <c r="F813" s="109"/>
      <c r="G813" s="109"/>
    </row>
    <row r="814" spans="1:7" x14ac:dyDescent="0.35">
      <c r="A814" s="109"/>
      <c r="B814" s="109"/>
      <c r="C814" s="109"/>
      <c r="E814" s="109"/>
      <c r="F814" s="109"/>
      <c r="G814" s="109"/>
    </row>
    <row r="815" spans="1:7" x14ac:dyDescent="0.35">
      <c r="A815" s="109"/>
      <c r="B815" s="109"/>
      <c r="C815" s="109"/>
      <c r="E815" s="109"/>
      <c r="F815" s="109"/>
      <c r="G815" s="109"/>
    </row>
    <row r="816" spans="1:7" x14ac:dyDescent="0.35">
      <c r="A816" s="109"/>
      <c r="B816" s="109"/>
      <c r="C816" s="109"/>
      <c r="E816" s="109"/>
      <c r="F816" s="109"/>
      <c r="G816" s="109"/>
    </row>
    <row r="817" spans="1:7" x14ac:dyDescent="0.35">
      <c r="A817" s="109"/>
      <c r="B817" s="109"/>
      <c r="C817" s="109"/>
      <c r="E817" s="109"/>
      <c r="F817" s="109"/>
      <c r="G817" s="109"/>
    </row>
    <row r="818" spans="1:7" x14ac:dyDescent="0.35">
      <c r="A818" s="109"/>
      <c r="B818" s="109"/>
      <c r="C818" s="109"/>
      <c r="E818" s="109"/>
      <c r="F818" s="109"/>
      <c r="G818" s="109"/>
    </row>
    <row r="819" spans="1:7" x14ac:dyDescent="0.35">
      <c r="A819" s="109"/>
      <c r="B819" s="109"/>
      <c r="C819" s="109"/>
      <c r="E819" s="109"/>
      <c r="F819" s="109"/>
      <c r="G819" s="109"/>
    </row>
    <row r="820" spans="1:7" x14ac:dyDescent="0.35">
      <c r="A820" s="109"/>
      <c r="B820" s="109"/>
      <c r="C820" s="109"/>
      <c r="E820" s="109"/>
      <c r="F820" s="109"/>
      <c r="G820" s="109"/>
    </row>
    <row r="821" spans="1:7" x14ac:dyDescent="0.35">
      <c r="A821" s="109"/>
      <c r="B821" s="109"/>
      <c r="C821" s="109"/>
      <c r="E821" s="109"/>
      <c r="F821" s="109"/>
      <c r="G821" s="109"/>
    </row>
    <row r="822" spans="1:7" x14ac:dyDescent="0.35">
      <c r="A822" s="109"/>
      <c r="B822" s="109"/>
      <c r="C822" s="109"/>
      <c r="E822" s="109"/>
      <c r="F822" s="109"/>
      <c r="G822" s="109"/>
    </row>
    <row r="823" spans="1:7" x14ac:dyDescent="0.35">
      <c r="A823" s="109"/>
      <c r="B823" s="109"/>
      <c r="C823" s="109"/>
      <c r="E823" s="109"/>
      <c r="F823" s="109"/>
      <c r="G823" s="109"/>
    </row>
    <row r="824" spans="1:7" x14ac:dyDescent="0.35">
      <c r="A824" s="109"/>
      <c r="B824" s="109"/>
      <c r="C824" s="109"/>
      <c r="E824" s="109"/>
      <c r="F824" s="109"/>
      <c r="G824" s="109"/>
    </row>
    <row r="825" spans="1:7" x14ac:dyDescent="0.35">
      <c r="A825" s="109"/>
      <c r="B825" s="109"/>
      <c r="C825" s="109"/>
      <c r="E825" s="109"/>
      <c r="F825" s="109"/>
      <c r="G825" s="109"/>
    </row>
    <row r="826" spans="1:7" x14ac:dyDescent="0.35">
      <c r="A826" s="109"/>
      <c r="B826" s="109"/>
      <c r="C826" s="109"/>
      <c r="E826" s="109"/>
      <c r="F826" s="109"/>
      <c r="G826" s="109"/>
    </row>
    <row r="827" spans="1:7" x14ac:dyDescent="0.35">
      <c r="A827" s="109"/>
      <c r="B827" s="109"/>
      <c r="C827" s="109"/>
      <c r="E827" s="109"/>
      <c r="F827" s="109"/>
      <c r="G827" s="109"/>
    </row>
    <row r="828" spans="1:7" x14ac:dyDescent="0.35">
      <c r="A828" s="109"/>
      <c r="B828" s="109"/>
      <c r="C828" s="109"/>
      <c r="E828" s="109"/>
      <c r="F828" s="109"/>
      <c r="G828" s="109"/>
    </row>
    <row r="829" spans="1:7" x14ac:dyDescent="0.35">
      <c r="A829" s="109"/>
      <c r="B829" s="109"/>
      <c r="C829" s="109"/>
      <c r="E829" s="109"/>
      <c r="F829" s="109"/>
      <c r="G829" s="109"/>
    </row>
    <row r="830" spans="1:7" x14ac:dyDescent="0.35">
      <c r="A830" s="109"/>
      <c r="B830" s="109"/>
      <c r="C830" s="109"/>
      <c r="E830" s="109"/>
      <c r="F830" s="109"/>
      <c r="G830" s="109"/>
    </row>
    <row r="831" spans="1:7" x14ac:dyDescent="0.35">
      <c r="A831" s="109"/>
      <c r="B831" s="109"/>
      <c r="C831" s="109"/>
      <c r="E831" s="109"/>
      <c r="F831" s="109"/>
      <c r="G831" s="109"/>
    </row>
    <row r="832" spans="1:7" x14ac:dyDescent="0.35">
      <c r="A832" s="109"/>
      <c r="B832" s="109"/>
      <c r="C832" s="109"/>
      <c r="E832" s="109"/>
      <c r="F832" s="109"/>
      <c r="G832" s="109"/>
    </row>
    <row r="833" spans="1:7" x14ac:dyDescent="0.35">
      <c r="A833" s="109"/>
      <c r="B833" s="109"/>
      <c r="C833" s="109"/>
      <c r="E833" s="109"/>
      <c r="F833" s="109"/>
      <c r="G833" s="109"/>
    </row>
    <row r="834" spans="1:7" x14ac:dyDescent="0.35">
      <c r="A834" s="109"/>
      <c r="B834" s="109"/>
      <c r="C834" s="109"/>
      <c r="E834" s="109"/>
      <c r="F834" s="109"/>
      <c r="G834" s="109"/>
    </row>
    <row r="835" spans="1:7" x14ac:dyDescent="0.35">
      <c r="A835" s="109"/>
      <c r="B835" s="109"/>
      <c r="C835" s="109"/>
      <c r="E835" s="109"/>
      <c r="F835" s="109"/>
      <c r="G835" s="109"/>
    </row>
    <row r="836" spans="1:7" x14ac:dyDescent="0.35">
      <c r="A836" s="109"/>
      <c r="B836" s="109"/>
      <c r="C836" s="109"/>
      <c r="E836" s="109"/>
      <c r="F836" s="109"/>
      <c r="G836" s="109"/>
    </row>
    <row r="837" spans="1:7" x14ac:dyDescent="0.35">
      <c r="A837" s="109"/>
      <c r="B837" s="109"/>
      <c r="C837" s="109"/>
      <c r="E837" s="109"/>
      <c r="F837" s="109"/>
      <c r="G837" s="109"/>
    </row>
    <row r="838" spans="1:7" x14ac:dyDescent="0.35">
      <c r="A838" s="109"/>
      <c r="B838" s="109"/>
      <c r="C838" s="109"/>
      <c r="E838" s="109"/>
      <c r="F838" s="109"/>
      <c r="G838" s="109"/>
    </row>
    <row r="839" spans="1:7" x14ac:dyDescent="0.35">
      <c r="A839" s="109"/>
      <c r="B839" s="109"/>
      <c r="C839" s="109"/>
      <c r="E839" s="109"/>
      <c r="F839" s="109"/>
      <c r="G839" s="109"/>
    </row>
    <row r="840" spans="1:7" x14ac:dyDescent="0.35">
      <c r="A840" s="109"/>
      <c r="B840" s="109"/>
      <c r="C840" s="109"/>
      <c r="E840" s="109"/>
      <c r="F840" s="109"/>
      <c r="G840" s="109"/>
    </row>
    <row r="841" spans="1:7" x14ac:dyDescent="0.35">
      <c r="A841" s="109"/>
      <c r="B841" s="109"/>
      <c r="C841" s="109"/>
      <c r="E841" s="109"/>
      <c r="F841" s="109"/>
      <c r="G841" s="109"/>
    </row>
    <row r="842" spans="1:7" x14ac:dyDescent="0.35">
      <c r="A842" s="109"/>
      <c r="B842" s="109"/>
      <c r="C842" s="109"/>
      <c r="E842" s="109"/>
      <c r="F842" s="109"/>
      <c r="G842" s="109"/>
    </row>
    <row r="843" spans="1:7" x14ac:dyDescent="0.35">
      <c r="A843" s="109"/>
      <c r="B843" s="109"/>
      <c r="C843" s="109"/>
      <c r="E843" s="109"/>
      <c r="F843" s="109"/>
      <c r="G843" s="109"/>
    </row>
    <row r="844" spans="1:7" x14ac:dyDescent="0.35">
      <c r="A844" s="109"/>
      <c r="B844" s="109"/>
      <c r="C844" s="109"/>
      <c r="E844" s="109"/>
      <c r="F844" s="109"/>
      <c r="G844" s="109"/>
    </row>
    <row r="845" spans="1:7" x14ac:dyDescent="0.35">
      <c r="A845" s="109"/>
      <c r="B845" s="109"/>
      <c r="C845" s="109"/>
      <c r="E845" s="109"/>
      <c r="F845" s="109"/>
      <c r="G845" s="109"/>
    </row>
    <row r="846" spans="1:7" x14ac:dyDescent="0.35">
      <c r="A846" s="109"/>
      <c r="B846" s="109"/>
      <c r="C846" s="109"/>
      <c r="E846" s="109"/>
      <c r="F846" s="109"/>
      <c r="G846" s="109"/>
    </row>
    <row r="847" spans="1:7" x14ac:dyDescent="0.35">
      <c r="A847" s="109"/>
      <c r="B847" s="109"/>
      <c r="C847" s="109"/>
      <c r="E847" s="109"/>
      <c r="F847" s="109"/>
      <c r="G847" s="109"/>
    </row>
    <row r="848" spans="1:7" x14ac:dyDescent="0.35">
      <c r="A848" s="109"/>
      <c r="B848" s="109"/>
      <c r="C848" s="109"/>
      <c r="E848" s="109"/>
      <c r="F848" s="109"/>
      <c r="G848" s="109"/>
    </row>
    <row r="849" spans="1:7" x14ac:dyDescent="0.35">
      <c r="A849" s="109"/>
      <c r="B849" s="109"/>
      <c r="C849" s="109"/>
      <c r="E849" s="109"/>
      <c r="F849" s="109"/>
      <c r="G849" s="109"/>
    </row>
    <row r="850" spans="1:7" x14ac:dyDescent="0.35">
      <c r="A850" s="109"/>
      <c r="B850" s="109"/>
      <c r="C850" s="109"/>
      <c r="E850" s="109"/>
      <c r="F850" s="109"/>
      <c r="G850" s="109"/>
    </row>
    <row r="851" spans="1:7" x14ac:dyDescent="0.35">
      <c r="A851" s="109"/>
      <c r="B851" s="109"/>
      <c r="C851" s="109"/>
      <c r="E851" s="109"/>
      <c r="F851" s="109"/>
      <c r="G851" s="109"/>
    </row>
    <row r="852" spans="1:7" x14ac:dyDescent="0.35">
      <c r="A852" s="109"/>
      <c r="B852" s="109"/>
      <c r="C852" s="109"/>
      <c r="E852" s="109"/>
      <c r="F852" s="109"/>
      <c r="G852" s="109"/>
    </row>
    <row r="853" spans="1:7" x14ac:dyDescent="0.35">
      <c r="A853" s="109"/>
      <c r="B853" s="109"/>
      <c r="C853" s="109"/>
      <c r="E853" s="109"/>
      <c r="F853" s="109"/>
      <c r="G853" s="109"/>
    </row>
    <row r="854" spans="1:7" x14ac:dyDescent="0.35">
      <c r="A854" s="109"/>
      <c r="B854" s="109"/>
      <c r="C854" s="109"/>
      <c r="E854" s="109"/>
      <c r="F854" s="109"/>
      <c r="G854" s="109"/>
    </row>
    <row r="855" spans="1:7" x14ac:dyDescent="0.35">
      <c r="A855" s="109"/>
      <c r="B855" s="109"/>
      <c r="C855" s="109"/>
      <c r="E855" s="109"/>
      <c r="F855" s="109"/>
      <c r="G855" s="109"/>
    </row>
    <row r="856" spans="1:7" x14ac:dyDescent="0.35">
      <c r="A856" s="109"/>
      <c r="B856" s="109"/>
      <c r="C856" s="109"/>
      <c r="E856" s="109"/>
      <c r="F856" s="109"/>
      <c r="G856" s="109"/>
    </row>
    <row r="857" spans="1:7" x14ac:dyDescent="0.35">
      <c r="A857" s="109"/>
      <c r="B857" s="109"/>
      <c r="C857" s="109"/>
      <c r="E857" s="109"/>
      <c r="F857" s="109"/>
      <c r="G857" s="109"/>
    </row>
    <row r="858" spans="1:7" x14ac:dyDescent="0.35">
      <c r="A858" s="109"/>
      <c r="B858" s="109"/>
      <c r="C858" s="109"/>
      <c r="E858" s="109"/>
      <c r="F858" s="109"/>
      <c r="G858" s="109"/>
    </row>
    <row r="859" spans="1:7" x14ac:dyDescent="0.35">
      <c r="A859" s="109"/>
      <c r="B859" s="109"/>
      <c r="C859" s="109"/>
      <c r="E859" s="109"/>
      <c r="F859" s="109"/>
      <c r="G859" s="109"/>
    </row>
    <row r="860" spans="1:7" x14ac:dyDescent="0.35">
      <c r="A860" s="109"/>
      <c r="B860" s="109"/>
      <c r="C860" s="109"/>
      <c r="E860" s="109"/>
      <c r="F860" s="109"/>
      <c r="G860" s="109"/>
    </row>
    <row r="861" spans="1:7" x14ac:dyDescent="0.35">
      <c r="A861" s="109"/>
      <c r="B861" s="109"/>
      <c r="C861" s="109"/>
      <c r="E861" s="109"/>
      <c r="F861" s="109"/>
      <c r="G861" s="109"/>
    </row>
    <row r="862" spans="1:7" x14ac:dyDescent="0.35">
      <c r="A862" s="109"/>
      <c r="B862" s="109"/>
      <c r="C862" s="109"/>
      <c r="E862" s="109"/>
      <c r="F862" s="109"/>
      <c r="G862" s="109"/>
    </row>
    <row r="863" spans="1:7" x14ac:dyDescent="0.35">
      <c r="A863" s="109"/>
      <c r="B863" s="109"/>
      <c r="C863" s="109"/>
      <c r="E863" s="109"/>
      <c r="F863" s="109"/>
      <c r="G863" s="109"/>
    </row>
    <row r="864" spans="1:7" x14ac:dyDescent="0.35">
      <c r="A864" s="109"/>
      <c r="B864" s="109"/>
      <c r="C864" s="109"/>
      <c r="E864" s="109"/>
      <c r="F864" s="109"/>
      <c r="G864" s="109"/>
    </row>
    <row r="865" spans="1:7" x14ac:dyDescent="0.35">
      <c r="A865" s="109"/>
      <c r="B865" s="109"/>
      <c r="C865" s="109"/>
      <c r="E865" s="109"/>
      <c r="F865" s="109"/>
      <c r="G865" s="109"/>
    </row>
    <row r="866" spans="1:7" x14ac:dyDescent="0.35">
      <c r="A866" s="109"/>
      <c r="B866" s="109"/>
      <c r="C866" s="109"/>
      <c r="E866" s="109"/>
      <c r="F866" s="109"/>
      <c r="G866" s="109"/>
    </row>
    <row r="867" spans="1:7" x14ac:dyDescent="0.35">
      <c r="A867" s="109"/>
      <c r="B867" s="109"/>
      <c r="C867" s="109"/>
      <c r="E867" s="109"/>
      <c r="F867" s="109"/>
      <c r="G867" s="109"/>
    </row>
    <row r="868" spans="1:7" x14ac:dyDescent="0.35">
      <c r="A868" s="109"/>
      <c r="B868" s="109"/>
      <c r="C868" s="109"/>
      <c r="E868" s="109"/>
      <c r="F868" s="109"/>
      <c r="G868" s="109"/>
    </row>
    <row r="869" spans="1:7" x14ac:dyDescent="0.35">
      <c r="A869" s="109"/>
      <c r="B869" s="109"/>
      <c r="C869" s="109"/>
      <c r="E869" s="109"/>
      <c r="F869" s="109"/>
      <c r="G869" s="109"/>
    </row>
    <row r="870" spans="1:7" x14ac:dyDescent="0.35">
      <c r="A870" s="109"/>
      <c r="B870" s="109"/>
      <c r="C870" s="109"/>
      <c r="E870" s="109"/>
      <c r="F870" s="109"/>
      <c r="G870" s="109"/>
    </row>
    <row r="871" spans="1:7" x14ac:dyDescent="0.35">
      <c r="A871" s="109"/>
      <c r="B871" s="109"/>
      <c r="C871" s="109"/>
      <c r="E871" s="109"/>
      <c r="F871" s="109"/>
      <c r="G871" s="109"/>
    </row>
    <row r="872" spans="1:7" x14ac:dyDescent="0.35">
      <c r="A872" s="109"/>
      <c r="B872" s="109"/>
      <c r="C872" s="109"/>
      <c r="E872" s="109"/>
      <c r="F872" s="109"/>
      <c r="G872" s="109"/>
    </row>
    <row r="873" spans="1:7" x14ac:dyDescent="0.35">
      <c r="A873" s="109"/>
      <c r="B873" s="109"/>
      <c r="C873" s="109"/>
      <c r="E873" s="109"/>
      <c r="F873" s="109"/>
      <c r="G873" s="109"/>
    </row>
    <row r="874" spans="1:7" x14ac:dyDescent="0.35">
      <c r="A874" s="109"/>
      <c r="B874" s="109"/>
      <c r="C874" s="109"/>
      <c r="E874" s="109"/>
      <c r="F874" s="109"/>
      <c r="G874" s="109"/>
    </row>
    <row r="875" spans="1:7" x14ac:dyDescent="0.35">
      <c r="A875" s="109"/>
      <c r="B875" s="109"/>
      <c r="C875" s="109"/>
      <c r="E875" s="109"/>
      <c r="F875" s="109"/>
      <c r="G875" s="109"/>
    </row>
    <row r="876" spans="1:7" x14ac:dyDescent="0.35">
      <c r="A876" s="109"/>
      <c r="B876" s="109"/>
      <c r="C876" s="109"/>
      <c r="E876" s="109"/>
      <c r="F876" s="109"/>
      <c r="G876" s="109"/>
    </row>
    <row r="877" spans="1:7" x14ac:dyDescent="0.35">
      <c r="A877" s="109"/>
      <c r="B877" s="109"/>
      <c r="C877" s="109"/>
      <c r="E877" s="109"/>
      <c r="F877" s="109"/>
      <c r="G877" s="109"/>
    </row>
    <row r="878" spans="1:7" x14ac:dyDescent="0.35">
      <c r="A878" s="109"/>
      <c r="B878" s="109"/>
      <c r="C878" s="109"/>
      <c r="E878" s="109"/>
      <c r="F878" s="109"/>
      <c r="G878" s="109"/>
    </row>
    <row r="879" spans="1:7" x14ac:dyDescent="0.35">
      <c r="A879" s="109"/>
      <c r="B879" s="109"/>
      <c r="C879" s="109"/>
      <c r="E879" s="109"/>
      <c r="F879" s="109"/>
      <c r="G879" s="109"/>
    </row>
    <row r="880" spans="1:7" x14ac:dyDescent="0.35">
      <c r="A880" s="109"/>
      <c r="B880" s="109"/>
      <c r="C880" s="109"/>
      <c r="E880" s="109"/>
      <c r="F880" s="109"/>
      <c r="G880" s="109"/>
    </row>
    <row r="881" spans="1:7" x14ac:dyDescent="0.35">
      <c r="A881" s="109"/>
      <c r="B881" s="109"/>
      <c r="C881" s="109"/>
      <c r="E881" s="109"/>
      <c r="F881" s="109"/>
      <c r="G881" s="109"/>
    </row>
    <row r="882" spans="1:7" x14ac:dyDescent="0.35">
      <c r="A882" s="109"/>
      <c r="B882" s="109"/>
      <c r="C882" s="109"/>
      <c r="E882" s="109"/>
      <c r="F882" s="109"/>
      <c r="G882" s="109"/>
    </row>
    <row r="883" spans="1:7" x14ac:dyDescent="0.35">
      <c r="A883" s="109"/>
      <c r="B883" s="109"/>
      <c r="C883" s="109"/>
      <c r="E883" s="109"/>
      <c r="F883" s="109"/>
      <c r="G883" s="109"/>
    </row>
    <row r="884" spans="1:7" x14ac:dyDescent="0.35">
      <c r="A884" s="109"/>
      <c r="B884" s="109"/>
      <c r="C884" s="109"/>
      <c r="E884" s="109"/>
      <c r="F884" s="109"/>
      <c r="G884" s="109"/>
    </row>
    <row r="885" spans="1:7" x14ac:dyDescent="0.35">
      <c r="A885" s="109"/>
      <c r="B885" s="109"/>
      <c r="C885" s="109"/>
      <c r="E885" s="109"/>
      <c r="F885" s="109"/>
      <c r="G885" s="109"/>
    </row>
    <row r="886" spans="1:7" x14ac:dyDescent="0.35">
      <c r="A886" s="109"/>
      <c r="B886" s="109"/>
      <c r="C886" s="109"/>
      <c r="E886" s="109"/>
      <c r="F886" s="109"/>
      <c r="G886" s="109"/>
    </row>
    <row r="887" spans="1:7" x14ac:dyDescent="0.35">
      <c r="A887" s="109"/>
      <c r="B887" s="109"/>
      <c r="C887" s="109"/>
      <c r="E887" s="109"/>
      <c r="F887" s="109"/>
      <c r="G887" s="109"/>
    </row>
    <row r="888" spans="1:7" x14ac:dyDescent="0.35">
      <c r="A888" s="109"/>
      <c r="B888" s="109"/>
      <c r="C888" s="109"/>
      <c r="E888" s="109"/>
      <c r="F888" s="109"/>
      <c r="G888" s="109"/>
    </row>
    <row r="889" spans="1:7" x14ac:dyDescent="0.35">
      <c r="A889" s="109"/>
      <c r="B889" s="109"/>
      <c r="C889" s="109"/>
      <c r="E889" s="109"/>
      <c r="F889" s="109"/>
      <c r="G889" s="109"/>
    </row>
    <row r="890" spans="1:7" x14ac:dyDescent="0.35">
      <c r="A890" s="109"/>
      <c r="B890" s="109"/>
      <c r="C890" s="109"/>
      <c r="E890" s="109"/>
      <c r="F890" s="109"/>
      <c r="G890" s="109"/>
    </row>
    <row r="891" spans="1:7" x14ac:dyDescent="0.35">
      <c r="A891" s="109"/>
      <c r="B891" s="109"/>
      <c r="C891" s="109"/>
      <c r="E891" s="109"/>
      <c r="F891" s="109"/>
      <c r="G891" s="109"/>
    </row>
    <row r="892" spans="1:7" x14ac:dyDescent="0.35">
      <c r="A892" s="109"/>
      <c r="B892" s="109"/>
      <c r="C892" s="109"/>
      <c r="E892" s="109"/>
      <c r="F892" s="109"/>
      <c r="G892" s="109"/>
    </row>
    <row r="893" spans="1:7" x14ac:dyDescent="0.35">
      <c r="A893" s="109"/>
      <c r="B893" s="109"/>
      <c r="C893" s="109"/>
      <c r="E893" s="109"/>
      <c r="F893" s="109"/>
      <c r="G893" s="109"/>
    </row>
    <row r="894" spans="1:7" x14ac:dyDescent="0.35">
      <c r="A894" s="109"/>
      <c r="B894" s="109"/>
      <c r="C894" s="109"/>
      <c r="E894" s="109"/>
      <c r="F894" s="109"/>
      <c r="G894" s="109"/>
    </row>
    <row r="895" spans="1:7" x14ac:dyDescent="0.35">
      <c r="A895" s="109"/>
      <c r="B895" s="109"/>
      <c r="C895" s="109"/>
      <c r="E895" s="109"/>
      <c r="F895" s="109"/>
      <c r="G895" s="109"/>
    </row>
    <row r="896" spans="1:7" x14ac:dyDescent="0.35">
      <c r="A896" s="109"/>
      <c r="B896" s="109"/>
      <c r="C896" s="109"/>
      <c r="E896" s="109"/>
      <c r="F896" s="109"/>
      <c r="G896" s="109"/>
    </row>
    <row r="897" spans="1:7" x14ac:dyDescent="0.35">
      <c r="A897" s="109"/>
      <c r="B897" s="109"/>
      <c r="C897" s="109"/>
      <c r="E897" s="109"/>
      <c r="F897" s="109"/>
      <c r="G897" s="109"/>
    </row>
    <row r="898" spans="1:7" x14ac:dyDescent="0.35">
      <c r="A898" s="109"/>
      <c r="B898" s="109"/>
      <c r="C898" s="109"/>
      <c r="E898" s="109"/>
      <c r="F898" s="109"/>
      <c r="G898" s="109"/>
    </row>
    <row r="899" spans="1:7" x14ac:dyDescent="0.35">
      <c r="A899" s="109"/>
      <c r="B899" s="109"/>
      <c r="C899" s="109"/>
      <c r="E899" s="109"/>
      <c r="F899" s="109"/>
      <c r="G899" s="109"/>
    </row>
    <row r="900" spans="1:7" x14ac:dyDescent="0.35">
      <c r="A900" s="109"/>
      <c r="B900" s="109"/>
      <c r="C900" s="109"/>
      <c r="E900" s="109"/>
      <c r="F900" s="109"/>
      <c r="G900" s="109"/>
    </row>
    <row r="901" spans="1:7" x14ac:dyDescent="0.35">
      <c r="A901" s="109"/>
      <c r="B901" s="109"/>
      <c r="C901" s="109"/>
      <c r="E901" s="109"/>
      <c r="F901" s="109"/>
      <c r="G901" s="109"/>
    </row>
    <row r="902" spans="1:7" x14ac:dyDescent="0.35">
      <c r="A902" s="109"/>
      <c r="B902" s="109"/>
      <c r="C902" s="109"/>
      <c r="E902" s="109"/>
      <c r="F902" s="109"/>
      <c r="G902" s="109"/>
    </row>
    <row r="903" spans="1:7" x14ac:dyDescent="0.35">
      <c r="A903" s="109"/>
      <c r="B903" s="109"/>
      <c r="C903" s="109"/>
      <c r="E903" s="109"/>
      <c r="F903" s="109"/>
      <c r="G903" s="109"/>
    </row>
    <row r="904" spans="1:7" x14ac:dyDescent="0.35">
      <c r="A904" s="109"/>
      <c r="B904" s="109"/>
      <c r="C904" s="109"/>
      <c r="E904" s="109"/>
      <c r="F904" s="109"/>
      <c r="G904" s="109"/>
    </row>
    <row r="905" spans="1:7" x14ac:dyDescent="0.35">
      <c r="A905" s="109"/>
      <c r="B905" s="109"/>
      <c r="C905" s="109"/>
      <c r="E905" s="109"/>
      <c r="F905" s="109"/>
      <c r="G905" s="109"/>
    </row>
    <row r="906" spans="1:7" x14ac:dyDescent="0.35">
      <c r="A906" s="109"/>
      <c r="B906" s="109"/>
      <c r="C906" s="109"/>
      <c r="E906" s="109"/>
      <c r="F906" s="109"/>
      <c r="G906" s="109"/>
    </row>
    <row r="907" spans="1:7" x14ac:dyDescent="0.35">
      <c r="A907" s="109"/>
      <c r="B907" s="109"/>
      <c r="C907" s="109"/>
      <c r="E907" s="109"/>
      <c r="F907" s="109"/>
      <c r="G907" s="109"/>
    </row>
    <row r="908" spans="1:7" x14ac:dyDescent="0.35">
      <c r="A908" s="109"/>
      <c r="B908" s="109"/>
      <c r="C908" s="109"/>
      <c r="E908" s="109"/>
      <c r="F908" s="109"/>
      <c r="G908" s="109"/>
    </row>
    <row r="909" spans="1:7" x14ac:dyDescent="0.35">
      <c r="A909" s="109"/>
      <c r="B909" s="109"/>
      <c r="C909" s="109"/>
      <c r="E909" s="109"/>
      <c r="F909" s="109"/>
      <c r="G909" s="109"/>
    </row>
    <row r="910" spans="1:7" x14ac:dyDescent="0.35">
      <c r="A910" s="109"/>
      <c r="B910" s="109"/>
      <c r="C910" s="109"/>
      <c r="E910" s="109"/>
      <c r="F910" s="109"/>
      <c r="G910" s="109"/>
    </row>
    <row r="911" spans="1:7" x14ac:dyDescent="0.35">
      <c r="A911" s="109"/>
      <c r="B911" s="109"/>
      <c r="C911" s="109"/>
      <c r="E911" s="109"/>
      <c r="F911" s="109"/>
      <c r="G911" s="109"/>
    </row>
    <row r="912" spans="1:7" x14ac:dyDescent="0.35">
      <c r="A912" s="109"/>
      <c r="B912" s="109"/>
      <c r="C912" s="109"/>
      <c r="E912" s="109"/>
      <c r="F912" s="109"/>
      <c r="G912" s="109"/>
    </row>
    <row r="913" spans="1:7" x14ac:dyDescent="0.35">
      <c r="A913" s="109"/>
      <c r="B913" s="109"/>
      <c r="C913" s="109"/>
      <c r="E913" s="109"/>
      <c r="F913" s="109"/>
      <c r="G913" s="109"/>
    </row>
    <row r="914" spans="1:7" x14ac:dyDescent="0.35">
      <c r="A914" s="109"/>
      <c r="B914" s="109"/>
      <c r="C914" s="109"/>
      <c r="E914" s="109"/>
      <c r="F914" s="109"/>
      <c r="G914" s="109"/>
    </row>
    <row r="915" spans="1:7" x14ac:dyDescent="0.35">
      <c r="A915" s="109"/>
      <c r="B915" s="109"/>
      <c r="C915" s="109"/>
      <c r="E915" s="109"/>
      <c r="F915" s="109"/>
      <c r="G915" s="109"/>
    </row>
    <row r="916" spans="1:7" x14ac:dyDescent="0.35">
      <c r="A916" s="109"/>
      <c r="B916" s="109"/>
      <c r="C916" s="109"/>
      <c r="E916" s="109"/>
      <c r="F916" s="109"/>
      <c r="G916" s="109"/>
    </row>
    <row r="917" spans="1:7" x14ac:dyDescent="0.35">
      <c r="A917" s="109"/>
      <c r="B917" s="109"/>
      <c r="C917" s="109"/>
      <c r="E917" s="109"/>
      <c r="F917" s="109"/>
      <c r="G917" s="109"/>
    </row>
    <row r="918" spans="1:7" x14ac:dyDescent="0.35">
      <c r="A918" s="109"/>
      <c r="B918" s="109"/>
      <c r="C918" s="109"/>
      <c r="E918" s="109"/>
      <c r="F918" s="109"/>
      <c r="G918" s="109"/>
    </row>
    <row r="919" spans="1:7" x14ac:dyDescent="0.35">
      <c r="A919" s="109"/>
      <c r="B919" s="109"/>
      <c r="C919" s="109"/>
      <c r="E919" s="109"/>
      <c r="F919" s="109"/>
      <c r="G919" s="109"/>
    </row>
    <row r="920" spans="1:7" x14ac:dyDescent="0.35">
      <c r="A920" s="109"/>
      <c r="B920" s="109"/>
      <c r="C920" s="109"/>
      <c r="E920" s="109"/>
      <c r="F920" s="109"/>
      <c r="G920" s="109"/>
    </row>
    <row r="921" spans="1:7" x14ac:dyDescent="0.35">
      <c r="A921" s="109"/>
      <c r="B921" s="109"/>
      <c r="C921" s="109"/>
      <c r="E921" s="109"/>
      <c r="F921" s="109"/>
      <c r="G921" s="109"/>
    </row>
    <row r="922" spans="1:7" x14ac:dyDescent="0.35">
      <c r="A922" s="109"/>
      <c r="B922" s="109"/>
      <c r="C922" s="109"/>
      <c r="E922" s="109"/>
      <c r="F922" s="109"/>
      <c r="G922" s="109"/>
    </row>
    <row r="923" spans="1:7" x14ac:dyDescent="0.35">
      <c r="A923" s="109"/>
      <c r="B923" s="109"/>
      <c r="C923" s="109"/>
      <c r="E923" s="109"/>
      <c r="F923" s="109"/>
      <c r="G923" s="109"/>
    </row>
    <row r="924" spans="1:7" x14ac:dyDescent="0.35">
      <c r="A924" s="109"/>
      <c r="B924" s="109"/>
      <c r="C924" s="109"/>
      <c r="E924" s="109"/>
      <c r="F924" s="109"/>
      <c r="G924" s="109"/>
    </row>
    <row r="925" spans="1:7" x14ac:dyDescent="0.35">
      <c r="A925" s="109"/>
      <c r="B925" s="109"/>
      <c r="C925" s="109"/>
      <c r="E925" s="109"/>
      <c r="F925" s="109"/>
      <c r="G925" s="109"/>
    </row>
    <row r="926" spans="1:7" x14ac:dyDescent="0.35">
      <c r="A926" s="109"/>
      <c r="B926" s="109"/>
      <c r="C926" s="109"/>
      <c r="E926" s="109"/>
      <c r="F926" s="109"/>
      <c r="G926" s="109"/>
    </row>
    <row r="927" spans="1:7" x14ac:dyDescent="0.35">
      <c r="A927" s="109"/>
      <c r="B927" s="109"/>
      <c r="C927" s="109"/>
      <c r="E927" s="109"/>
      <c r="F927" s="109"/>
      <c r="G927" s="109"/>
    </row>
    <row r="928" spans="1:7" x14ac:dyDescent="0.35">
      <c r="A928" s="109"/>
      <c r="B928" s="109"/>
      <c r="C928" s="109"/>
      <c r="E928" s="109"/>
      <c r="F928" s="109"/>
      <c r="G928" s="109"/>
    </row>
    <row r="929" spans="1:7" x14ac:dyDescent="0.35">
      <c r="A929" s="109"/>
      <c r="B929" s="109"/>
      <c r="C929" s="109"/>
      <c r="E929" s="109"/>
      <c r="F929" s="109"/>
      <c r="G929" s="109"/>
    </row>
    <row r="930" spans="1:7" x14ac:dyDescent="0.35">
      <c r="A930" s="109"/>
      <c r="B930" s="109"/>
      <c r="C930" s="109"/>
      <c r="E930" s="109"/>
      <c r="F930" s="109"/>
      <c r="G930" s="109"/>
    </row>
    <row r="931" spans="1:7" x14ac:dyDescent="0.35">
      <c r="A931" s="109"/>
      <c r="B931" s="109"/>
      <c r="C931" s="109"/>
      <c r="E931" s="109"/>
      <c r="F931" s="109"/>
      <c r="G931" s="109"/>
    </row>
    <row r="932" spans="1:7" x14ac:dyDescent="0.35">
      <c r="A932" s="109"/>
      <c r="B932" s="109"/>
      <c r="C932" s="109"/>
      <c r="E932" s="109"/>
      <c r="F932" s="109"/>
      <c r="G932" s="109"/>
    </row>
    <row r="933" spans="1:7" x14ac:dyDescent="0.35">
      <c r="A933" s="109"/>
      <c r="B933" s="109"/>
      <c r="C933" s="109"/>
      <c r="E933" s="109"/>
      <c r="F933" s="109"/>
      <c r="G933" s="109"/>
    </row>
    <row r="934" spans="1:7" x14ac:dyDescent="0.35">
      <c r="A934" s="109"/>
      <c r="B934" s="109"/>
      <c r="C934" s="109"/>
      <c r="E934" s="109"/>
      <c r="F934" s="109"/>
      <c r="G934" s="109"/>
    </row>
    <row r="935" spans="1:7" x14ac:dyDescent="0.35">
      <c r="A935" s="109"/>
      <c r="B935" s="109"/>
      <c r="C935" s="109"/>
      <c r="E935" s="109"/>
      <c r="F935" s="109"/>
      <c r="G935" s="109"/>
    </row>
    <row r="936" spans="1:7" x14ac:dyDescent="0.35">
      <c r="A936" s="109"/>
      <c r="B936" s="109"/>
      <c r="C936" s="109"/>
      <c r="E936" s="109"/>
      <c r="F936" s="109"/>
      <c r="G936" s="109"/>
    </row>
    <row r="937" spans="1:7" x14ac:dyDescent="0.35">
      <c r="A937" s="109"/>
      <c r="B937" s="109"/>
      <c r="C937" s="109"/>
      <c r="E937" s="109"/>
      <c r="F937" s="109"/>
      <c r="G937" s="109"/>
    </row>
    <row r="938" spans="1:7" x14ac:dyDescent="0.35">
      <c r="A938" s="109"/>
      <c r="B938" s="109"/>
      <c r="C938" s="109"/>
      <c r="E938" s="109"/>
      <c r="F938" s="109"/>
      <c r="G938" s="109"/>
    </row>
    <row r="939" spans="1:7" x14ac:dyDescent="0.35">
      <c r="A939" s="109"/>
      <c r="B939" s="109"/>
      <c r="C939" s="109"/>
      <c r="E939" s="109"/>
      <c r="F939" s="109"/>
      <c r="G939" s="109"/>
    </row>
    <row r="940" spans="1:7" x14ac:dyDescent="0.35">
      <c r="A940" s="109"/>
      <c r="B940" s="109"/>
      <c r="C940" s="109"/>
      <c r="E940" s="109"/>
      <c r="F940" s="109"/>
      <c r="G940" s="109"/>
    </row>
    <row r="941" spans="1:7" x14ac:dyDescent="0.35">
      <c r="A941" s="109"/>
      <c r="B941" s="109"/>
      <c r="C941" s="109"/>
      <c r="E941" s="109"/>
      <c r="F941" s="109"/>
      <c r="G941" s="109"/>
    </row>
    <row r="942" spans="1:7" x14ac:dyDescent="0.35">
      <c r="A942" s="109"/>
      <c r="B942" s="109"/>
      <c r="C942" s="109"/>
      <c r="E942" s="109"/>
      <c r="F942" s="109"/>
      <c r="G942" s="109"/>
    </row>
    <row r="943" spans="1:7" x14ac:dyDescent="0.35">
      <c r="A943" s="109"/>
      <c r="B943" s="109"/>
      <c r="C943" s="109"/>
      <c r="E943" s="109"/>
      <c r="F943" s="109"/>
      <c r="G943" s="109"/>
    </row>
    <row r="944" spans="1:7" x14ac:dyDescent="0.35">
      <c r="A944" s="109"/>
      <c r="B944" s="109"/>
      <c r="C944" s="109"/>
      <c r="E944" s="109"/>
      <c r="F944" s="109"/>
      <c r="G944" s="109"/>
    </row>
    <row r="945" spans="1:7" x14ac:dyDescent="0.35">
      <c r="A945" s="109"/>
      <c r="B945" s="109"/>
      <c r="C945" s="109"/>
      <c r="E945" s="109"/>
      <c r="F945" s="109"/>
      <c r="G945" s="109"/>
    </row>
    <row r="946" spans="1:7" x14ac:dyDescent="0.35">
      <c r="A946" s="109"/>
      <c r="B946" s="109"/>
      <c r="C946" s="109"/>
      <c r="E946" s="109"/>
      <c r="F946" s="109"/>
      <c r="G946" s="109"/>
    </row>
    <row r="947" spans="1:7" x14ac:dyDescent="0.35">
      <c r="A947" s="109"/>
      <c r="B947" s="109"/>
      <c r="C947" s="109"/>
      <c r="E947" s="109"/>
      <c r="F947" s="109"/>
      <c r="G947" s="109"/>
    </row>
    <row r="948" spans="1:7" x14ac:dyDescent="0.35">
      <c r="A948" s="109"/>
      <c r="B948" s="109"/>
      <c r="C948" s="109"/>
      <c r="E948" s="109"/>
      <c r="F948" s="109"/>
      <c r="G948" s="109"/>
    </row>
    <row r="949" spans="1:7" x14ac:dyDescent="0.35">
      <c r="A949" s="109"/>
      <c r="B949" s="109"/>
      <c r="C949" s="109"/>
      <c r="E949" s="109"/>
      <c r="F949" s="109"/>
      <c r="G949" s="109"/>
    </row>
    <row r="950" spans="1:7" x14ac:dyDescent="0.35">
      <c r="A950" s="109"/>
      <c r="B950" s="109"/>
      <c r="C950" s="109"/>
      <c r="E950" s="109"/>
      <c r="F950" s="109"/>
      <c r="G950" s="109"/>
    </row>
    <row r="951" spans="1:7" x14ac:dyDescent="0.35">
      <c r="A951" s="109"/>
      <c r="B951" s="109"/>
      <c r="C951" s="109"/>
      <c r="E951" s="109"/>
      <c r="F951" s="109"/>
      <c r="G951" s="109"/>
    </row>
    <row r="952" spans="1:7" x14ac:dyDescent="0.35">
      <c r="A952" s="109"/>
      <c r="B952" s="109"/>
      <c r="C952" s="109"/>
      <c r="E952" s="109"/>
      <c r="F952" s="109"/>
      <c r="G952" s="109"/>
    </row>
    <row r="953" spans="1:7" x14ac:dyDescent="0.35">
      <c r="A953" s="109"/>
      <c r="B953" s="109"/>
      <c r="C953" s="109"/>
      <c r="E953" s="109"/>
      <c r="F953" s="109"/>
      <c r="G953" s="109"/>
    </row>
    <row r="954" spans="1:7" x14ac:dyDescent="0.35">
      <c r="A954" s="109"/>
      <c r="B954" s="109"/>
      <c r="C954" s="109"/>
      <c r="E954" s="109"/>
      <c r="F954" s="109"/>
      <c r="G954" s="109"/>
    </row>
    <row r="955" spans="1:7" x14ac:dyDescent="0.35">
      <c r="A955" s="109"/>
      <c r="B955" s="109"/>
      <c r="C955" s="109"/>
      <c r="E955" s="109"/>
      <c r="F955" s="109"/>
      <c r="G955" s="109"/>
    </row>
    <row r="956" spans="1:7" x14ac:dyDescent="0.35">
      <c r="A956" s="109"/>
      <c r="B956" s="109"/>
      <c r="C956" s="109"/>
      <c r="E956" s="109"/>
      <c r="F956" s="109"/>
      <c r="G956" s="109"/>
    </row>
    <row r="957" spans="1:7" x14ac:dyDescent="0.35">
      <c r="A957" s="109"/>
      <c r="B957" s="109"/>
      <c r="C957" s="109"/>
      <c r="E957" s="109"/>
      <c r="F957" s="109"/>
      <c r="G957" s="109"/>
    </row>
    <row r="958" spans="1:7" x14ac:dyDescent="0.35">
      <c r="A958" s="109"/>
      <c r="B958" s="109"/>
      <c r="C958" s="109"/>
      <c r="E958" s="109"/>
      <c r="F958" s="109"/>
      <c r="G958" s="109"/>
    </row>
    <row r="959" spans="1:7" x14ac:dyDescent="0.35">
      <c r="A959" s="109"/>
      <c r="B959" s="109"/>
      <c r="C959" s="109"/>
      <c r="E959" s="109"/>
      <c r="F959" s="109"/>
      <c r="G959" s="109"/>
    </row>
    <row r="960" spans="1:7" x14ac:dyDescent="0.35">
      <c r="A960" s="109"/>
      <c r="B960" s="109"/>
      <c r="C960" s="109"/>
      <c r="E960" s="109"/>
      <c r="F960" s="109"/>
      <c r="G960" s="109"/>
    </row>
    <row r="961" spans="1:7" x14ac:dyDescent="0.35">
      <c r="A961" s="109"/>
      <c r="B961" s="109"/>
      <c r="C961" s="109"/>
      <c r="E961" s="109"/>
      <c r="F961" s="109"/>
      <c r="G961" s="109"/>
    </row>
    <row r="962" spans="1:7" x14ac:dyDescent="0.35">
      <c r="A962" s="109"/>
      <c r="B962" s="109"/>
      <c r="C962" s="109"/>
      <c r="E962" s="109"/>
      <c r="F962" s="109"/>
      <c r="G962" s="109"/>
    </row>
    <row r="963" spans="1:7" x14ac:dyDescent="0.35">
      <c r="A963" s="109"/>
      <c r="B963" s="109"/>
      <c r="C963" s="109"/>
      <c r="E963" s="109"/>
      <c r="F963" s="109"/>
      <c r="G963" s="109"/>
    </row>
    <row r="964" spans="1:7" x14ac:dyDescent="0.35">
      <c r="A964" s="109"/>
      <c r="B964" s="109"/>
      <c r="C964" s="109"/>
      <c r="E964" s="109"/>
      <c r="F964" s="109"/>
      <c r="G964" s="109"/>
    </row>
    <row r="965" spans="1:7" x14ac:dyDescent="0.35">
      <c r="A965" s="109"/>
      <c r="B965" s="109"/>
      <c r="C965" s="109"/>
      <c r="E965" s="109"/>
      <c r="F965" s="109"/>
      <c r="G965" s="109"/>
    </row>
    <row r="966" spans="1:7" x14ac:dyDescent="0.35">
      <c r="A966" s="109"/>
      <c r="B966" s="109"/>
      <c r="C966" s="109"/>
      <c r="E966" s="109"/>
      <c r="F966" s="109"/>
      <c r="G966" s="109"/>
    </row>
    <row r="967" spans="1:7" x14ac:dyDescent="0.35">
      <c r="A967" s="109"/>
      <c r="B967" s="109"/>
      <c r="C967" s="109"/>
      <c r="E967" s="109"/>
      <c r="F967" s="109"/>
      <c r="G967" s="109"/>
    </row>
    <row r="968" spans="1:7" x14ac:dyDescent="0.35">
      <c r="A968" s="109"/>
      <c r="B968" s="109"/>
      <c r="C968" s="109"/>
      <c r="E968" s="109"/>
      <c r="F968" s="109"/>
      <c r="G968" s="109"/>
    </row>
    <row r="969" spans="1:7" x14ac:dyDescent="0.35">
      <c r="A969" s="109"/>
      <c r="B969" s="109"/>
      <c r="C969" s="109"/>
      <c r="E969" s="109"/>
      <c r="F969" s="109"/>
      <c r="G969" s="109"/>
    </row>
    <row r="970" spans="1:7" x14ac:dyDescent="0.35">
      <c r="A970" s="109"/>
      <c r="B970" s="109"/>
      <c r="C970" s="109"/>
      <c r="E970" s="109"/>
      <c r="F970" s="109"/>
      <c r="G970" s="109"/>
    </row>
    <row r="971" spans="1:7" x14ac:dyDescent="0.35">
      <c r="A971" s="109"/>
      <c r="B971" s="109"/>
      <c r="C971" s="109"/>
      <c r="E971" s="109"/>
      <c r="F971" s="109"/>
      <c r="G971" s="109"/>
    </row>
    <row r="972" spans="1:7" x14ac:dyDescent="0.35">
      <c r="A972" s="109"/>
      <c r="B972" s="109"/>
      <c r="C972" s="109"/>
      <c r="E972" s="109"/>
      <c r="F972" s="109"/>
      <c r="G972" s="109"/>
    </row>
    <row r="973" spans="1:7" x14ac:dyDescent="0.35">
      <c r="A973" s="109"/>
      <c r="B973" s="109"/>
      <c r="C973" s="109"/>
      <c r="E973" s="109"/>
      <c r="F973" s="109"/>
      <c r="G973" s="109"/>
    </row>
    <row r="974" spans="1:7" x14ac:dyDescent="0.35">
      <c r="A974" s="109"/>
      <c r="B974" s="109"/>
      <c r="C974" s="109"/>
      <c r="E974" s="109"/>
      <c r="F974" s="109"/>
      <c r="G974" s="109"/>
    </row>
    <row r="975" spans="1:7" x14ac:dyDescent="0.35">
      <c r="A975" s="109"/>
      <c r="B975" s="109"/>
      <c r="C975" s="109"/>
      <c r="E975" s="109"/>
      <c r="F975" s="109"/>
      <c r="G975" s="109"/>
    </row>
    <row r="976" spans="1:7" x14ac:dyDescent="0.35">
      <c r="A976" s="109"/>
      <c r="B976" s="109"/>
      <c r="C976" s="109"/>
      <c r="E976" s="109"/>
      <c r="F976" s="109"/>
      <c r="G976" s="109"/>
    </row>
    <row r="977" spans="1:7" x14ac:dyDescent="0.35">
      <c r="A977" s="109"/>
      <c r="B977" s="109"/>
      <c r="C977" s="109"/>
      <c r="E977" s="109"/>
      <c r="F977" s="109"/>
      <c r="G977" s="109"/>
    </row>
    <row r="978" spans="1:7" x14ac:dyDescent="0.35">
      <c r="A978" s="109"/>
      <c r="B978" s="109"/>
      <c r="C978" s="109"/>
      <c r="E978" s="109"/>
      <c r="F978" s="109"/>
      <c r="G978" s="109"/>
    </row>
    <row r="979" spans="1:7" x14ac:dyDescent="0.35">
      <c r="A979" s="109"/>
      <c r="B979" s="109"/>
      <c r="C979" s="109"/>
      <c r="E979" s="109"/>
      <c r="F979" s="109"/>
      <c r="G979" s="109"/>
    </row>
    <row r="980" spans="1:7" x14ac:dyDescent="0.35">
      <c r="A980" s="109"/>
      <c r="B980" s="109"/>
      <c r="C980" s="109"/>
      <c r="E980" s="109"/>
      <c r="F980" s="109"/>
      <c r="G980" s="109"/>
    </row>
    <row r="981" spans="1:7" x14ac:dyDescent="0.35">
      <c r="A981" s="109"/>
      <c r="B981" s="109"/>
      <c r="C981" s="109"/>
      <c r="E981" s="109"/>
      <c r="F981" s="109"/>
      <c r="G981" s="109"/>
    </row>
    <row r="982" spans="1:7" x14ac:dyDescent="0.35">
      <c r="A982" s="109"/>
      <c r="B982" s="109"/>
      <c r="C982" s="109"/>
      <c r="E982" s="109"/>
      <c r="F982" s="109"/>
      <c r="G982" s="109"/>
    </row>
    <row r="983" spans="1:7" x14ac:dyDescent="0.35">
      <c r="A983" s="109"/>
      <c r="B983" s="109"/>
      <c r="C983" s="109"/>
      <c r="E983" s="109"/>
      <c r="F983" s="109"/>
      <c r="G983" s="109"/>
    </row>
    <row r="984" spans="1:7" x14ac:dyDescent="0.35">
      <c r="A984" s="109"/>
      <c r="B984" s="109"/>
      <c r="C984" s="109"/>
      <c r="E984" s="109"/>
      <c r="F984" s="109"/>
      <c r="G984" s="109"/>
    </row>
    <row r="985" spans="1:7" x14ac:dyDescent="0.35">
      <c r="A985" s="109"/>
      <c r="B985" s="109"/>
      <c r="C985" s="109"/>
      <c r="E985" s="109"/>
      <c r="F985" s="109"/>
      <c r="G985" s="109"/>
    </row>
    <row r="986" spans="1:7" x14ac:dyDescent="0.35">
      <c r="A986" s="109"/>
      <c r="B986" s="109"/>
      <c r="C986" s="109"/>
      <c r="E986" s="109"/>
      <c r="F986" s="109"/>
      <c r="G986" s="109"/>
    </row>
    <row r="987" spans="1:7" x14ac:dyDescent="0.35">
      <c r="A987" s="109"/>
      <c r="B987" s="109"/>
      <c r="C987" s="109"/>
      <c r="E987" s="109"/>
      <c r="F987" s="109"/>
      <c r="G987" s="109"/>
    </row>
    <row r="988" spans="1:7" x14ac:dyDescent="0.35">
      <c r="A988" s="109"/>
      <c r="B988" s="109"/>
      <c r="C988" s="109"/>
      <c r="E988" s="109"/>
      <c r="F988" s="109"/>
      <c r="G988" s="109"/>
    </row>
    <row r="989" spans="1:7" x14ac:dyDescent="0.35">
      <c r="A989" s="109"/>
      <c r="B989" s="109"/>
      <c r="C989" s="109"/>
      <c r="E989" s="109"/>
      <c r="F989" s="109"/>
      <c r="G989" s="109"/>
    </row>
    <row r="990" spans="1:7" x14ac:dyDescent="0.35">
      <c r="A990" s="109"/>
      <c r="B990" s="109"/>
      <c r="C990" s="109"/>
      <c r="E990" s="109"/>
      <c r="F990" s="109"/>
      <c r="G990" s="109"/>
    </row>
    <row r="991" spans="1:7" x14ac:dyDescent="0.35">
      <c r="A991" s="109"/>
      <c r="B991" s="109"/>
      <c r="C991" s="109"/>
      <c r="E991" s="109"/>
      <c r="F991" s="109"/>
      <c r="G991" s="109"/>
    </row>
    <row r="992" spans="1:7" x14ac:dyDescent="0.35">
      <c r="A992" s="109"/>
      <c r="B992" s="109"/>
      <c r="C992" s="109"/>
      <c r="E992" s="109"/>
      <c r="F992" s="109"/>
      <c r="G992" s="109"/>
    </row>
    <row r="993" spans="1:7" x14ac:dyDescent="0.35">
      <c r="A993" s="109"/>
      <c r="B993" s="109"/>
      <c r="C993" s="109"/>
      <c r="E993" s="109"/>
      <c r="F993" s="109"/>
      <c r="G993" s="109"/>
    </row>
    <row r="994" spans="1:7" x14ac:dyDescent="0.35">
      <c r="A994" s="109"/>
      <c r="B994" s="109"/>
      <c r="C994" s="109"/>
      <c r="E994" s="109"/>
      <c r="F994" s="109"/>
      <c r="G994" s="109"/>
    </row>
    <row r="995" spans="1:7" x14ac:dyDescent="0.35">
      <c r="A995" s="109"/>
      <c r="B995" s="109"/>
      <c r="C995" s="109"/>
      <c r="E995" s="109"/>
      <c r="F995" s="109"/>
      <c r="G995" s="109"/>
    </row>
    <row r="996" spans="1:7" x14ac:dyDescent="0.35">
      <c r="A996" s="109"/>
      <c r="B996" s="109"/>
      <c r="C996" s="109"/>
      <c r="E996" s="109"/>
      <c r="F996" s="109"/>
      <c r="G996" s="109"/>
    </row>
    <row r="997" spans="1:7" x14ac:dyDescent="0.35">
      <c r="A997" s="109"/>
      <c r="B997" s="109"/>
      <c r="C997" s="109"/>
      <c r="E997" s="109"/>
      <c r="F997" s="109"/>
      <c r="G997" s="109"/>
    </row>
    <row r="998" spans="1:7" x14ac:dyDescent="0.35">
      <c r="A998" s="109"/>
      <c r="B998" s="109"/>
      <c r="C998" s="109"/>
      <c r="E998" s="109"/>
      <c r="F998" s="109"/>
      <c r="G998" s="109"/>
    </row>
    <row r="999" spans="1:7" x14ac:dyDescent="0.35">
      <c r="A999" s="109"/>
      <c r="B999" s="109"/>
      <c r="C999" s="109"/>
      <c r="E999" s="109"/>
      <c r="F999" s="109"/>
      <c r="G999" s="109"/>
    </row>
    <row r="1000" spans="1:7" x14ac:dyDescent="0.35">
      <c r="A1000" s="109"/>
      <c r="B1000" s="109"/>
      <c r="C1000" s="109"/>
      <c r="E1000" s="109"/>
      <c r="F1000" s="109"/>
      <c r="G1000" s="109"/>
    </row>
  </sheetData>
  <sortState ref="F3:F4">
    <sortCondition ref="F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Factures"/>
  <dimension ref="A1:J1002"/>
  <sheetViews>
    <sheetView workbookViewId="0">
      <selection activeCell="B6" sqref="B6:H6"/>
    </sheetView>
  </sheetViews>
  <sheetFormatPr baseColWidth="10" defaultRowHeight="14.5" outlineLevelCol="1" x14ac:dyDescent="0.35"/>
  <cols>
    <col min="1" max="1" width="13.08984375" customWidth="1" outlineLevel="1"/>
    <col min="2" max="2" width="13.453125" style="14" customWidth="1"/>
    <col min="3" max="3" width="13.453125" customWidth="1"/>
    <col min="4" max="4" width="31.81640625" customWidth="1"/>
    <col min="5" max="5" width="11.90625" bestFit="1" customWidth="1"/>
    <col min="6" max="6" width="16" bestFit="1" customWidth="1"/>
    <col min="7" max="7" width="15" customWidth="1"/>
    <col min="8" max="8" width="16" bestFit="1" customWidth="1"/>
    <col min="9" max="10" width="15" customWidth="1"/>
  </cols>
  <sheetData>
    <row r="1" spans="1:10" ht="15" thickBot="1" x14ac:dyDescent="0.4">
      <c r="A1" s="23" t="s">
        <v>1126</v>
      </c>
      <c r="B1" s="2" t="s">
        <v>7</v>
      </c>
      <c r="C1" s="2" t="s">
        <v>98</v>
      </c>
      <c r="D1" s="2" t="s">
        <v>2</v>
      </c>
      <c r="E1" s="2" t="s">
        <v>118</v>
      </c>
      <c r="F1" s="2" t="s">
        <v>95</v>
      </c>
      <c r="G1" s="2" t="s">
        <v>88</v>
      </c>
      <c r="H1" s="2" t="s">
        <v>96</v>
      </c>
      <c r="I1" s="2" t="s">
        <v>104</v>
      </c>
      <c r="J1" s="2" t="s">
        <v>105</v>
      </c>
    </row>
    <row r="2" spans="1:10" ht="8" customHeight="1" x14ac:dyDescent="0.35">
      <c r="A2" s="18" t="s">
        <v>97</v>
      </c>
      <c r="B2" s="91" t="s">
        <v>97</v>
      </c>
      <c r="C2" s="19" t="s">
        <v>97</v>
      </c>
      <c r="D2" s="17" t="s">
        <v>97</v>
      </c>
      <c r="E2" s="17" t="s">
        <v>97</v>
      </c>
      <c r="F2" s="20" t="s">
        <v>97</v>
      </c>
      <c r="G2" s="20" t="s">
        <v>97</v>
      </c>
      <c r="H2" s="20" t="s">
        <v>97</v>
      </c>
      <c r="I2" s="20" t="s">
        <v>97</v>
      </c>
      <c r="J2" s="20" t="s">
        <v>97</v>
      </c>
    </row>
    <row r="3" spans="1:10" x14ac:dyDescent="0.35">
      <c r="A3" s="4" t="s">
        <v>121</v>
      </c>
      <c r="B3" s="92" t="s">
        <v>121</v>
      </c>
      <c r="C3" s="21">
        <v>43844</v>
      </c>
      <c r="D3" s="4" t="s">
        <v>16</v>
      </c>
      <c r="E3" s="4" t="s">
        <v>2136</v>
      </c>
      <c r="F3" s="24">
        <v>605802.75</v>
      </c>
      <c r="G3" s="24" t="s">
        <v>2137</v>
      </c>
      <c r="H3" s="24">
        <v>605802.75</v>
      </c>
      <c r="I3" s="24" t="s">
        <v>107</v>
      </c>
      <c r="J3" s="24" t="s">
        <v>2138</v>
      </c>
    </row>
    <row r="4" spans="1:10" x14ac:dyDescent="0.35">
      <c r="A4" s="4" t="s">
        <v>122</v>
      </c>
      <c r="B4" s="92" t="s">
        <v>122</v>
      </c>
      <c r="C4" s="21">
        <v>43844</v>
      </c>
      <c r="D4" s="4" t="s">
        <v>83</v>
      </c>
      <c r="E4" s="4" t="s">
        <v>2139</v>
      </c>
      <c r="F4" s="24">
        <v>9460.32</v>
      </c>
      <c r="G4" s="24" t="s">
        <v>2137</v>
      </c>
      <c r="H4" s="24">
        <v>9460.32</v>
      </c>
      <c r="I4" s="24" t="s">
        <v>107</v>
      </c>
      <c r="J4" s="24" t="s">
        <v>2138</v>
      </c>
    </row>
    <row r="5" spans="1:10" x14ac:dyDescent="0.35">
      <c r="A5" s="4" t="s">
        <v>123</v>
      </c>
      <c r="B5" s="92" t="s">
        <v>123</v>
      </c>
      <c r="C5" s="21">
        <v>43844</v>
      </c>
      <c r="D5" s="4" t="s">
        <v>16</v>
      </c>
      <c r="E5" s="4">
        <v>0</v>
      </c>
      <c r="F5" s="24">
        <v>6700</v>
      </c>
      <c r="G5" s="24" t="s">
        <v>2137</v>
      </c>
      <c r="H5" s="24">
        <v>6700</v>
      </c>
      <c r="I5" s="24" t="s">
        <v>107</v>
      </c>
      <c r="J5" s="24" t="s">
        <v>2138</v>
      </c>
    </row>
    <row r="6" spans="1:10" x14ac:dyDescent="0.35">
      <c r="A6" s="4" t="s">
        <v>124</v>
      </c>
      <c r="B6" s="92" t="s">
        <v>124</v>
      </c>
      <c r="C6" s="21">
        <v>43844</v>
      </c>
      <c r="D6" s="4" t="s">
        <v>16</v>
      </c>
      <c r="E6" s="4" t="s">
        <v>2140</v>
      </c>
      <c r="F6" s="24">
        <v>236109582</v>
      </c>
      <c r="G6" s="24">
        <v>47221916.400000006</v>
      </c>
      <c r="H6" s="24">
        <v>283331498.39999998</v>
      </c>
      <c r="I6" s="24" t="s">
        <v>106</v>
      </c>
      <c r="J6" s="24" t="s">
        <v>2138</v>
      </c>
    </row>
    <row r="7" spans="1:10" x14ac:dyDescent="0.35">
      <c r="A7" s="4" t="s">
        <v>125</v>
      </c>
      <c r="B7" s="92" t="s">
        <v>125</v>
      </c>
      <c r="C7" s="21">
        <v>43844</v>
      </c>
      <c r="D7" s="4">
        <v>0</v>
      </c>
      <c r="E7" s="4">
        <v>0</v>
      </c>
      <c r="F7" s="24">
        <v>276078.25</v>
      </c>
      <c r="G7" s="24" t="s">
        <v>2137</v>
      </c>
      <c r="H7" s="24">
        <v>276078.25</v>
      </c>
      <c r="I7" s="24" t="s">
        <v>106</v>
      </c>
      <c r="J7" s="24" t="s">
        <v>2138</v>
      </c>
    </row>
    <row r="8" spans="1:10" x14ac:dyDescent="0.35">
      <c r="A8" s="4" t="s">
        <v>126</v>
      </c>
      <c r="B8" s="92" t="s">
        <v>126</v>
      </c>
      <c r="C8" s="21">
        <v>43844</v>
      </c>
      <c r="D8" s="4" t="s">
        <v>16</v>
      </c>
      <c r="E8" s="4" t="s">
        <v>2140</v>
      </c>
      <c r="F8" s="24">
        <v>236109582</v>
      </c>
      <c r="G8" s="24">
        <v>47221916.400000006</v>
      </c>
      <c r="H8" s="24">
        <v>283331498.39999998</v>
      </c>
      <c r="I8" s="24" t="s">
        <v>106</v>
      </c>
      <c r="J8" s="24" t="s">
        <v>2138</v>
      </c>
    </row>
    <row r="9" spans="1:10" x14ac:dyDescent="0.35">
      <c r="A9" s="4" t="s">
        <v>127</v>
      </c>
      <c r="B9" s="92" t="s">
        <v>127</v>
      </c>
      <c r="C9" s="21">
        <v>43844</v>
      </c>
      <c r="D9" s="4" t="s">
        <v>16</v>
      </c>
      <c r="E9" s="4" t="s">
        <v>2140</v>
      </c>
      <c r="F9" s="24">
        <v>236109582</v>
      </c>
      <c r="G9" s="24">
        <v>47221916.400000006</v>
      </c>
      <c r="H9" s="24">
        <v>283331498.39999998</v>
      </c>
      <c r="I9" s="24" t="s">
        <v>106</v>
      </c>
      <c r="J9" s="24" t="s">
        <v>2138</v>
      </c>
    </row>
    <row r="10" spans="1:10" x14ac:dyDescent="0.35">
      <c r="A10" s="4" t="s">
        <v>128</v>
      </c>
      <c r="B10" s="92" t="s">
        <v>128</v>
      </c>
      <c r="C10" s="21">
        <v>43844</v>
      </c>
      <c r="D10" s="4" t="s">
        <v>16</v>
      </c>
      <c r="E10" s="4" t="s">
        <v>2140</v>
      </c>
      <c r="F10" s="24">
        <v>236109582</v>
      </c>
      <c r="G10" s="24">
        <v>47221916.400000006</v>
      </c>
      <c r="H10" s="24">
        <v>283331498.39999998</v>
      </c>
      <c r="I10" s="24" t="s">
        <v>106</v>
      </c>
      <c r="J10" s="24" t="s">
        <v>2138</v>
      </c>
    </row>
    <row r="11" spans="1:10" x14ac:dyDescent="0.35">
      <c r="A11" s="4" t="s">
        <v>129</v>
      </c>
      <c r="B11" s="92" t="s">
        <v>129</v>
      </c>
      <c r="C11" s="21">
        <v>43848</v>
      </c>
      <c r="D11" s="4" t="s">
        <v>83</v>
      </c>
      <c r="E11" s="4" t="s">
        <v>2140</v>
      </c>
      <c r="F11" s="24">
        <v>236109582</v>
      </c>
      <c r="G11" s="24">
        <v>47221916.400000006</v>
      </c>
      <c r="H11" s="24">
        <v>283331498.39999998</v>
      </c>
      <c r="I11" s="24" t="s">
        <v>106</v>
      </c>
      <c r="J11" s="24" t="s">
        <v>2138</v>
      </c>
    </row>
    <row r="12" spans="1:10" x14ac:dyDescent="0.35">
      <c r="A12" s="4" t="s">
        <v>130</v>
      </c>
      <c r="B12" s="92" t="s">
        <v>130</v>
      </c>
      <c r="C12" s="21">
        <v>43845</v>
      </c>
      <c r="D12" s="4" t="s">
        <v>16</v>
      </c>
      <c r="E12" s="4" t="s">
        <v>2140</v>
      </c>
      <c r="F12" s="24">
        <v>236109582</v>
      </c>
      <c r="G12" s="24">
        <v>47221916.400000006</v>
      </c>
      <c r="H12" s="24">
        <v>283331498.39999998</v>
      </c>
      <c r="I12" s="24" t="s">
        <v>106</v>
      </c>
      <c r="J12" s="24" t="s">
        <v>2138</v>
      </c>
    </row>
    <row r="13" spans="1:10" x14ac:dyDescent="0.35">
      <c r="A13" s="4" t="s">
        <v>131</v>
      </c>
      <c r="B13" s="92" t="s">
        <v>131</v>
      </c>
      <c r="C13" s="21">
        <v>43846</v>
      </c>
      <c r="D13" s="4" t="s">
        <v>16</v>
      </c>
      <c r="E13" s="4" t="s">
        <v>2140</v>
      </c>
      <c r="F13" s="24">
        <v>236109582</v>
      </c>
      <c r="G13" s="24">
        <v>47221916.400000006</v>
      </c>
      <c r="H13" s="24">
        <v>283331498.39999998</v>
      </c>
      <c r="I13" s="24" t="s">
        <v>106</v>
      </c>
      <c r="J13" s="24" t="s">
        <v>2138</v>
      </c>
    </row>
    <row r="14" spans="1:10" x14ac:dyDescent="0.35">
      <c r="A14" s="4" t="s">
        <v>132</v>
      </c>
      <c r="B14" s="92" t="s">
        <v>132</v>
      </c>
      <c r="C14" s="21">
        <v>43844</v>
      </c>
      <c r="D14" s="4" t="s">
        <v>16</v>
      </c>
      <c r="E14" s="4" t="s">
        <v>2140</v>
      </c>
      <c r="F14" s="24">
        <v>236109582</v>
      </c>
      <c r="G14" s="24">
        <v>47221916.400000006</v>
      </c>
      <c r="H14" s="24">
        <v>283331498.39999998</v>
      </c>
      <c r="I14" s="24" t="s">
        <v>106</v>
      </c>
      <c r="J14" s="24" t="s">
        <v>2138</v>
      </c>
    </row>
    <row r="15" spans="1:10" x14ac:dyDescent="0.35">
      <c r="A15" s="4" t="s">
        <v>133</v>
      </c>
      <c r="B15" s="92" t="s">
        <v>133</v>
      </c>
      <c r="C15" s="21">
        <v>43844</v>
      </c>
      <c r="D15" s="4" t="s">
        <v>16</v>
      </c>
      <c r="E15" s="4" t="s">
        <v>2140</v>
      </c>
      <c r="F15" s="24">
        <v>236109582</v>
      </c>
      <c r="G15" s="24">
        <v>47221916.400000006</v>
      </c>
      <c r="H15" s="24">
        <v>283331498.39999998</v>
      </c>
      <c r="I15" s="24" t="s">
        <v>106</v>
      </c>
      <c r="J15" s="24" t="s">
        <v>2138</v>
      </c>
    </row>
    <row r="16" spans="1:10" x14ac:dyDescent="0.35">
      <c r="A16" s="4" t="s">
        <v>134</v>
      </c>
      <c r="B16" s="92" t="s">
        <v>134</v>
      </c>
      <c r="C16" s="21">
        <v>43844</v>
      </c>
      <c r="D16" s="4" t="s">
        <v>16</v>
      </c>
      <c r="E16" s="4" t="s">
        <v>2140</v>
      </c>
      <c r="F16" s="24">
        <v>236109582</v>
      </c>
      <c r="G16" s="24">
        <v>47221916.400000006</v>
      </c>
      <c r="H16" s="24">
        <v>283331498.39999998</v>
      </c>
      <c r="I16" s="24" t="s">
        <v>106</v>
      </c>
      <c r="J16" s="24" t="s">
        <v>2138</v>
      </c>
    </row>
    <row r="17" spans="1:10" x14ac:dyDescent="0.35">
      <c r="A17" s="4" t="s">
        <v>135</v>
      </c>
      <c r="B17" s="92" t="s">
        <v>135</v>
      </c>
      <c r="C17" s="21">
        <v>43844</v>
      </c>
      <c r="D17" s="4" t="s">
        <v>16</v>
      </c>
      <c r="E17" s="4" t="s">
        <v>2140</v>
      </c>
      <c r="F17" s="24">
        <v>236109582</v>
      </c>
      <c r="G17" s="24">
        <v>47221916.400000006</v>
      </c>
      <c r="H17" s="24">
        <v>283331498.39999998</v>
      </c>
      <c r="I17" s="24" t="s">
        <v>106</v>
      </c>
      <c r="J17" s="24" t="s">
        <v>2138</v>
      </c>
    </row>
    <row r="18" spans="1:10" x14ac:dyDescent="0.35">
      <c r="A18" s="4" t="s">
        <v>136</v>
      </c>
      <c r="B18" s="92" t="s">
        <v>136</v>
      </c>
      <c r="C18" s="21">
        <v>43848</v>
      </c>
      <c r="D18" s="4" t="s">
        <v>83</v>
      </c>
      <c r="E18" s="4" t="s">
        <v>2140</v>
      </c>
      <c r="F18" s="24">
        <v>236109582</v>
      </c>
      <c r="G18" s="24">
        <v>47221916.400000006</v>
      </c>
      <c r="H18" s="24">
        <v>283331498.39999998</v>
      </c>
      <c r="I18" s="24" t="s">
        <v>106</v>
      </c>
      <c r="J18" s="24" t="s">
        <v>2138</v>
      </c>
    </row>
    <row r="19" spans="1:10" x14ac:dyDescent="0.35">
      <c r="A19" s="4" t="s">
        <v>137</v>
      </c>
      <c r="B19" s="92" t="s">
        <v>137</v>
      </c>
      <c r="C19" s="21">
        <v>43859</v>
      </c>
      <c r="D19" s="4" t="s">
        <v>16</v>
      </c>
      <c r="E19" s="4" t="s">
        <v>2160</v>
      </c>
      <c r="F19" s="24">
        <v>140290</v>
      </c>
      <c r="G19" s="24">
        <v>28058</v>
      </c>
      <c r="H19" s="24">
        <v>168348</v>
      </c>
      <c r="I19" s="24" t="s">
        <v>106</v>
      </c>
      <c r="J19" s="24" t="s">
        <v>2138</v>
      </c>
    </row>
    <row r="20" spans="1:10" x14ac:dyDescent="0.35">
      <c r="A20" s="4" t="s">
        <v>138</v>
      </c>
      <c r="B20" s="92" t="s">
        <v>138</v>
      </c>
      <c r="C20" s="21">
        <v>43861</v>
      </c>
      <c r="D20" s="4" t="s">
        <v>83</v>
      </c>
      <c r="E20" s="4" t="s">
        <v>2169</v>
      </c>
      <c r="F20" s="24">
        <v>3086380</v>
      </c>
      <c r="G20" s="24" t="s">
        <v>2137</v>
      </c>
      <c r="H20" s="24">
        <v>3086380</v>
      </c>
      <c r="I20" s="24" t="s">
        <v>107</v>
      </c>
      <c r="J20" s="24" t="s">
        <v>2138</v>
      </c>
    </row>
    <row r="21" spans="1:10" x14ac:dyDescent="0.35">
      <c r="A21" s="4" t="s">
        <v>139</v>
      </c>
      <c r="B21" s="92"/>
      <c r="C21" s="21"/>
      <c r="D21" s="4"/>
      <c r="E21" s="4"/>
      <c r="F21" s="24"/>
      <c r="G21" s="24"/>
      <c r="H21" s="24"/>
      <c r="I21" s="24"/>
      <c r="J21" s="24"/>
    </row>
    <row r="22" spans="1:10" x14ac:dyDescent="0.35">
      <c r="A22" s="4" t="s">
        <v>140</v>
      </c>
      <c r="B22" s="92"/>
      <c r="C22" s="21"/>
      <c r="D22" s="4"/>
      <c r="E22" s="4"/>
      <c r="F22" s="24"/>
      <c r="G22" s="24"/>
      <c r="H22" s="24"/>
      <c r="I22" s="24"/>
      <c r="J22" s="24"/>
    </row>
    <row r="23" spans="1:10" x14ac:dyDescent="0.35">
      <c r="A23" s="4" t="s">
        <v>141</v>
      </c>
      <c r="B23" s="92"/>
      <c r="C23" s="21"/>
      <c r="D23" s="4"/>
      <c r="E23" s="4"/>
      <c r="F23" s="24"/>
      <c r="G23" s="24"/>
      <c r="H23" s="24"/>
      <c r="I23" s="24"/>
      <c r="J23" s="24"/>
    </row>
    <row r="24" spans="1:10" x14ac:dyDescent="0.35">
      <c r="A24" s="4" t="s">
        <v>142</v>
      </c>
      <c r="B24" s="92"/>
      <c r="C24" s="21"/>
      <c r="D24" s="4"/>
      <c r="E24" s="4"/>
      <c r="F24" s="24"/>
      <c r="G24" s="24"/>
      <c r="H24" s="24"/>
      <c r="I24" s="24"/>
      <c r="J24" s="24"/>
    </row>
    <row r="25" spans="1:10" x14ac:dyDescent="0.35">
      <c r="A25" s="4" t="s">
        <v>143</v>
      </c>
      <c r="B25" s="92"/>
      <c r="C25" s="21"/>
      <c r="D25" s="4"/>
      <c r="E25" s="4"/>
      <c r="F25" s="24"/>
      <c r="G25" s="24"/>
      <c r="H25" s="24"/>
      <c r="I25" s="24"/>
      <c r="J25" s="24"/>
    </row>
    <row r="26" spans="1:10" x14ac:dyDescent="0.35">
      <c r="A26" s="4" t="s">
        <v>144</v>
      </c>
      <c r="B26" s="92"/>
      <c r="C26" s="21"/>
      <c r="D26" s="4"/>
      <c r="E26" s="4"/>
      <c r="F26" s="24"/>
      <c r="G26" s="24"/>
      <c r="H26" s="24"/>
      <c r="I26" s="24"/>
      <c r="J26" s="24"/>
    </row>
    <row r="27" spans="1:10" x14ac:dyDescent="0.35">
      <c r="A27" s="4" t="s">
        <v>145</v>
      </c>
      <c r="B27" s="92"/>
      <c r="C27" s="21"/>
      <c r="D27" s="4"/>
      <c r="E27" s="4"/>
      <c r="F27" s="24"/>
      <c r="G27" s="24"/>
      <c r="H27" s="24"/>
      <c r="I27" s="24"/>
      <c r="J27" s="24"/>
    </row>
    <row r="28" spans="1:10" x14ac:dyDescent="0.35">
      <c r="A28" s="4" t="s">
        <v>146</v>
      </c>
      <c r="B28" s="92"/>
      <c r="C28" s="21"/>
      <c r="D28" s="4"/>
      <c r="E28" s="4"/>
      <c r="F28" s="24"/>
      <c r="G28" s="24"/>
      <c r="H28" s="24"/>
      <c r="I28" s="24"/>
      <c r="J28" s="24"/>
    </row>
    <row r="29" spans="1:10" x14ac:dyDescent="0.35">
      <c r="A29" s="4" t="s">
        <v>147</v>
      </c>
      <c r="B29" s="92"/>
      <c r="C29" s="21"/>
      <c r="D29" s="4"/>
      <c r="E29" s="4"/>
      <c r="F29" s="24"/>
      <c r="G29" s="24"/>
      <c r="H29" s="24"/>
      <c r="I29" s="24"/>
      <c r="J29" s="24"/>
    </row>
    <row r="30" spans="1:10" x14ac:dyDescent="0.35">
      <c r="A30" s="4" t="s">
        <v>148</v>
      </c>
      <c r="B30" s="92"/>
      <c r="C30" s="21"/>
      <c r="D30" s="4"/>
      <c r="E30" s="4"/>
      <c r="F30" s="24"/>
      <c r="G30" s="24"/>
      <c r="H30" s="24"/>
      <c r="I30" s="24"/>
      <c r="J30" s="24"/>
    </row>
    <row r="31" spans="1:10" x14ac:dyDescent="0.35">
      <c r="A31" s="4" t="s">
        <v>149</v>
      </c>
      <c r="B31" s="92"/>
      <c r="C31" s="21"/>
      <c r="D31" s="4"/>
      <c r="E31" s="4"/>
      <c r="F31" s="24"/>
      <c r="G31" s="24"/>
      <c r="H31" s="24"/>
      <c r="I31" s="24"/>
      <c r="J31" s="24"/>
    </row>
    <row r="32" spans="1:10" x14ac:dyDescent="0.35">
      <c r="A32" s="4" t="s">
        <v>150</v>
      </c>
      <c r="B32" s="92"/>
      <c r="C32" s="21"/>
      <c r="D32" s="4"/>
      <c r="E32" s="4"/>
      <c r="F32" s="24"/>
      <c r="G32" s="24"/>
      <c r="H32" s="24"/>
      <c r="I32" s="24"/>
      <c r="J32" s="24"/>
    </row>
    <row r="33" spans="1:10" x14ac:dyDescent="0.35">
      <c r="A33" s="4" t="s">
        <v>151</v>
      </c>
      <c r="B33" s="92"/>
      <c r="C33" s="21"/>
      <c r="D33" s="4"/>
      <c r="E33" s="4"/>
      <c r="F33" s="24"/>
      <c r="G33" s="24"/>
      <c r="H33" s="24"/>
      <c r="I33" s="24"/>
      <c r="J33" s="24"/>
    </row>
    <row r="34" spans="1:10" x14ac:dyDescent="0.35">
      <c r="A34" s="4" t="s">
        <v>152</v>
      </c>
      <c r="B34" s="92"/>
      <c r="C34" s="21"/>
      <c r="D34" s="4"/>
      <c r="E34" s="4"/>
      <c r="F34" s="24"/>
      <c r="G34" s="24"/>
      <c r="H34" s="24"/>
      <c r="I34" s="24"/>
      <c r="J34" s="24"/>
    </row>
    <row r="35" spans="1:10" x14ac:dyDescent="0.35">
      <c r="A35" s="4" t="s">
        <v>153</v>
      </c>
      <c r="B35" s="92"/>
      <c r="C35" s="21"/>
      <c r="D35" s="4"/>
      <c r="E35" s="4"/>
      <c r="F35" s="24"/>
      <c r="G35" s="24"/>
      <c r="H35" s="24"/>
      <c r="I35" s="24"/>
      <c r="J35" s="24"/>
    </row>
    <row r="36" spans="1:10" x14ac:dyDescent="0.35">
      <c r="A36" s="4" t="s">
        <v>154</v>
      </c>
      <c r="B36" s="92"/>
      <c r="C36" s="21"/>
      <c r="D36" s="4"/>
      <c r="E36" s="4"/>
      <c r="F36" s="24"/>
      <c r="G36" s="24"/>
      <c r="H36" s="24"/>
      <c r="I36" s="24"/>
      <c r="J36" s="24"/>
    </row>
    <row r="37" spans="1:10" x14ac:dyDescent="0.35">
      <c r="A37" s="4" t="s">
        <v>155</v>
      </c>
      <c r="B37" s="92"/>
      <c r="C37" s="21"/>
      <c r="D37" s="4"/>
      <c r="E37" s="4"/>
      <c r="F37" s="24"/>
      <c r="G37" s="24"/>
      <c r="H37" s="24"/>
      <c r="I37" s="24"/>
      <c r="J37" s="24"/>
    </row>
    <row r="38" spans="1:10" x14ac:dyDescent="0.35">
      <c r="A38" s="4" t="s">
        <v>156</v>
      </c>
      <c r="B38" s="92"/>
      <c r="C38" s="21"/>
      <c r="D38" s="4"/>
      <c r="E38" s="4"/>
      <c r="F38" s="24"/>
      <c r="G38" s="24"/>
      <c r="H38" s="24"/>
      <c r="I38" s="24"/>
      <c r="J38" s="24"/>
    </row>
    <row r="39" spans="1:10" x14ac:dyDescent="0.35">
      <c r="A39" s="4" t="s">
        <v>157</v>
      </c>
      <c r="B39" s="92"/>
      <c r="C39" s="21"/>
      <c r="D39" s="4"/>
      <c r="E39" s="4"/>
      <c r="F39" s="24"/>
      <c r="G39" s="24"/>
      <c r="H39" s="24"/>
      <c r="I39" s="24"/>
      <c r="J39" s="24"/>
    </row>
    <row r="40" spans="1:10" x14ac:dyDescent="0.35">
      <c r="A40" s="4" t="s">
        <v>158</v>
      </c>
      <c r="B40" s="92"/>
      <c r="C40" s="21"/>
      <c r="D40" s="4"/>
      <c r="E40" s="4"/>
      <c r="F40" s="24"/>
      <c r="G40" s="24"/>
      <c r="H40" s="24"/>
      <c r="I40" s="24"/>
      <c r="J40" s="24"/>
    </row>
    <row r="41" spans="1:10" x14ac:dyDescent="0.35">
      <c r="A41" s="4" t="s">
        <v>159</v>
      </c>
      <c r="B41" s="92"/>
      <c r="C41" s="21"/>
      <c r="D41" s="4"/>
      <c r="E41" s="4"/>
      <c r="F41" s="24"/>
      <c r="G41" s="24"/>
      <c r="H41" s="24"/>
      <c r="I41" s="24"/>
      <c r="J41" s="24"/>
    </row>
    <row r="42" spans="1:10" x14ac:dyDescent="0.35">
      <c r="A42" s="4" t="s">
        <v>160</v>
      </c>
      <c r="B42" s="92"/>
      <c r="C42" s="21"/>
      <c r="D42" s="4"/>
      <c r="E42" s="4"/>
      <c r="F42" s="24"/>
      <c r="G42" s="24"/>
      <c r="H42" s="24"/>
      <c r="I42" s="24"/>
      <c r="J42" s="24"/>
    </row>
    <row r="43" spans="1:10" x14ac:dyDescent="0.35">
      <c r="A43" s="4" t="s">
        <v>161</v>
      </c>
      <c r="B43" s="92"/>
      <c r="C43" s="21"/>
      <c r="D43" s="4"/>
      <c r="E43" s="4"/>
      <c r="F43" s="24"/>
      <c r="G43" s="24"/>
      <c r="H43" s="24"/>
      <c r="I43" s="24"/>
      <c r="J43" s="24"/>
    </row>
    <row r="44" spans="1:10" x14ac:dyDescent="0.35">
      <c r="A44" s="4" t="s">
        <v>162</v>
      </c>
      <c r="B44" s="92"/>
      <c r="C44" s="21"/>
      <c r="D44" s="4"/>
      <c r="E44" s="4"/>
      <c r="F44" s="24"/>
      <c r="G44" s="24"/>
      <c r="H44" s="24"/>
      <c r="I44" s="24"/>
      <c r="J44" s="24"/>
    </row>
    <row r="45" spans="1:10" x14ac:dyDescent="0.35">
      <c r="A45" s="4" t="s">
        <v>163</v>
      </c>
      <c r="B45" s="92"/>
      <c r="C45" s="21"/>
      <c r="D45" s="4"/>
      <c r="E45" s="4"/>
      <c r="F45" s="24"/>
      <c r="G45" s="24"/>
      <c r="H45" s="24"/>
      <c r="I45" s="24"/>
      <c r="J45" s="24"/>
    </row>
    <row r="46" spans="1:10" x14ac:dyDescent="0.35">
      <c r="A46" s="4" t="s">
        <v>164</v>
      </c>
      <c r="B46" s="92"/>
      <c r="C46" s="21"/>
      <c r="D46" s="4"/>
      <c r="E46" s="4"/>
      <c r="F46" s="24"/>
      <c r="G46" s="24"/>
      <c r="H46" s="24"/>
      <c r="I46" s="24"/>
      <c r="J46" s="24"/>
    </row>
    <row r="47" spans="1:10" x14ac:dyDescent="0.35">
      <c r="A47" s="4" t="s">
        <v>165</v>
      </c>
      <c r="B47" s="92"/>
      <c r="C47" s="21"/>
      <c r="D47" s="4"/>
      <c r="E47" s="4"/>
      <c r="F47" s="24"/>
      <c r="G47" s="24"/>
      <c r="H47" s="24"/>
      <c r="I47" s="24"/>
      <c r="J47" s="24"/>
    </row>
    <row r="48" spans="1:10" x14ac:dyDescent="0.35">
      <c r="A48" s="4" t="s">
        <v>166</v>
      </c>
      <c r="B48" s="92"/>
      <c r="C48" s="21"/>
      <c r="D48" s="4"/>
      <c r="E48" s="4"/>
      <c r="F48" s="24"/>
      <c r="G48" s="24"/>
      <c r="H48" s="24"/>
      <c r="I48" s="24"/>
      <c r="J48" s="24"/>
    </row>
    <row r="49" spans="1:10" x14ac:dyDescent="0.35">
      <c r="A49" s="4" t="s">
        <v>167</v>
      </c>
      <c r="B49" s="92"/>
      <c r="C49" s="21"/>
      <c r="D49" s="4"/>
      <c r="E49" s="4"/>
      <c r="F49" s="24"/>
      <c r="G49" s="24"/>
      <c r="H49" s="24"/>
      <c r="I49" s="24"/>
      <c r="J49" s="24"/>
    </row>
    <row r="50" spans="1:10" x14ac:dyDescent="0.35">
      <c r="A50" s="4" t="s">
        <v>168</v>
      </c>
      <c r="B50" s="92"/>
      <c r="C50" s="21"/>
      <c r="D50" s="4"/>
      <c r="E50" s="4"/>
      <c r="F50" s="24"/>
      <c r="G50" s="24"/>
      <c r="H50" s="24"/>
      <c r="I50" s="24"/>
      <c r="J50" s="24"/>
    </row>
    <row r="51" spans="1:10" x14ac:dyDescent="0.35">
      <c r="A51" s="4" t="s">
        <v>169</v>
      </c>
      <c r="B51" s="92"/>
      <c r="C51" s="21"/>
      <c r="D51" s="4"/>
      <c r="E51" s="4"/>
      <c r="F51" s="24"/>
      <c r="G51" s="24"/>
      <c r="H51" s="24"/>
      <c r="I51" s="24"/>
      <c r="J51" s="24"/>
    </row>
    <row r="52" spans="1:10" x14ac:dyDescent="0.35">
      <c r="A52" s="4" t="s">
        <v>170</v>
      </c>
      <c r="B52" s="92"/>
      <c r="C52" s="21"/>
      <c r="D52" s="4"/>
      <c r="E52" s="4"/>
      <c r="F52" s="24"/>
      <c r="G52" s="24"/>
      <c r="H52" s="24"/>
      <c r="I52" s="24"/>
      <c r="J52" s="24"/>
    </row>
    <row r="53" spans="1:10" x14ac:dyDescent="0.35">
      <c r="A53" s="4" t="s">
        <v>171</v>
      </c>
      <c r="B53" s="92"/>
      <c r="C53" s="21"/>
      <c r="D53" s="4"/>
      <c r="E53" s="4"/>
      <c r="F53" s="24"/>
      <c r="G53" s="24"/>
      <c r="H53" s="24"/>
      <c r="I53" s="24"/>
      <c r="J53" s="24"/>
    </row>
    <row r="54" spans="1:10" x14ac:dyDescent="0.35">
      <c r="A54" s="4" t="s">
        <v>172</v>
      </c>
      <c r="B54" s="92"/>
      <c r="C54" s="21"/>
      <c r="D54" s="4"/>
      <c r="E54" s="4"/>
      <c r="F54" s="24"/>
      <c r="G54" s="24"/>
      <c r="H54" s="24"/>
      <c r="I54" s="24"/>
      <c r="J54" s="24"/>
    </row>
    <row r="55" spans="1:10" x14ac:dyDescent="0.35">
      <c r="A55" s="4" t="s">
        <v>173</v>
      </c>
      <c r="B55" s="92"/>
      <c r="C55" s="21"/>
      <c r="D55" s="4"/>
      <c r="E55" s="4"/>
      <c r="F55" s="24"/>
      <c r="G55" s="24"/>
      <c r="H55" s="24"/>
      <c r="I55" s="24"/>
      <c r="J55" s="24"/>
    </row>
    <row r="56" spans="1:10" x14ac:dyDescent="0.35">
      <c r="A56" s="4" t="s">
        <v>174</v>
      </c>
      <c r="B56" s="92"/>
      <c r="C56" s="21"/>
      <c r="D56" s="4"/>
      <c r="E56" s="4"/>
      <c r="F56" s="24"/>
      <c r="G56" s="24"/>
      <c r="H56" s="24"/>
      <c r="I56" s="24"/>
      <c r="J56" s="24"/>
    </row>
    <row r="57" spans="1:10" x14ac:dyDescent="0.35">
      <c r="A57" s="4" t="s">
        <v>175</v>
      </c>
      <c r="B57" s="92"/>
      <c r="C57" s="21"/>
      <c r="D57" s="4"/>
      <c r="E57" s="4"/>
      <c r="F57" s="24"/>
      <c r="G57" s="24"/>
      <c r="H57" s="24"/>
      <c r="I57" s="24"/>
      <c r="J57" s="24"/>
    </row>
    <row r="58" spans="1:10" x14ac:dyDescent="0.35">
      <c r="A58" s="4" t="s">
        <v>176</v>
      </c>
      <c r="B58" s="92"/>
      <c r="C58" s="21"/>
      <c r="D58" s="4"/>
      <c r="E58" s="4"/>
      <c r="F58" s="24"/>
      <c r="G58" s="24"/>
      <c r="H58" s="24"/>
      <c r="I58" s="24"/>
      <c r="J58" s="24"/>
    </row>
    <row r="59" spans="1:10" x14ac:dyDescent="0.35">
      <c r="A59" s="4" t="s">
        <v>177</v>
      </c>
      <c r="B59" s="92"/>
      <c r="C59" s="21"/>
      <c r="D59" s="4"/>
      <c r="E59" s="4"/>
      <c r="F59" s="24"/>
      <c r="G59" s="24"/>
      <c r="H59" s="24"/>
      <c r="I59" s="24"/>
      <c r="J59" s="24"/>
    </row>
    <row r="60" spans="1:10" x14ac:dyDescent="0.35">
      <c r="A60" s="4" t="s">
        <v>178</v>
      </c>
      <c r="B60" s="92"/>
      <c r="C60" s="21"/>
      <c r="D60" s="4"/>
      <c r="E60" s="4"/>
      <c r="F60" s="24"/>
      <c r="G60" s="24"/>
      <c r="H60" s="24"/>
      <c r="I60" s="24"/>
      <c r="J60" s="24"/>
    </row>
    <row r="61" spans="1:10" x14ac:dyDescent="0.35">
      <c r="A61" s="4" t="s">
        <v>179</v>
      </c>
      <c r="B61" s="92"/>
      <c r="C61" s="21"/>
      <c r="D61" s="4"/>
      <c r="E61" s="4"/>
      <c r="F61" s="24"/>
      <c r="G61" s="24"/>
      <c r="H61" s="24"/>
      <c r="I61" s="24"/>
      <c r="J61" s="24"/>
    </row>
    <row r="62" spans="1:10" x14ac:dyDescent="0.35">
      <c r="A62" s="4" t="s">
        <v>180</v>
      </c>
      <c r="B62" s="92"/>
      <c r="C62" s="21"/>
      <c r="D62" s="4"/>
      <c r="E62" s="4"/>
      <c r="F62" s="24"/>
      <c r="G62" s="24"/>
      <c r="H62" s="24"/>
      <c r="I62" s="24"/>
      <c r="J62" s="24"/>
    </row>
    <row r="63" spans="1:10" x14ac:dyDescent="0.35">
      <c r="A63" s="4" t="s">
        <v>181</v>
      </c>
      <c r="B63" s="92"/>
      <c r="C63" s="21"/>
      <c r="D63" s="4"/>
      <c r="E63" s="4"/>
      <c r="F63" s="24"/>
      <c r="G63" s="24"/>
      <c r="H63" s="24"/>
      <c r="I63" s="24"/>
      <c r="J63" s="24"/>
    </row>
    <row r="64" spans="1:10" x14ac:dyDescent="0.35">
      <c r="A64" s="4" t="s">
        <v>182</v>
      </c>
      <c r="B64" s="92"/>
      <c r="C64" s="21"/>
      <c r="D64" s="4"/>
      <c r="E64" s="4"/>
      <c r="F64" s="24"/>
      <c r="G64" s="24"/>
      <c r="H64" s="24"/>
      <c r="I64" s="24"/>
      <c r="J64" s="24"/>
    </row>
    <row r="65" spans="1:10" x14ac:dyDescent="0.35">
      <c r="A65" s="4" t="s">
        <v>183</v>
      </c>
      <c r="B65" s="92"/>
      <c r="C65" s="21"/>
      <c r="D65" s="4"/>
      <c r="E65" s="4"/>
      <c r="F65" s="24"/>
      <c r="G65" s="24"/>
      <c r="H65" s="24"/>
      <c r="I65" s="24"/>
      <c r="J65" s="24"/>
    </row>
    <row r="66" spans="1:10" x14ac:dyDescent="0.35">
      <c r="A66" s="4" t="s">
        <v>184</v>
      </c>
      <c r="B66" s="92"/>
      <c r="C66" s="21"/>
      <c r="D66" s="4"/>
      <c r="E66" s="4"/>
      <c r="F66" s="24"/>
      <c r="G66" s="24"/>
      <c r="H66" s="24"/>
      <c r="I66" s="24"/>
      <c r="J66" s="24"/>
    </row>
    <row r="67" spans="1:10" x14ac:dyDescent="0.35">
      <c r="A67" s="4" t="s">
        <v>185</v>
      </c>
      <c r="B67" s="92"/>
      <c r="C67" s="21"/>
      <c r="D67" s="4"/>
      <c r="E67" s="4"/>
      <c r="F67" s="24"/>
      <c r="G67" s="24"/>
      <c r="H67" s="24"/>
      <c r="I67" s="24"/>
      <c r="J67" s="24"/>
    </row>
    <row r="68" spans="1:10" x14ac:dyDescent="0.35">
      <c r="A68" s="4" t="s">
        <v>186</v>
      </c>
      <c r="B68" s="92"/>
      <c r="C68" s="21"/>
      <c r="D68" s="4"/>
      <c r="E68" s="4"/>
      <c r="F68" s="24"/>
      <c r="G68" s="24"/>
      <c r="H68" s="24"/>
      <c r="I68" s="24"/>
      <c r="J68" s="24"/>
    </row>
    <row r="69" spans="1:10" x14ac:dyDescent="0.35">
      <c r="A69" s="4" t="s">
        <v>187</v>
      </c>
      <c r="B69" s="92"/>
      <c r="C69" s="21"/>
      <c r="D69" s="4"/>
      <c r="E69" s="4"/>
      <c r="F69" s="24"/>
      <c r="G69" s="24"/>
      <c r="H69" s="24"/>
      <c r="I69" s="24"/>
      <c r="J69" s="24"/>
    </row>
    <row r="70" spans="1:10" x14ac:dyDescent="0.35">
      <c r="A70" s="4" t="s">
        <v>188</v>
      </c>
      <c r="B70" s="92"/>
      <c r="C70" s="21"/>
      <c r="D70" s="4"/>
      <c r="E70" s="4"/>
      <c r="F70" s="24"/>
      <c r="G70" s="24"/>
      <c r="H70" s="24"/>
      <c r="I70" s="24"/>
      <c r="J70" s="24"/>
    </row>
    <row r="71" spans="1:10" x14ac:dyDescent="0.35">
      <c r="A71" s="4" t="s">
        <v>189</v>
      </c>
      <c r="B71" s="92"/>
      <c r="C71" s="21"/>
      <c r="D71" s="4"/>
      <c r="E71" s="4"/>
      <c r="F71" s="24"/>
      <c r="G71" s="24"/>
      <c r="H71" s="24"/>
      <c r="I71" s="24"/>
      <c r="J71" s="24"/>
    </row>
    <row r="72" spans="1:10" x14ac:dyDescent="0.35">
      <c r="A72" s="4" t="s">
        <v>190</v>
      </c>
      <c r="B72" s="92"/>
      <c r="C72" s="21"/>
      <c r="D72" s="4"/>
      <c r="E72" s="4"/>
      <c r="F72" s="24"/>
      <c r="G72" s="24"/>
      <c r="H72" s="24"/>
      <c r="I72" s="24"/>
      <c r="J72" s="24"/>
    </row>
    <row r="73" spans="1:10" x14ac:dyDescent="0.35">
      <c r="A73" s="4" t="s">
        <v>191</v>
      </c>
      <c r="B73" s="92"/>
      <c r="C73" s="21"/>
      <c r="D73" s="4"/>
      <c r="E73" s="4"/>
      <c r="F73" s="24"/>
      <c r="G73" s="24"/>
      <c r="H73" s="24"/>
      <c r="I73" s="24"/>
      <c r="J73" s="24"/>
    </row>
    <row r="74" spans="1:10" x14ac:dyDescent="0.35">
      <c r="A74" s="4" t="s">
        <v>192</v>
      </c>
      <c r="B74" s="92"/>
      <c r="C74" s="21"/>
      <c r="D74" s="4"/>
      <c r="E74" s="4"/>
      <c r="F74" s="24"/>
      <c r="G74" s="24"/>
      <c r="H74" s="24"/>
      <c r="I74" s="24"/>
      <c r="J74" s="24"/>
    </row>
    <row r="75" spans="1:10" x14ac:dyDescent="0.35">
      <c r="A75" s="4" t="s">
        <v>193</v>
      </c>
      <c r="B75" s="92"/>
      <c r="C75" s="21"/>
      <c r="D75" s="4"/>
      <c r="E75" s="4"/>
      <c r="F75" s="24"/>
      <c r="G75" s="24"/>
      <c r="H75" s="24"/>
      <c r="I75" s="24"/>
      <c r="J75" s="24"/>
    </row>
    <row r="76" spans="1:10" x14ac:dyDescent="0.35">
      <c r="A76" s="4" t="s">
        <v>194</v>
      </c>
      <c r="B76" s="92"/>
      <c r="C76" s="21"/>
      <c r="D76" s="4"/>
      <c r="E76" s="4"/>
      <c r="F76" s="24"/>
      <c r="G76" s="24"/>
      <c r="H76" s="24"/>
      <c r="I76" s="24"/>
      <c r="J76" s="24"/>
    </row>
    <row r="77" spans="1:10" x14ac:dyDescent="0.35">
      <c r="A77" s="4" t="s">
        <v>195</v>
      </c>
      <c r="B77" s="92"/>
      <c r="C77" s="21"/>
      <c r="D77" s="4"/>
      <c r="E77" s="4"/>
      <c r="F77" s="24"/>
      <c r="G77" s="24"/>
      <c r="H77" s="24"/>
      <c r="I77" s="24"/>
      <c r="J77" s="24"/>
    </row>
    <row r="78" spans="1:10" x14ac:dyDescent="0.35">
      <c r="A78" s="4" t="s">
        <v>196</v>
      </c>
      <c r="B78" s="92"/>
      <c r="C78" s="21"/>
      <c r="D78" s="4"/>
      <c r="E78" s="4"/>
      <c r="F78" s="24"/>
      <c r="G78" s="24"/>
      <c r="H78" s="24"/>
      <c r="I78" s="24"/>
      <c r="J78" s="24"/>
    </row>
    <row r="79" spans="1:10" x14ac:dyDescent="0.35">
      <c r="A79" s="4" t="s">
        <v>197</v>
      </c>
      <c r="B79" s="92"/>
      <c r="C79" s="21"/>
      <c r="D79" s="4"/>
      <c r="E79" s="4"/>
      <c r="F79" s="24"/>
      <c r="G79" s="24"/>
      <c r="H79" s="24"/>
      <c r="I79" s="24"/>
      <c r="J79" s="24"/>
    </row>
    <row r="80" spans="1:10" x14ac:dyDescent="0.35">
      <c r="A80" s="4" t="s">
        <v>198</v>
      </c>
      <c r="B80" s="92"/>
      <c r="C80" s="21"/>
      <c r="D80" s="4"/>
      <c r="E80" s="4"/>
      <c r="F80" s="24"/>
      <c r="G80" s="24"/>
      <c r="H80" s="24"/>
      <c r="I80" s="24"/>
      <c r="J80" s="24"/>
    </row>
    <row r="81" spans="1:10" x14ac:dyDescent="0.35">
      <c r="A81" s="4" t="s">
        <v>199</v>
      </c>
      <c r="B81" s="92"/>
      <c r="C81" s="21"/>
      <c r="D81" s="4"/>
      <c r="E81" s="4"/>
      <c r="F81" s="24"/>
      <c r="G81" s="24"/>
      <c r="H81" s="24"/>
      <c r="I81" s="24"/>
      <c r="J81" s="24"/>
    </row>
    <row r="82" spans="1:10" x14ac:dyDescent="0.35">
      <c r="A82" s="4" t="s">
        <v>200</v>
      </c>
      <c r="B82" s="92"/>
      <c r="C82" s="21"/>
      <c r="D82" s="4"/>
      <c r="E82" s="4"/>
      <c r="F82" s="24"/>
      <c r="G82" s="24"/>
      <c r="H82" s="24"/>
      <c r="I82" s="24"/>
      <c r="J82" s="24"/>
    </row>
    <row r="83" spans="1:10" x14ac:dyDescent="0.35">
      <c r="A83" s="4" t="s">
        <v>201</v>
      </c>
      <c r="B83" s="92"/>
      <c r="C83" s="21"/>
      <c r="D83" s="4"/>
      <c r="E83" s="4"/>
      <c r="F83" s="24"/>
      <c r="G83" s="24"/>
      <c r="H83" s="24"/>
      <c r="I83" s="24"/>
      <c r="J83" s="24"/>
    </row>
    <row r="84" spans="1:10" x14ac:dyDescent="0.35">
      <c r="A84" s="4" t="s">
        <v>202</v>
      </c>
      <c r="B84" s="92"/>
      <c r="C84" s="21"/>
      <c r="D84" s="4"/>
      <c r="E84" s="4"/>
      <c r="F84" s="24"/>
      <c r="G84" s="24"/>
      <c r="H84" s="24"/>
      <c r="I84" s="24"/>
      <c r="J84" s="24"/>
    </row>
    <row r="85" spans="1:10" x14ac:dyDescent="0.35">
      <c r="A85" s="4" t="s">
        <v>203</v>
      </c>
      <c r="B85" s="92"/>
      <c r="C85" s="21"/>
      <c r="D85" s="4"/>
      <c r="E85" s="4"/>
      <c r="F85" s="24"/>
      <c r="G85" s="24"/>
      <c r="H85" s="24"/>
      <c r="I85" s="24"/>
      <c r="J85" s="24"/>
    </row>
    <row r="86" spans="1:10" x14ac:dyDescent="0.35">
      <c r="A86" s="4" t="s">
        <v>204</v>
      </c>
      <c r="B86" s="92"/>
      <c r="C86" s="21"/>
      <c r="D86" s="4"/>
      <c r="E86" s="4"/>
      <c r="F86" s="24"/>
      <c r="G86" s="24"/>
      <c r="H86" s="24"/>
      <c r="I86" s="24"/>
      <c r="J86" s="24"/>
    </row>
    <row r="87" spans="1:10" x14ac:dyDescent="0.35">
      <c r="A87" s="4" t="s">
        <v>205</v>
      </c>
      <c r="B87" s="92"/>
      <c r="C87" s="21"/>
      <c r="D87" s="4"/>
      <c r="E87" s="4"/>
      <c r="F87" s="24"/>
      <c r="G87" s="24"/>
      <c r="H87" s="24"/>
      <c r="I87" s="24"/>
      <c r="J87" s="24"/>
    </row>
    <row r="88" spans="1:10" x14ac:dyDescent="0.35">
      <c r="A88" s="4" t="s">
        <v>206</v>
      </c>
      <c r="B88" s="92"/>
      <c r="C88" s="21"/>
      <c r="D88" s="4"/>
      <c r="E88" s="4"/>
      <c r="F88" s="24"/>
      <c r="G88" s="24"/>
      <c r="H88" s="24"/>
      <c r="I88" s="24"/>
      <c r="J88" s="24"/>
    </row>
    <row r="89" spans="1:10" x14ac:dyDescent="0.35">
      <c r="A89" s="4" t="s">
        <v>207</v>
      </c>
      <c r="B89" s="92"/>
      <c r="C89" s="21"/>
      <c r="D89" s="4"/>
      <c r="E89" s="4"/>
      <c r="F89" s="24"/>
      <c r="G89" s="24"/>
      <c r="H89" s="24"/>
      <c r="I89" s="24"/>
      <c r="J89" s="24"/>
    </row>
    <row r="90" spans="1:10" x14ac:dyDescent="0.35">
      <c r="A90" s="4" t="s">
        <v>208</v>
      </c>
      <c r="B90" s="92"/>
      <c r="C90" s="21"/>
      <c r="D90" s="4"/>
      <c r="E90" s="4"/>
      <c r="F90" s="24"/>
      <c r="G90" s="24"/>
      <c r="H90" s="24"/>
      <c r="I90" s="24"/>
      <c r="J90" s="24"/>
    </row>
    <row r="91" spans="1:10" x14ac:dyDescent="0.35">
      <c r="A91" s="4" t="s">
        <v>209</v>
      </c>
      <c r="B91" s="92"/>
      <c r="C91" s="21"/>
      <c r="D91" s="4"/>
      <c r="E91" s="4"/>
      <c r="F91" s="24"/>
      <c r="G91" s="24"/>
      <c r="H91" s="24"/>
      <c r="I91" s="24"/>
      <c r="J91" s="24"/>
    </row>
    <row r="92" spans="1:10" x14ac:dyDescent="0.35">
      <c r="A92" s="4" t="s">
        <v>210</v>
      </c>
      <c r="B92" s="92"/>
      <c r="C92" s="21"/>
      <c r="D92" s="4"/>
      <c r="E92" s="4"/>
      <c r="F92" s="24"/>
      <c r="G92" s="24"/>
      <c r="H92" s="24"/>
      <c r="I92" s="24"/>
      <c r="J92" s="24"/>
    </row>
    <row r="93" spans="1:10" x14ac:dyDescent="0.35">
      <c r="A93" s="4" t="s">
        <v>211</v>
      </c>
      <c r="B93" s="92"/>
      <c r="C93" s="21"/>
      <c r="D93" s="4"/>
      <c r="E93" s="4"/>
      <c r="F93" s="24"/>
      <c r="G93" s="24"/>
      <c r="H93" s="24"/>
      <c r="I93" s="24"/>
      <c r="J93" s="24"/>
    </row>
    <row r="94" spans="1:10" x14ac:dyDescent="0.35">
      <c r="A94" s="4" t="s">
        <v>212</v>
      </c>
      <c r="B94" s="92"/>
      <c r="C94" s="21"/>
      <c r="D94" s="4"/>
      <c r="E94" s="4"/>
      <c r="F94" s="24"/>
      <c r="G94" s="24"/>
      <c r="H94" s="24"/>
      <c r="I94" s="24"/>
      <c r="J94" s="24"/>
    </row>
    <row r="95" spans="1:10" x14ac:dyDescent="0.35">
      <c r="A95" s="4" t="s">
        <v>213</v>
      </c>
      <c r="B95" s="92"/>
      <c r="C95" s="21"/>
      <c r="D95" s="4"/>
      <c r="E95" s="4"/>
      <c r="F95" s="24"/>
      <c r="G95" s="24"/>
      <c r="H95" s="24"/>
      <c r="I95" s="24"/>
      <c r="J95" s="24"/>
    </row>
    <row r="96" spans="1:10" x14ac:dyDescent="0.35">
      <c r="A96" s="4" t="s">
        <v>214</v>
      </c>
      <c r="B96" s="92"/>
      <c r="C96" s="21"/>
      <c r="D96" s="4"/>
      <c r="E96" s="4"/>
      <c r="F96" s="24"/>
      <c r="G96" s="24"/>
      <c r="H96" s="24"/>
      <c r="I96" s="24"/>
      <c r="J96" s="24"/>
    </row>
    <row r="97" spans="1:10" x14ac:dyDescent="0.35">
      <c r="A97" s="4" t="s">
        <v>215</v>
      </c>
      <c r="B97" s="92"/>
      <c r="C97" s="21"/>
      <c r="D97" s="4"/>
      <c r="E97" s="4"/>
      <c r="F97" s="24"/>
      <c r="G97" s="24"/>
      <c r="H97" s="24"/>
      <c r="I97" s="24"/>
      <c r="J97" s="24"/>
    </row>
    <row r="98" spans="1:10" x14ac:dyDescent="0.35">
      <c r="A98" s="4" t="s">
        <v>216</v>
      </c>
      <c r="B98" s="92"/>
      <c r="C98" s="21"/>
      <c r="D98" s="4"/>
      <c r="E98" s="4"/>
      <c r="F98" s="24"/>
      <c r="G98" s="24"/>
      <c r="H98" s="24"/>
      <c r="I98" s="24"/>
      <c r="J98" s="24"/>
    </row>
    <row r="99" spans="1:10" x14ac:dyDescent="0.35">
      <c r="A99" s="4" t="s">
        <v>217</v>
      </c>
      <c r="B99" s="92"/>
      <c r="C99" s="21"/>
      <c r="D99" s="4"/>
      <c r="E99" s="4"/>
      <c r="F99" s="24"/>
      <c r="G99" s="24"/>
      <c r="H99" s="24"/>
      <c r="I99" s="24"/>
      <c r="J99" s="24"/>
    </row>
    <row r="100" spans="1:10" x14ac:dyDescent="0.35">
      <c r="A100" s="4" t="s">
        <v>218</v>
      </c>
      <c r="B100" s="92"/>
      <c r="C100" s="21"/>
      <c r="D100" s="4"/>
      <c r="E100" s="4"/>
      <c r="F100" s="24"/>
      <c r="G100" s="24"/>
      <c r="H100" s="24"/>
      <c r="I100" s="24"/>
      <c r="J100" s="24"/>
    </row>
    <row r="101" spans="1:10" x14ac:dyDescent="0.35">
      <c r="A101" s="4" t="s">
        <v>219</v>
      </c>
      <c r="B101" s="92"/>
      <c r="C101" s="21"/>
      <c r="D101" s="4"/>
      <c r="E101" s="4"/>
      <c r="F101" s="24"/>
      <c r="G101" s="24"/>
      <c r="H101" s="24"/>
      <c r="I101" s="24"/>
      <c r="J101" s="24"/>
    </row>
    <row r="102" spans="1:10" x14ac:dyDescent="0.35">
      <c r="A102" t="s">
        <v>220</v>
      </c>
      <c r="B102" s="92"/>
      <c r="C102" s="21"/>
      <c r="D102" s="4"/>
      <c r="E102" s="4"/>
      <c r="F102" s="24"/>
      <c r="G102" s="24"/>
      <c r="H102" s="24"/>
      <c r="I102" s="24"/>
      <c r="J102" s="24"/>
    </row>
    <row r="103" spans="1:10" x14ac:dyDescent="0.35">
      <c r="A103" t="s">
        <v>221</v>
      </c>
      <c r="B103" s="92"/>
      <c r="C103" s="21"/>
      <c r="D103" s="4"/>
      <c r="E103" s="4"/>
      <c r="F103" s="24"/>
      <c r="G103" s="24"/>
      <c r="H103" s="24"/>
      <c r="I103" s="24"/>
      <c r="J103" s="24"/>
    </row>
    <row r="104" spans="1:10" x14ac:dyDescent="0.35">
      <c r="A104" t="s">
        <v>222</v>
      </c>
      <c r="B104" s="92"/>
      <c r="C104" s="21"/>
      <c r="D104" s="4"/>
      <c r="E104" s="4"/>
      <c r="F104" s="24"/>
      <c r="G104" s="24"/>
      <c r="H104" s="24"/>
      <c r="I104" s="24"/>
      <c r="J104" s="24"/>
    </row>
    <row r="105" spans="1:10" x14ac:dyDescent="0.35">
      <c r="A105" t="s">
        <v>223</v>
      </c>
      <c r="B105" s="92"/>
      <c r="C105" s="21"/>
      <c r="D105" s="4"/>
      <c r="E105" s="4"/>
      <c r="F105" s="24"/>
      <c r="G105" s="24"/>
      <c r="H105" s="24"/>
      <c r="I105" s="24"/>
      <c r="J105" s="24"/>
    </row>
    <row r="106" spans="1:10" x14ac:dyDescent="0.35">
      <c r="A106" t="s">
        <v>224</v>
      </c>
      <c r="B106" s="92"/>
      <c r="C106" s="21"/>
      <c r="D106" s="4"/>
      <c r="E106" s="4"/>
      <c r="F106" s="24"/>
      <c r="G106" s="24"/>
      <c r="H106" s="24"/>
      <c r="I106" s="24"/>
      <c r="J106" s="24"/>
    </row>
    <row r="107" spans="1:10" x14ac:dyDescent="0.35">
      <c r="A107" t="s">
        <v>225</v>
      </c>
      <c r="B107" s="92"/>
      <c r="C107" s="21"/>
      <c r="D107" s="4"/>
      <c r="E107" s="4"/>
      <c r="F107" s="24"/>
      <c r="G107" s="24"/>
      <c r="H107" s="24"/>
      <c r="I107" s="24"/>
      <c r="J107" s="24"/>
    </row>
    <row r="108" spans="1:10" x14ac:dyDescent="0.35">
      <c r="A108" t="s">
        <v>226</v>
      </c>
      <c r="B108" s="92"/>
      <c r="C108" s="21"/>
      <c r="D108" s="4"/>
      <c r="E108" s="4"/>
      <c r="F108" s="24"/>
      <c r="G108" s="24"/>
      <c r="H108" s="24"/>
      <c r="I108" s="24"/>
      <c r="J108" s="24"/>
    </row>
    <row r="109" spans="1:10" x14ac:dyDescent="0.35">
      <c r="A109" t="s">
        <v>227</v>
      </c>
      <c r="B109" s="92"/>
      <c r="C109" s="21"/>
      <c r="D109" s="4"/>
      <c r="E109" s="4"/>
      <c r="F109" s="24"/>
      <c r="G109" s="24"/>
      <c r="H109" s="24"/>
      <c r="I109" s="24"/>
      <c r="J109" s="24"/>
    </row>
    <row r="110" spans="1:10" x14ac:dyDescent="0.35">
      <c r="A110" t="s">
        <v>228</v>
      </c>
      <c r="B110" s="92"/>
      <c r="C110" s="21"/>
      <c r="D110" s="4"/>
      <c r="E110" s="4"/>
      <c r="F110" s="24"/>
      <c r="G110" s="24"/>
      <c r="H110" s="24"/>
      <c r="I110" s="24"/>
      <c r="J110" s="24"/>
    </row>
    <row r="111" spans="1:10" x14ac:dyDescent="0.35">
      <c r="A111" t="s">
        <v>229</v>
      </c>
      <c r="B111" s="92"/>
      <c r="C111" s="21"/>
      <c r="D111" s="4"/>
      <c r="E111" s="4"/>
      <c r="F111" s="24"/>
      <c r="G111" s="24"/>
      <c r="H111" s="24"/>
      <c r="I111" s="24"/>
      <c r="J111" s="24"/>
    </row>
    <row r="112" spans="1:10" x14ac:dyDescent="0.35">
      <c r="A112" t="s">
        <v>230</v>
      </c>
      <c r="B112" s="92"/>
      <c r="C112" s="21"/>
      <c r="D112" s="4"/>
      <c r="E112" s="4"/>
      <c r="F112" s="24"/>
      <c r="G112" s="24"/>
      <c r="H112" s="24"/>
      <c r="I112" s="24"/>
      <c r="J112" s="24"/>
    </row>
    <row r="113" spans="1:10" x14ac:dyDescent="0.35">
      <c r="A113" t="s">
        <v>231</v>
      </c>
      <c r="B113" s="92"/>
      <c r="C113" s="21"/>
      <c r="D113" s="4"/>
      <c r="E113" s="4"/>
      <c r="F113" s="24"/>
      <c r="G113" s="24"/>
      <c r="H113" s="24"/>
      <c r="I113" s="24"/>
      <c r="J113" s="24"/>
    </row>
    <row r="114" spans="1:10" x14ac:dyDescent="0.35">
      <c r="A114" t="s">
        <v>232</v>
      </c>
      <c r="B114" s="92"/>
      <c r="C114" s="21"/>
      <c r="D114" s="4"/>
      <c r="E114" s="4"/>
      <c r="F114" s="24"/>
      <c r="G114" s="24"/>
      <c r="H114" s="24"/>
      <c r="I114" s="24"/>
      <c r="J114" s="24"/>
    </row>
    <row r="115" spans="1:10" x14ac:dyDescent="0.35">
      <c r="A115" t="s">
        <v>233</v>
      </c>
      <c r="B115" s="92"/>
      <c r="C115" s="21"/>
      <c r="D115" s="4"/>
      <c r="E115" s="4"/>
      <c r="F115" s="24"/>
      <c r="G115" s="24"/>
      <c r="H115" s="24"/>
      <c r="I115" s="24"/>
      <c r="J115" s="24"/>
    </row>
    <row r="116" spans="1:10" x14ac:dyDescent="0.35">
      <c r="A116" t="s">
        <v>234</v>
      </c>
      <c r="B116" s="92"/>
      <c r="C116" s="21"/>
      <c r="D116" s="4"/>
      <c r="E116" s="4"/>
      <c r="F116" s="24"/>
      <c r="G116" s="24"/>
      <c r="H116" s="24"/>
      <c r="I116" s="24"/>
      <c r="J116" s="24"/>
    </row>
    <row r="117" spans="1:10" x14ac:dyDescent="0.35">
      <c r="A117" t="s">
        <v>235</v>
      </c>
      <c r="B117" s="92"/>
      <c r="C117" s="21"/>
      <c r="D117" s="4"/>
      <c r="E117" s="4"/>
      <c r="F117" s="24"/>
      <c r="G117" s="24"/>
      <c r="H117" s="24"/>
      <c r="I117" s="24"/>
      <c r="J117" s="24"/>
    </row>
    <row r="118" spans="1:10" x14ac:dyDescent="0.35">
      <c r="A118" t="s">
        <v>236</v>
      </c>
      <c r="B118" s="92"/>
      <c r="C118" s="21"/>
      <c r="D118" s="4"/>
      <c r="E118" s="4"/>
      <c r="F118" s="24"/>
      <c r="G118" s="24"/>
      <c r="H118" s="24"/>
      <c r="I118" s="24"/>
      <c r="J118" s="24"/>
    </row>
    <row r="119" spans="1:10" x14ac:dyDescent="0.35">
      <c r="A119" t="s">
        <v>237</v>
      </c>
      <c r="B119" s="92"/>
      <c r="C119" s="21"/>
      <c r="D119" s="4"/>
      <c r="E119" s="4"/>
      <c r="F119" s="24"/>
      <c r="G119" s="24"/>
      <c r="H119" s="24"/>
      <c r="I119" s="24"/>
      <c r="J119" s="24"/>
    </row>
    <row r="120" spans="1:10" x14ac:dyDescent="0.35">
      <c r="A120" t="s">
        <v>238</v>
      </c>
      <c r="B120" s="92"/>
      <c r="C120" s="21"/>
      <c r="D120" s="4"/>
      <c r="E120" s="4"/>
      <c r="F120" s="24"/>
      <c r="G120" s="24"/>
      <c r="H120" s="24"/>
      <c r="I120" s="24"/>
      <c r="J120" s="24"/>
    </row>
    <row r="121" spans="1:10" x14ac:dyDescent="0.35">
      <c r="A121" t="s">
        <v>239</v>
      </c>
      <c r="B121" s="92"/>
      <c r="C121" s="21"/>
      <c r="D121" s="4"/>
      <c r="E121" s="4"/>
      <c r="F121" s="24"/>
      <c r="G121" s="24"/>
      <c r="H121" s="24"/>
      <c r="I121" s="24"/>
      <c r="J121" s="24"/>
    </row>
    <row r="122" spans="1:10" x14ac:dyDescent="0.35">
      <c r="A122" t="s">
        <v>240</v>
      </c>
      <c r="B122" s="92"/>
      <c r="C122" s="21"/>
      <c r="D122" s="4"/>
      <c r="E122" s="4"/>
      <c r="F122" s="24"/>
      <c r="G122" s="24"/>
      <c r="H122" s="24"/>
      <c r="I122" s="24"/>
      <c r="J122" s="24"/>
    </row>
    <row r="123" spans="1:10" x14ac:dyDescent="0.35">
      <c r="A123" t="s">
        <v>241</v>
      </c>
      <c r="B123" s="92"/>
      <c r="C123" s="21"/>
      <c r="D123" s="4"/>
      <c r="E123" s="4"/>
      <c r="F123" s="24"/>
      <c r="G123" s="24"/>
      <c r="H123" s="24"/>
      <c r="I123" s="24"/>
      <c r="J123" s="24"/>
    </row>
    <row r="124" spans="1:10" x14ac:dyDescent="0.35">
      <c r="A124" t="s">
        <v>242</v>
      </c>
      <c r="B124" s="92"/>
      <c r="C124" s="21"/>
      <c r="D124" s="4"/>
      <c r="E124" s="4"/>
      <c r="F124" s="24"/>
      <c r="G124" s="24"/>
      <c r="H124" s="24"/>
      <c r="I124" s="24"/>
      <c r="J124" s="24"/>
    </row>
    <row r="125" spans="1:10" x14ac:dyDescent="0.35">
      <c r="A125" t="s">
        <v>243</v>
      </c>
      <c r="B125" s="92"/>
      <c r="C125" s="21"/>
      <c r="D125" s="4"/>
      <c r="E125" s="4"/>
      <c r="F125" s="24"/>
      <c r="G125" s="24"/>
      <c r="H125" s="24"/>
      <c r="I125" s="24"/>
      <c r="J125" s="24"/>
    </row>
    <row r="126" spans="1:10" x14ac:dyDescent="0.35">
      <c r="A126" t="s">
        <v>244</v>
      </c>
      <c r="B126" s="92"/>
      <c r="C126" s="21"/>
      <c r="D126" s="4"/>
      <c r="E126" s="4"/>
      <c r="F126" s="24"/>
      <c r="G126" s="24"/>
      <c r="H126" s="24"/>
      <c r="I126" s="24"/>
      <c r="J126" s="24"/>
    </row>
    <row r="127" spans="1:10" x14ac:dyDescent="0.35">
      <c r="A127" t="s">
        <v>245</v>
      </c>
      <c r="B127" s="92"/>
      <c r="C127" s="21"/>
      <c r="D127" s="4"/>
      <c r="E127" s="4"/>
      <c r="F127" s="24"/>
      <c r="G127" s="24"/>
      <c r="H127" s="24"/>
      <c r="I127" s="24"/>
      <c r="J127" s="24"/>
    </row>
    <row r="128" spans="1:10" x14ac:dyDescent="0.35">
      <c r="A128" t="s">
        <v>246</v>
      </c>
      <c r="B128" s="92"/>
      <c r="C128" s="21"/>
      <c r="D128" s="4"/>
      <c r="E128" s="4"/>
      <c r="F128" s="24"/>
      <c r="G128" s="24"/>
      <c r="H128" s="24"/>
      <c r="I128" s="24"/>
      <c r="J128" s="24"/>
    </row>
    <row r="129" spans="1:10" x14ac:dyDescent="0.35">
      <c r="A129" t="s">
        <v>247</v>
      </c>
      <c r="B129" s="92"/>
      <c r="C129" s="21"/>
      <c r="D129" s="4"/>
      <c r="E129" s="4"/>
      <c r="F129" s="24"/>
      <c r="G129" s="24"/>
      <c r="H129" s="24"/>
      <c r="I129" s="24"/>
      <c r="J129" s="24"/>
    </row>
    <row r="130" spans="1:10" x14ac:dyDescent="0.35">
      <c r="A130" t="s">
        <v>248</v>
      </c>
      <c r="B130" s="92"/>
      <c r="C130" s="21"/>
      <c r="D130" s="4"/>
      <c r="E130" s="4"/>
      <c r="F130" s="24"/>
      <c r="G130" s="24"/>
      <c r="H130" s="24"/>
      <c r="I130" s="24"/>
      <c r="J130" s="24"/>
    </row>
    <row r="131" spans="1:10" x14ac:dyDescent="0.35">
      <c r="A131" t="s">
        <v>249</v>
      </c>
      <c r="B131" s="92"/>
      <c r="C131" s="21"/>
      <c r="D131" s="4"/>
      <c r="E131" s="4"/>
      <c r="F131" s="24"/>
      <c r="G131" s="24"/>
      <c r="H131" s="24"/>
      <c r="I131" s="24"/>
      <c r="J131" s="24"/>
    </row>
    <row r="132" spans="1:10" x14ac:dyDescent="0.35">
      <c r="A132" t="s">
        <v>250</v>
      </c>
      <c r="B132" s="92"/>
      <c r="C132" s="21"/>
      <c r="D132" s="4"/>
      <c r="E132" s="4"/>
      <c r="F132" s="24"/>
      <c r="G132" s="24"/>
      <c r="H132" s="24"/>
      <c r="I132" s="24"/>
      <c r="J132" s="24"/>
    </row>
    <row r="133" spans="1:10" x14ac:dyDescent="0.35">
      <c r="A133" t="s">
        <v>251</v>
      </c>
      <c r="B133" s="92"/>
      <c r="C133" s="21"/>
      <c r="D133" s="4"/>
      <c r="E133" s="4"/>
      <c r="F133" s="24"/>
      <c r="G133" s="24"/>
      <c r="H133" s="24"/>
      <c r="I133" s="24"/>
      <c r="J133" s="24"/>
    </row>
    <row r="134" spans="1:10" x14ac:dyDescent="0.35">
      <c r="A134" t="s">
        <v>252</v>
      </c>
      <c r="B134" s="92"/>
      <c r="C134" s="21"/>
      <c r="D134" s="4"/>
      <c r="E134" s="4"/>
      <c r="F134" s="24"/>
      <c r="G134" s="24"/>
      <c r="H134" s="24"/>
      <c r="I134" s="24"/>
      <c r="J134" s="24"/>
    </row>
    <row r="135" spans="1:10" x14ac:dyDescent="0.35">
      <c r="A135" t="s">
        <v>253</v>
      </c>
      <c r="B135" s="92"/>
      <c r="C135" s="21"/>
      <c r="D135" s="4"/>
      <c r="E135" s="4"/>
      <c r="F135" s="24"/>
      <c r="G135" s="24"/>
      <c r="H135" s="24"/>
      <c r="I135" s="24"/>
      <c r="J135" s="24"/>
    </row>
    <row r="136" spans="1:10" x14ac:dyDescent="0.35">
      <c r="A136" t="s">
        <v>254</v>
      </c>
      <c r="B136" s="92"/>
      <c r="C136" s="21"/>
      <c r="D136" s="4"/>
      <c r="E136" s="4"/>
      <c r="F136" s="24"/>
      <c r="G136" s="24"/>
      <c r="H136" s="24"/>
      <c r="I136" s="24"/>
      <c r="J136" s="24"/>
    </row>
    <row r="137" spans="1:10" x14ac:dyDescent="0.35">
      <c r="A137" t="s">
        <v>255</v>
      </c>
      <c r="B137" s="92"/>
      <c r="C137" s="21"/>
      <c r="D137" s="4"/>
      <c r="E137" s="4"/>
      <c r="F137" s="24"/>
      <c r="G137" s="24"/>
      <c r="H137" s="24"/>
      <c r="I137" s="24"/>
      <c r="J137" s="24"/>
    </row>
    <row r="138" spans="1:10" x14ac:dyDescent="0.35">
      <c r="A138" t="s">
        <v>256</v>
      </c>
      <c r="B138" s="92"/>
      <c r="C138" s="21"/>
      <c r="D138" s="4"/>
      <c r="E138" s="4"/>
      <c r="F138" s="24"/>
      <c r="G138" s="24"/>
      <c r="H138" s="24"/>
      <c r="I138" s="24"/>
      <c r="J138" s="24"/>
    </row>
    <row r="139" spans="1:10" x14ac:dyDescent="0.35">
      <c r="A139" t="s">
        <v>257</v>
      </c>
      <c r="B139" s="92"/>
      <c r="C139" s="21"/>
      <c r="D139" s="4"/>
      <c r="E139" s="4"/>
      <c r="F139" s="24"/>
      <c r="G139" s="24"/>
      <c r="H139" s="24"/>
      <c r="I139" s="24"/>
      <c r="J139" s="24"/>
    </row>
    <row r="140" spans="1:10" x14ac:dyDescent="0.35">
      <c r="A140" t="s">
        <v>258</v>
      </c>
      <c r="B140" s="92"/>
      <c r="C140" s="21"/>
      <c r="D140" s="4"/>
      <c r="E140" s="4"/>
      <c r="F140" s="24"/>
      <c r="G140" s="24"/>
      <c r="H140" s="24"/>
      <c r="I140" s="24"/>
      <c r="J140" s="24"/>
    </row>
    <row r="141" spans="1:10" x14ac:dyDescent="0.35">
      <c r="A141" t="s">
        <v>259</v>
      </c>
      <c r="B141" s="92"/>
      <c r="C141" s="21"/>
      <c r="D141" s="4"/>
      <c r="E141" s="4"/>
      <c r="F141" s="24"/>
      <c r="G141" s="24"/>
      <c r="H141" s="24"/>
      <c r="I141" s="24"/>
      <c r="J141" s="24"/>
    </row>
    <row r="142" spans="1:10" x14ac:dyDescent="0.35">
      <c r="A142" t="s">
        <v>260</v>
      </c>
      <c r="B142" s="92"/>
      <c r="C142" s="21"/>
      <c r="D142" s="4"/>
      <c r="E142" s="4"/>
      <c r="F142" s="24"/>
      <c r="G142" s="24"/>
      <c r="H142" s="24"/>
      <c r="I142" s="24"/>
      <c r="J142" s="24"/>
    </row>
    <row r="143" spans="1:10" x14ac:dyDescent="0.35">
      <c r="A143" t="s">
        <v>261</v>
      </c>
      <c r="B143" s="92"/>
      <c r="C143" s="21"/>
      <c r="D143" s="4"/>
      <c r="E143" s="4"/>
      <c r="F143" s="24"/>
      <c r="G143" s="24"/>
      <c r="H143" s="24"/>
      <c r="I143" s="24"/>
      <c r="J143" s="24"/>
    </row>
    <row r="144" spans="1:10" x14ac:dyDescent="0.35">
      <c r="A144" t="s">
        <v>262</v>
      </c>
      <c r="B144" s="92"/>
      <c r="C144" s="21"/>
      <c r="D144" s="4"/>
      <c r="E144" s="4"/>
      <c r="F144" s="24"/>
      <c r="G144" s="24"/>
      <c r="H144" s="24"/>
      <c r="I144" s="24"/>
      <c r="J144" s="24"/>
    </row>
    <row r="145" spans="1:10" x14ac:dyDescent="0.35">
      <c r="A145" t="s">
        <v>263</v>
      </c>
      <c r="B145" s="92"/>
      <c r="C145" s="21"/>
      <c r="D145" s="4"/>
      <c r="E145" s="4"/>
      <c r="F145" s="24"/>
      <c r="G145" s="24"/>
      <c r="H145" s="24"/>
      <c r="I145" s="24"/>
      <c r="J145" s="24"/>
    </row>
    <row r="146" spans="1:10" x14ac:dyDescent="0.35">
      <c r="A146" t="s">
        <v>264</v>
      </c>
      <c r="B146" s="92"/>
      <c r="C146" s="21"/>
      <c r="D146" s="4"/>
      <c r="E146" s="4"/>
      <c r="F146" s="24"/>
      <c r="G146" s="24"/>
      <c r="H146" s="24"/>
      <c r="I146" s="24"/>
      <c r="J146" s="24"/>
    </row>
    <row r="147" spans="1:10" x14ac:dyDescent="0.35">
      <c r="A147" t="s">
        <v>265</v>
      </c>
      <c r="B147" s="92"/>
      <c r="C147" s="21"/>
      <c r="D147" s="4"/>
      <c r="E147" s="4"/>
      <c r="F147" s="24"/>
      <c r="G147" s="24"/>
      <c r="H147" s="24"/>
      <c r="I147" s="24"/>
      <c r="J147" s="24"/>
    </row>
    <row r="148" spans="1:10" x14ac:dyDescent="0.35">
      <c r="A148" t="s">
        <v>266</v>
      </c>
      <c r="B148" s="92"/>
      <c r="C148" s="21"/>
      <c r="D148" s="4"/>
      <c r="E148" s="4"/>
      <c r="F148" s="24"/>
      <c r="G148" s="24"/>
      <c r="H148" s="24"/>
      <c r="I148" s="24"/>
      <c r="J148" s="24"/>
    </row>
    <row r="149" spans="1:10" x14ac:dyDescent="0.35">
      <c r="A149" t="s">
        <v>267</v>
      </c>
      <c r="B149" s="92"/>
      <c r="C149" s="21"/>
      <c r="D149" s="4"/>
      <c r="E149" s="4"/>
      <c r="F149" s="24"/>
      <c r="G149" s="24"/>
      <c r="H149" s="24"/>
      <c r="I149" s="24"/>
      <c r="J149" s="24"/>
    </row>
    <row r="150" spans="1:10" x14ac:dyDescent="0.35">
      <c r="A150" t="s">
        <v>268</v>
      </c>
      <c r="B150" s="92"/>
      <c r="C150" s="21"/>
      <c r="D150" s="4"/>
      <c r="E150" s="4"/>
      <c r="F150" s="24"/>
      <c r="G150" s="24"/>
      <c r="H150" s="24"/>
      <c r="I150" s="24"/>
      <c r="J150" s="24"/>
    </row>
    <row r="151" spans="1:10" x14ac:dyDescent="0.35">
      <c r="A151" t="s">
        <v>269</v>
      </c>
      <c r="B151" s="92"/>
      <c r="C151" s="21"/>
      <c r="D151" s="4"/>
      <c r="E151" s="4"/>
      <c r="F151" s="24"/>
      <c r="G151" s="24"/>
      <c r="H151" s="24"/>
      <c r="I151" s="24"/>
      <c r="J151" s="24"/>
    </row>
    <row r="152" spans="1:10" x14ac:dyDescent="0.35">
      <c r="A152" t="s">
        <v>270</v>
      </c>
      <c r="B152" s="92"/>
      <c r="C152" s="21"/>
      <c r="D152" s="4"/>
      <c r="E152" s="4"/>
      <c r="F152" s="24"/>
      <c r="G152" s="24"/>
      <c r="H152" s="24"/>
      <c r="I152" s="24"/>
      <c r="J152" s="24"/>
    </row>
    <row r="153" spans="1:10" x14ac:dyDescent="0.35">
      <c r="A153" t="s">
        <v>271</v>
      </c>
      <c r="B153" s="92"/>
      <c r="C153" s="21"/>
      <c r="D153" s="4"/>
      <c r="E153" s="4"/>
      <c r="F153" s="24"/>
      <c r="G153" s="24"/>
      <c r="H153" s="24"/>
      <c r="I153" s="24"/>
      <c r="J153" s="24"/>
    </row>
    <row r="154" spans="1:10" x14ac:dyDescent="0.35">
      <c r="A154" t="s">
        <v>272</v>
      </c>
      <c r="B154" s="92"/>
      <c r="C154" s="21"/>
      <c r="D154" s="4"/>
      <c r="E154" s="4"/>
      <c r="F154" s="24"/>
      <c r="G154" s="24"/>
      <c r="H154" s="24"/>
      <c r="I154" s="24"/>
      <c r="J154" s="24"/>
    </row>
    <row r="155" spans="1:10" x14ac:dyDescent="0.35">
      <c r="A155" t="s">
        <v>273</v>
      </c>
      <c r="B155" s="92"/>
      <c r="C155" s="21"/>
      <c r="D155" s="4"/>
      <c r="E155" s="4"/>
      <c r="F155" s="24"/>
      <c r="G155" s="24"/>
      <c r="H155" s="24"/>
      <c r="I155" s="24"/>
      <c r="J155" s="24"/>
    </row>
    <row r="156" spans="1:10" x14ac:dyDescent="0.35">
      <c r="A156" t="s">
        <v>274</v>
      </c>
      <c r="B156" s="92"/>
      <c r="C156" s="21"/>
      <c r="D156" s="4"/>
      <c r="E156" s="4"/>
      <c r="F156" s="24"/>
      <c r="G156" s="24"/>
      <c r="H156" s="24"/>
      <c r="I156" s="24"/>
      <c r="J156" s="24"/>
    </row>
    <row r="157" spans="1:10" x14ac:dyDescent="0.35">
      <c r="A157" t="s">
        <v>275</v>
      </c>
      <c r="B157" s="92"/>
      <c r="C157" s="21"/>
      <c r="D157" s="4"/>
      <c r="E157" s="4"/>
      <c r="F157" s="24"/>
      <c r="G157" s="24"/>
      <c r="H157" s="24"/>
      <c r="I157" s="24"/>
      <c r="J157" s="24"/>
    </row>
    <row r="158" spans="1:10" x14ac:dyDescent="0.35">
      <c r="A158" t="s">
        <v>276</v>
      </c>
      <c r="B158" s="92"/>
      <c r="C158" s="21"/>
      <c r="D158" s="4"/>
      <c r="E158" s="4"/>
      <c r="F158" s="24"/>
      <c r="G158" s="24"/>
      <c r="H158" s="24"/>
      <c r="I158" s="24"/>
      <c r="J158" s="24"/>
    </row>
    <row r="159" spans="1:10" x14ac:dyDescent="0.35">
      <c r="A159" t="s">
        <v>277</v>
      </c>
      <c r="B159" s="92"/>
      <c r="C159" s="21"/>
      <c r="D159" s="4"/>
      <c r="E159" s="4"/>
      <c r="F159" s="24"/>
      <c r="G159" s="24"/>
      <c r="H159" s="24"/>
      <c r="I159" s="24"/>
      <c r="J159" s="24"/>
    </row>
    <row r="160" spans="1:10" x14ac:dyDescent="0.35">
      <c r="A160" t="s">
        <v>278</v>
      </c>
      <c r="B160" s="92"/>
      <c r="C160" s="21"/>
      <c r="D160" s="4"/>
      <c r="E160" s="4"/>
      <c r="F160" s="24"/>
      <c r="G160" s="24"/>
      <c r="H160" s="24"/>
      <c r="I160" s="24"/>
      <c r="J160" s="24"/>
    </row>
    <row r="161" spans="1:10" x14ac:dyDescent="0.35">
      <c r="A161" t="s">
        <v>279</v>
      </c>
      <c r="B161" s="92"/>
      <c r="C161" s="21"/>
      <c r="D161" s="4"/>
      <c r="E161" s="4"/>
      <c r="F161" s="24"/>
      <c r="G161" s="24"/>
      <c r="H161" s="24"/>
      <c r="I161" s="24"/>
      <c r="J161" s="24"/>
    </row>
    <row r="162" spans="1:10" x14ac:dyDescent="0.35">
      <c r="A162" t="s">
        <v>280</v>
      </c>
      <c r="B162" s="92"/>
      <c r="C162" s="21"/>
      <c r="D162" s="4"/>
      <c r="E162" s="4"/>
      <c r="F162" s="24"/>
      <c r="G162" s="24"/>
      <c r="H162" s="24"/>
      <c r="I162" s="24"/>
      <c r="J162" s="24"/>
    </row>
    <row r="163" spans="1:10" x14ac:dyDescent="0.35">
      <c r="A163" t="s">
        <v>281</v>
      </c>
      <c r="B163" s="92"/>
      <c r="C163" s="21"/>
      <c r="D163" s="4"/>
      <c r="E163" s="4"/>
      <c r="F163" s="24"/>
      <c r="G163" s="24"/>
      <c r="H163" s="24"/>
      <c r="I163" s="24"/>
      <c r="J163" s="24"/>
    </row>
    <row r="164" spans="1:10" x14ac:dyDescent="0.35">
      <c r="A164" t="s">
        <v>282</v>
      </c>
      <c r="B164" s="92"/>
      <c r="C164" s="21"/>
      <c r="D164" s="4"/>
      <c r="E164" s="4"/>
      <c r="F164" s="24"/>
      <c r="G164" s="24"/>
      <c r="H164" s="24"/>
      <c r="I164" s="24"/>
      <c r="J164" s="24"/>
    </row>
    <row r="165" spans="1:10" x14ac:dyDescent="0.35">
      <c r="A165" t="s">
        <v>283</v>
      </c>
      <c r="B165" s="92"/>
      <c r="C165" s="21"/>
      <c r="D165" s="4"/>
      <c r="E165" s="4"/>
      <c r="F165" s="24"/>
      <c r="G165" s="24"/>
      <c r="H165" s="24"/>
      <c r="I165" s="24"/>
      <c r="J165" s="24"/>
    </row>
    <row r="166" spans="1:10" x14ac:dyDescent="0.35">
      <c r="A166" t="s">
        <v>284</v>
      </c>
      <c r="B166" s="92"/>
      <c r="C166" s="21"/>
      <c r="D166" s="4"/>
      <c r="E166" s="4"/>
      <c r="F166" s="24"/>
      <c r="G166" s="24"/>
      <c r="H166" s="24"/>
      <c r="I166" s="24"/>
      <c r="J166" s="24"/>
    </row>
    <row r="167" spans="1:10" x14ac:dyDescent="0.35">
      <c r="A167" t="s">
        <v>285</v>
      </c>
      <c r="B167" s="92"/>
      <c r="C167" s="21"/>
      <c r="D167" s="4"/>
      <c r="E167" s="4"/>
      <c r="F167" s="24"/>
      <c r="G167" s="24"/>
      <c r="H167" s="24"/>
      <c r="I167" s="24"/>
      <c r="J167" s="24"/>
    </row>
    <row r="168" spans="1:10" x14ac:dyDescent="0.35">
      <c r="A168" t="s">
        <v>286</v>
      </c>
      <c r="B168" s="92"/>
      <c r="C168" s="21"/>
      <c r="D168" s="4"/>
      <c r="E168" s="4"/>
      <c r="F168" s="24"/>
      <c r="G168" s="24"/>
      <c r="H168" s="24"/>
      <c r="I168" s="24"/>
      <c r="J168" s="24"/>
    </row>
    <row r="169" spans="1:10" x14ac:dyDescent="0.35">
      <c r="A169" t="s">
        <v>287</v>
      </c>
      <c r="B169" s="92"/>
      <c r="C169" s="21"/>
      <c r="D169" s="4"/>
      <c r="E169" s="4"/>
      <c r="F169" s="24"/>
      <c r="G169" s="24"/>
      <c r="H169" s="24"/>
      <c r="I169" s="24"/>
      <c r="J169" s="24"/>
    </row>
    <row r="170" spans="1:10" x14ac:dyDescent="0.35">
      <c r="A170" t="s">
        <v>288</v>
      </c>
      <c r="B170" s="92"/>
      <c r="C170" s="21"/>
      <c r="D170" s="4"/>
      <c r="E170" s="4"/>
      <c r="F170" s="24"/>
      <c r="G170" s="24"/>
      <c r="H170" s="24"/>
      <c r="I170" s="24"/>
      <c r="J170" s="24"/>
    </row>
    <row r="171" spans="1:10" x14ac:dyDescent="0.35">
      <c r="A171" t="s">
        <v>289</v>
      </c>
      <c r="B171" s="92"/>
      <c r="C171" s="21"/>
      <c r="D171" s="4"/>
      <c r="E171" s="4"/>
      <c r="F171" s="24"/>
      <c r="G171" s="24"/>
      <c r="H171" s="24"/>
      <c r="I171" s="24"/>
      <c r="J171" s="24"/>
    </row>
    <row r="172" spans="1:10" x14ac:dyDescent="0.35">
      <c r="A172" t="s">
        <v>290</v>
      </c>
      <c r="B172" s="92"/>
      <c r="C172" s="21"/>
      <c r="D172" s="4"/>
      <c r="E172" s="4"/>
      <c r="F172" s="24"/>
      <c r="G172" s="24"/>
      <c r="H172" s="24"/>
      <c r="I172" s="24"/>
      <c r="J172" s="24"/>
    </row>
    <row r="173" spans="1:10" x14ac:dyDescent="0.35">
      <c r="A173" t="s">
        <v>291</v>
      </c>
      <c r="B173" s="92"/>
      <c r="C173" s="21"/>
      <c r="D173" s="4"/>
      <c r="E173" s="4"/>
      <c r="F173" s="24"/>
      <c r="G173" s="24"/>
      <c r="H173" s="24"/>
      <c r="I173" s="24"/>
      <c r="J173" s="24"/>
    </row>
    <row r="174" spans="1:10" x14ac:dyDescent="0.35">
      <c r="A174" t="s">
        <v>292</v>
      </c>
      <c r="B174" s="92"/>
      <c r="C174" s="21"/>
      <c r="D174" s="4"/>
      <c r="E174" s="4"/>
      <c r="F174" s="24"/>
      <c r="G174" s="24"/>
      <c r="H174" s="24"/>
      <c r="I174" s="24"/>
      <c r="J174" s="24"/>
    </row>
    <row r="175" spans="1:10" x14ac:dyDescent="0.35">
      <c r="A175" t="s">
        <v>293</v>
      </c>
      <c r="B175" s="92"/>
      <c r="C175" s="21"/>
      <c r="D175" s="4"/>
      <c r="E175" s="4"/>
      <c r="F175" s="24"/>
      <c r="G175" s="24"/>
      <c r="H175" s="24"/>
      <c r="I175" s="24"/>
      <c r="J175" s="24"/>
    </row>
    <row r="176" spans="1:10" x14ac:dyDescent="0.35">
      <c r="A176" t="s">
        <v>294</v>
      </c>
      <c r="B176" s="92"/>
      <c r="C176" s="21"/>
      <c r="D176" s="4"/>
      <c r="E176" s="4"/>
      <c r="F176" s="24"/>
      <c r="G176" s="24"/>
      <c r="H176" s="24"/>
      <c r="I176" s="24"/>
      <c r="J176" s="24"/>
    </row>
    <row r="177" spans="1:10" x14ac:dyDescent="0.35">
      <c r="A177" t="s">
        <v>295</v>
      </c>
      <c r="B177" s="92"/>
      <c r="C177" s="21"/>
      <c r="D177" s="4"/>
      <c r="E177" s="4"/>
      <c r="F177" s="24"/>
      <c r="G177" s="24"/>
      <c r="H177" s="24"/>
      <c r="I177" s="24"/>
      <c r="J177" s="24"/>
    </row>
    <row r="178" spans="1:10" x14ac:dyDescent="0.35">
      <c r="A178" t="s">
        <v>296</v>
      </c>
      <c r="B178" s="92"/>
      <c r="C178" s="21"/>
      <c r="D178" s="4"/>
      <c r="E178" s="4"/>
      <c r="F178" s="24"/>
      <c r="G178" s="24"/>
      <c r="H178" s="24"/>
      <c r="I178" s="24"/>
      <c r="J178" s="24"/>
    </row>
    <row r="179" spans="1:10" x14ac:dyDescent="0.35">
      <c r="A179" t="s">
        <v>297</v>
      </c>
      <c r="B179" s="92"/>
      <c r="C179" s="21"/>
      <c r="D179" s="4"/>
      <c r="E179" s="4"/>
      <c r="F179" s="24"/>
      <c r="G179" s="24"/>
      <c r="H179" s="24"/>
      <c r="I179" s="24"/>
      <c r="J179" s="24"/>
    </row>
    <row r="180" spans="1:10" x14ac:dyDescent="0.35">
      <c r="A180" t="s">
        <v>298</v>
      </c>
      <c r="B180" s="92"/>
      <c r="C180" s="21"/>
      <c r="D180" s="4"/>
      <c r="E180" s="4"/>
      <c r="F180" s="24"/>
      <c r="G180" s="24"/>
      <c r="H180" s="24"/>
      <c r="I180" s="24"/>
      <c r="J180" s="24"/>
    </row>
    <row r="181" spans="1:10" x14ac:dyDescent="0.35">
      <c r="A181" t="s">
        <v>299</v>
      </c>
      <c r="B181" s="92"/>
      <c r="C181" s="21"/>
      <c r="D181" s="4"/>
      <c r="E181" s="4"/>
      <c r="F181" s="24"/>
      <c r="G181" s="24"/>
      <c r="H181" s="24"/>
      <c r="I181" s="24"/>
      <c r="J181" s="24"/>
    </row>
    <row r="182" spans="1:10" x14ac:dyDescent="0.35">
      <c r="A182" t="s">
        <v>300</v>
      </c>
      <c r="B182" s="92"/>
      <c r="C182" s="21"/>
      <c r="D182" s="4"/>
      <c r="E182" s="4"/>
      <c r="F182" s="24"/>
      <c r="G182" s="24"/>
      <c r="H182" s="24"/>
      <c r="I182" s="24"/>
      <c r="J182" s="24"/>
    </row>
    <row r="183" spans="1:10" x14ac:dyDescent="0.35">
      <c r="A183" t="s">
        <v>301</v>
      </c>
      <c r="B183" s="92"/>
      <c r="C183" s="21"/>
      <c r="D183" s="4"/>
      <c r="E183" s="4"/>
      <c r="F183" s="24"/>
      <c r="G183" s="24"/>
      <c r="H183" s="24"/>
      <c r="I183" s="24"/>
      <c r="J183" s="24"/>
    </row>
    <row r="184" spans="1:10" x14ac:dyDescent="0.35">
      <c r="A184" t="s">
        <v>302</v>
      </c>
      <c r="B184" s="92"/>
      <c r="C184" s="21"/>
      <c r="D184" s="4"/>
      <c r="E184" s="4"/>
      <c r="F184" s="24"/>
      <c r="G184" s="24"/>
      <c r="H184" s="24"/>
      <c r="I184" s="24"/>
      <c r="J184" s="24"/>
    </row>
    <row r="185" spans="1:10" x14ac:dyDescent="0.35">
      <c r="A185" t="s">
        <v>303</v>
      </c>
      <c r="B185" s="92"/>
      <c r="C185" s="21"/>
      <c r="D185" s="4"/>
      <c r="E185" s="4"/>
      <c r="F185" s="24"/>
      <c r="G185" s="24"/>
      <c r="H185" s="24"/>
      <c r="I185" s="24"/>
      <c r="J185" s="24"/>
    </row>
    <row r="186" spans="1:10" x14ac:dyDescent="0.35">
      <c r="A186" t="s">
        <v>304</v>
      </c>
      <c r="B186" s="92"/>
      <c r="C186" s="21"/>
      <c r="D186" s="4"/>
      <c r="E186" s="4"/>
      <c r="F186" s="24"/>
      <c r="G186" s="24"/>
      <c r="H186" s="24"/>
      <c r="I186" s="24"/>
      <c r="J186" s="24"/>
    </row>
    <row r="187" spans="1:10" x14ac:dyDescent="0.35">
      <c r="A187" t="s">
        <v>305</v>
      </c>
      <c r="B187" s="92"/>
      <c r="C187" s="21"/>
      <c r="D187" s="4"/>
      <c r="E187" s="4"/>
      <c r="F187" s="24"/>
      <c r="G187" s="24"/>
      <c r="H187" s="24"/>
      <c r="I187" s="24"/>
      <c r="J187" s="24"/>
    </row>
    <row r="188" spans="1:10" x14ac:dyDescent="0.35">
      <c r="A188" t="s">
        <v>306</v>
      </c>
      <c r="B188" s="92"/>
      <c r="C188" s="21"/>
      <c r="D188" s="4"/>
      <c r="E188" s="4"/>
      <c r="F188" s="24"/>
      <c r="G188" s="24"/>
      <c r="H188" s="24"/>
      <c r="I188" s="24"/>
      <c r="J188" s="24"/>
    </row>
    <row r="189" spans="1:10" x14ac:dyDescent="0.35">
      <c r="A189" t="s">
        <v>307</v>
      </c>
      <c r="B189" s="92"/>
      <c r="C189" s="21"/>
      <c r="D189" s="4"/>
      <c r="E189" s="4"/>
      <c r="F189" s="24"/>
      <c r="G189" s="24"/>
      <c r="H189" s="24"/>
      <c r="I189" s="24"/>
      <c r="J189" s="24"/>
    </row>
    <row r="190" spans="1:10" x14ac:dyDescent="0.35">
      <c r="A190" t="s">
        <v>308</v>
      </c>
      <c r="B190" s="92"/>
      <c r="C190" s="21"/>
      <c r="D190" s="4"/>
      <c r="E190" s="4"/>
      <c r="F190" s="24"/>
      <c r="G190" s="24"/>
      <c r="H190" s="24"/>
      <c r="I190" s="24"/>
      <c r="J190" s="24"/>
    </row>
    <row r="191" spans="1:10" x14ac:dyDescent="0.35">
      <c r="A191" t="s">
        <v>309</v>
      </c>
      <c r="B191" s="92"/>
      <c r="C191" s="21"/>
      <c r="D191" s="4"/>
      <c r="E191" s="4"/>
      <c r="F191" s="24"/>
      <c r="G191" s="24"/>
      <c r="H191" s="24"/>
      <c r="I191" s="24"/>
      <c r="J191" s="24"/>
    </row>
    <row r="192" spans="1:10" x14ac:dyDescent="0.35">
      <c r="A192" t="s">
        <v>310</v>
      </c>
      <c r="B192" s="92"/>
      <c r="C192" s="21"/>
      <c r="D192" s="4"/>
      <c r="E192" s="4"/>
      <c r="F192" s="24"/>
      <c r="G192" s="24"/>
      <c r="H192" s="24"/>
      <c r="I192" s="24"/>
      <c r="J192" s="24"/>
    </row>
    <row r="193" spans="1:10" x14ac:dyDescent="0.35">
      <c r="A193" t="s">
        <v>311</v>
      </c>
      <c r="B193" s="92"/>
      <c r="C193" s="21"/>
      <c r="D193" s="4"/>
      <c r="E193" s="4"/>
      <c r="F193" s="24"/>
      <c r="G193" s="24"/>
      <c r="H193" s="24"/>
      <c r="I193" s="24"/>
      <c r="J193" s="24"/>
    </row>
    <row r="194" spans="1:10" x14ac:dyDescent="0.35">
      <c r="A194" t="s">
        <v>312</v>
      </c>
      <c r="B194" s="92"/>
      <c r="C194" s="21"/>
      <c r="D194" s="4"/>
      <c r="E194" s="4"/>
      <c r="F194" s="24"/>
      <c r="G194" s="24"/>
      <c r="H194" s="24"/>
      <c r="I194" s="24"/>
      <c r="J194" s="24"/>
    </row>
    <row r="195" spans="1:10" x14ac:dyDescent="0.35">
      <c r="A195" t="s">
        <v>313</v>
      </c>
      <c r="B195" s="92"/>
      <c r="C195" s="21"/>
      <c r="D195" s="4"/>
      <c r="E195" s="4"/>
      <c r="F195" s="24"/>
      <c r="G195" s="24"/>
      <c r="H195" s="24"/>
      <c r="I195" s="24"/>
      <c r="J195" s="24"/>
    </row>
    <row r="196" spans="1:10" x14ac:dyDescent="0.35">
      <c r="A196" t="s">
        <v>314</v>
      </c>
      <c r="B196" s="92"/>
      <c r="C196" s="21"/>
      <c r="D196" s="4"/>
      <c r="E196" s="4"/>
      <c r="F196" s="24"/>
      <c r="G196" s="24"/>
      <c r="H196" s="24"/>
      <c r="I196" s="24"/>
      <c r="J196" s="24"/>
    </row>
    <row r="197" spans="1:10" x14ac:dyDescent="0.35">
      <c r="A197" t="s">
        <v>315</v>
      </c>
      <c r="B197" s="92"/>
      <c r="C197" s="21"/>
      <c r="D197" s="4"/>
      <c r="E197" s="4"/>
      <c r="F197" s="24"/>
      <c r="G197" s="24"/>
      <c r="H197" s="24"/>
      <c r="I197" s="24"/>
      <c r="J197" s="24"/>
    </row>
    <row r="198" spans="1:10" x14ac:dyDescent="0.35">
      <c r="A198" t="s">
        <v>316</v>
      </c>
      <c r="B198" s="92"/>
      <c r="C198" s="21"/>
      <c r="D198" s="4"/>
      <c r="E198" s="4"/>
      <c r="F198" s="24"/>
      <c r="G198" s="24"/>
      <c r="H198" s="24"/>
      <c r="I198" s="24"/>
      <c r="J198" s="24"/>
    </row>
    <row r="199" spans="1:10" x14ac:dyDescent="0.35">
      <c r="A199" t="s">
        <v>317</v>
      </c>
      <c r="B199" s="92"/>
      <c r="C199" s="21"/>
      <c r="D199" s="4"/>
      <c r="E199" s="4"/>
      <c r="F199" s="24"/>
      <c r="G199" s="24"/>
      <c r="H199" s="24"/>
      <c r="I199" s="24"/>
      <c r="J199" s="24"/>
    </row>
    <row r="200" spans="1:10" x14ac:dyDescent="0.35">
      <c r="A200" t="s">
        <v>318</v>
      </c>
      <c r="B200" s="92"/>
      <c r="C200" s="21"/>
      <c r="D200" s="4"/>
      <c r="E200" s="4"/>
      <c r="F200" s="24"/>
      <c r="G200" s="24"/>
      <c r="H200" s="24"/>
      <c r="I200" s="24"/>
      <c r="J200" s="24"/>
    </row>
    <row r="201" spans="1:10" x14ac:dyDescent="0.35">
      <c r="A201" t="s">
        <v>319</v>
      </c>
      <c r="B201" s="92"/>
      <c r="C201" s="21"/>
      <c r="D201" s="4"/>
      <c r="E201" s="4"/>
      <c r="F201" s="24"/>
      <c r="G201" s="24"/>
      <c r="H201" s="24"/>
      <c r="I201" s="24"/>
      <c r="J201" s="24"/>
    </row>
    <row r="202" spans="1:10" x14ac:dyDescent="0.35">
      <c r="A202" t="s">
        <v>320</v>
      </c>
      <c r="B202" s="92"/>
      <c r="C202" s="21"/>
      <c r="D202" s="4"/>
      <c r="E202" s="4"/>
      <c r="F202" s="24"/>
      <c r="G202" s="24"/>
      <c r="H202" s="24"/>
      <c r="I202" s="24"/>
      <c r="J202" s="24"/>
    </row>
    <row r="203" spans="1:10" x14ac:dyDescent="0.35">
      <c r="A203" t="s">
        <v>321</v>
      </c>
      <c r="B203" s="92"/>
      <c r="C203" s="21"/>
      <c r="D203" s="4"/>
      <c r="E203" s="4"/>
      <c r="F203" s="24"/>
      <c r="G203" s="24"/>
      <c r="H203" s="24"/>
      <c r="I203" s="24"/>
      <c r="J203" s="24"/>
    </row>
    <row r="204" spans="1:10" x14ac:dyDescent="0.35">
      <c r="A204" t="s">
        <v>322</v>
      </c>
      <c r="B204" s="92"/>
      <c r="C204" s="21"/>
      <c r="D204" s="4"/>
      <c r="E204" s="4"/>
      <c r="F204" s="24"/>
      <c r="G204" s="24"/>
      <c r="H204" s="24"/>
      <c r="I204" s="24"/>
      <c r="J204" s="24"/>
    </row>
    <row r="205" spans="1:10" x14ac:dyDescent="0.35">
      <c r="A205" t="s">
        <v>323</v>
      </c>
      <c r="B205" s="92"/>
      <c r="C205" s="21"/>
      <c r="D205" s="4"/>
      <c r="E205" s="4"/>
      <c r="F205" s="24"/>
      <c r="G205" s="24"/>
      <c r="H205" s="24"/>
      <c r="I205" s="24"/>
      <c r="J205" s="24"/>
    </row>
    <row r="206" spans="1:10" x14ac:dyDescent="0.35">
      <c r="A206" t="s">
        <v>324</v>
      </c>
      <c r="B206" s="92"/>
      <c r="C206" s="21"/>
      <c r="D206" s="4"/>
      <c r="E206" s="4"/>
      <c r="F206" s="24"/>
      <c r="G206" s="24"/>
      <c r="H206" s="24"/>
      <c r="I206" s="24"/>
      <c r="J206" s="24"/>
    </row>
    <row r="207" spans="1:10" x14ac:dyDescent="0.35">
      <c r="A207" t="s">
        <v>325</v>
      </c>
      <c r="B207" s="92"/>
      <c r="C207" s="21"/>
      <c r="D207" s="4"/>
      <c r="E207" s="4"/>
      <c r="F207" s="24"/>
      <c r="G207" s="24"/>
      <c r="H207" s="24"/>
      <c r="I207" s="24"/>
      <c r="J207" s="24"/>
    </row>
    <row r="208" spans="1:10" x14ac:dyDescent="0.35">
      <c r="A208" t="s">
        <v>326</v>
      </c>
      <c r="B208" s="92"/>
      <c r="C208" s="21"/>
      <c r="D208" s="4"/>
      <c r="E208" s="4"/>
      <c r="F208" s="24"/>
      <c r="G208" s="24"/>
      <c r="H208" s="24"/>
      <c r="I208" s="24"/>
      <c r="J208" s="24"/>
    </row>
    <row r="209" spans="1:10" x14ac:dyDescent="0.35">
      <c r="A209" t="s">
        <v>327</v>
      </c>
      <c r="B209" s="92"/>
      <c r="C209" s="21"/>
      <c r="D209" s="4"/>
      <c r="E209" s="4"/>
      <c r="F209" s="24"/>
      <c r="G209" s="24"/>
      <c r="H209" s="24"/>
      <c r="I209" s="24"/>
      <c r="J209" s="24"/>
    </row>
    <row r="210" spans="1:10" x14ac:dyDescent="0.35">
      <c r="A210" t="s">
        <v>328</v>
      </c>
      <c r="B210" s="92"/>
      <c r="C210" s="21"/>
      <c r="D210" s="4"/>
      <c r="E210" s="4"/>
      <c r="F210" s="24"/>
      <c r="G210" s="24"/>
      <c r="H210" s="24"/>
      <c r="I210" s="24"/>
      <c r="J210" s="24"/>
    </row>
    <row r="211" spans="1:10" x14ac:dyDescent="0.35">
      <c r="A211" t="s">
        <v>329</v>
      </c>
      <c r="B211" s="92"/>
      <c r="C211" s="21"/>
      <c r="D211" s="4"/>
      <c r="E211" s="4"/>
      <c r="F211" s="24"/>
      <c r="G211" s="24"/>
      <c r="H211" s="24"/>
      <c r="I211" s="24"/>
      <c r="J211" s="24"/>
    </row>
    <row r="212" spans="1:10" x14ac:dyDescent="0.35">
      <c r="A212" t="s">
        <v>330</v>
      </c>
      <c r="B212" s="92"/>
      <c r="C212" s="21"/>
      <c r="D212" s="4"/>
      <c r="E212" s="4"/>
      <c r="F212" s="24"/>
      <c r="G212" s="24"/>
      <c r="H212" s="24"/>
      <c r="I212" s="24"/>
      <c r="J212" s="24"/>
    </row>
    <row r="213" spans="1:10" x14ac:dyDescent="0.35">
      <c r="A213" t="s">
        <v>331</v>
      </c>
      <c r="B213" s="92"/>
      <c r="C213" s="21"/>
      <c r="D213" s="4"/>
      <c r="E213" s="4"/>
      <c r="F213" s="24"/>
      <c r="G213" s="24"/>
      <c r="H213" s="24"/>
      <c r="I213" s="24"/>
      <c r="J213" s="24"/>
    </row>
    <row r="214" spans="1:10" x14ac:dyDescent="0.35">
      <c r="A214" t="s">
        <v>332</v>
      </c>
      <c r="B214" s="92"/>
      <c r="C214" s="21"/>
      <c r="D214" s="4"/>
      <c r="E214" s="4"/>
      <c r="F214" s="24"/>
      <c r="G214" s="24"/>
      <c r="H214" s="24"/>
      <c r="I214" s="24"/>
      <c r="J214" s="24"/>
    </row>
    <row r="215" spans="1:10" x14ac:dyDescent="0.35">
      <c r="A215" t="s">
        <v>333</v>
      </c>
      <c r="B215" s="92"/>
      <c r="C215" s="21"/>
      <c r="D215" s="4"/>
      <c r="E215" s="4"/>
      <c r="F215" s="24"/>
      <c r="G215" s="24"/>
      <c r="H215" s="24"/>
      <c r="I215" s="24"/>
      <c r="J215" s="24"/>
    </row>
    <row r="216" spans="1:10" x14ac:dyDescent="0.35">
      <c r="A216" t="s">
        <v>334</v>
      </c>
      <c r="B216" s="92"/>
      <c r="C216" s="21"/>
      <c r="D216" s="4"/>
      <c r="E216" s="4"/>
      <c r="F216" s="24"/>
      <c r="G216" s="24"/>
      <c r="H216" s="24"/>
      <c r="I216" s="24"/>
      <c r="J216" s="24"/>
    </row>
    <row r="217" spans="1:10" x14ac:dyDescent="0.35">
      <c r="A217" t="s">
        <v>335</v>
      </c>
      <c r="B217" s="92"/>
      <c r="C217" s="21"/>
      <c r="D217" s="4"/>
      <c r="E217" s="4"/>
      <c r="F217" s="24"/>
      <c r="G217" s="24"/>
      <c r="H217" s="24"/>
      <c r="I217" s="24"/>
      <c r="J217" s="24"/>
    </row>
    <row r="218" spans="1:10" x14ac:dyDescent="0.35">
      <c r="A218" t="s">
        <v>336</v>
      </c>
      <c r="B218" s="92"/>
      <c r="C218" s="21"/>
      <c r="D218" s="4"/>
      <c r="E218" s="4"/>
      <c r="F218" s="24"/>
      <c r="G218" s="24"/>
      <c r="H218" s="24"/>
      <c r="I218" s="24"/>
      <c r="J218" s="24"/>
    </row>
    <row r="219" spans="1:10" x14ac:dyDescent="0.35">
      <c r="A219" t="s">
        <v>337</v>
      </c>
      <c r="B219" s="92"/>
      <c r="C219" s="21"/>
      <c r="D219" s="4"/>
      <c r="E219" s="4"/>
      <c r="F219" s="24"/>
      <c r="G219" s="24"/>
      <c r="H219" s="24"/>
      <c r="I219" s="24"/>
      <c r="J219" s="24"/>
    </row>
    <row r="220" spans="1:10" x14ac:dyDescent="0.35">
      <c r="A220" t="s">
        <v>338</v>
      </c>
      <c r="B220" s="92"/>
      <c r="C220" s="21"/>
      <c r="D220" s="4"/>
      <c r="E220" s="4"/>
      <c r="F220" s="24"/>
      <c r="G220" s="24"/>
      <c r="H220" s="24"/>
      <c r="I220" s="24"/>
      <c r="J220" s="24"/>
    </row>
    <row r="221" spans="1:10" x14ac:dyDescent="0.35">
      <c r="A221" t="s">
        <v>339</v>
      </c>
      <c r="B221" s="92"/>
      <c r="C221" s="21"/>
      <c r="D221" s="4"/>
      <c r="E221" s="4"/>
      <c r="F221" s="24"/>
      <c r="G221" s="24"/>
      <c r="H221" s="24"/>
      <c r="I221" s="24"/>
      <c r="J221" s="24"/>
    </row>
    <row r="222" spans="1:10" x14ac:dyDescent="0.35">
      <c r="A222" t="s">
        <v>340</v>
      </c>
      <c r="B222" s="92"/>
      <c r="C222" s="21"/>
      <c r="D222" s="4"/>
      <c r="E222" s="4"/>
      <c r="F222" s="24"/>
      <c r="G222" s="24"/>
      <c r="H222" s="24"/>
      <c r="I222" s="24"/>
      <c r="J222" s="24"/>
    </row>
    <row r="223" spans="1:10" x14ac:dyDescent="0.35">
      <c r="A223" t="s">
        <v>341</v>
      </c>
      <c r="B223" s="92"/>
      <c r="C223" s="21"/>
      <c r="D223" s="4"/>
      <c r="E223" s="4"/>
      <c r="F223" s="24"/>
      <c r="G223" s="24"/>
      <c r="H223" s="24"/>
      <c r="I223" s="24"/>
      <c r="J223" s="24"/>
    </row>
    <row r="224" spans="1:10" x14ac:dyDescent="0.35">
      <c r="A224" t="s">
        <v>342</v>
      </c>
      <c r="B224" s="92"/>
      <c r="C224" s="21"/>
      <c r="D224" s="4"/>
      <c r="E224" s="4"/>
      <c r="F224" s="24"/>
      <c r="G224" s="24"/>
      <c r="H224" s="24"/>
      <c r="I224" s="24"/>
      <c r="J224" s="24"/>
    </row>
    <row r="225" spans="1:10" x14ac:dyDescent="0.35">
      <c r="A225" t="s">
        <v>343</v>
      </c>
      <c r="B225" s="92"/>
      <c r="C225" s="21"/>
      <c r="D225" s="4"/>
      <c r="E225" s="4"/>
      <c r="F225" s="24"/>
      <c r="G225" s="24"/>
      <c r="H225" s="24"/>
      <c r="I225" s="24"/>
      <c r="J225" s="24"/>
    </row>
    <row r="226" spans="1:10" x14ac:dyDescent="0.35">
      <c r="A226" t="s">
        <v>344</v>
      </c>
      <c r="B226" s="92"/>
      <c r="C226" s="21"/>
      <c r="D226" s="4"/>
      <c r="E226" s="4"/>
      <c r="F226" s="24"/>
      <c r="G226" s="24"/>
      <c r="H226" s="24"/>
      <c r="I226" s="24"/>
      <c r="J226" s="24"/>
    </row>
    <row r="227" spans="1:10" x14ac:dyDescent="0.35">
      <c r="A227" t="s">
        <v>345</v>
      </c>
      <c r="B227" s="92"/>
      <c r="C227" s="21"/>
      <c r="D227" s="4"/>
      <c r="E227" s="4"/>
      <c r="F227" s="24"/>
      <c r="G227" s="24"/>
      <c r="H227" s="24"/>
      <c r="I227" s="24"/>
      <c r="J227" s="24"/>
    </row>
    <row r="228" spans="1:10" x14ac:dyDescent="0.35">
      <c r="A228" t="s">
        <v>346</v>
      </c>
      <c r="B228" s="92"/>
      <c r="C228" s="21"/>
      <c r="D228" s="4"/>
      <c r="E228" s="4"/>
      <c r="F228" s="24"/>
      <c r="G228" s="24"/>
      <c r="H228" s="24"/>
      <c r="I228" s="24"/>
      <c r="J228" s="24"/>
    </row>
    <row r="229" spans="1:10" x14ac:dyDescent="0.35">
      <c r="A229" t="s">
        <v>347</v>
      </c>
      <c r="B229" s="92"/>
      <c r="C229" s="21"/>
      <c r="D229" s="4"/>
      <c r="E229" s="4"/>
      <c r="F229" s="24"/>
      <c r="G229" s="24"/>
      <c r="H229" s="24"/>
      <c r="I229" s="24"/>
      <c r="J229" s="24"/>
    </row>
    <row r="230" spans="1:10" x14ac:dyDescent="0.35">
      <c r="A230" t="s">
        <v>348</v>
      </c>
      <c r="B230" s="92"/>
      <c r="C230" s="21"/>
      <c r="D230" s="4"/>
      <c r="E230" s="4"/>
      <c r="F230" s="24"/>
      <c r="G230" s="24"/>
      <c r="H230" s="24"/>
      <c r="I230" s="24"/>
      <c r="J230" s="24"/>
    </row>
    <row r="231" spans="1:10" x14ac:dyDescent="0.35">
      <c r="A231" t="s">
        <v>349</v>
      </c>
      <c r="B231" s="92"/>
      <c r="C231" s="21"/>
      <c r="D231" s="4"/>
      <c r="E231" s="4"/>
      <c r="F231" s="24"/>
      <c r="G231" s="24"/>
      <c r="H231" s="24"/>
      <c r="I231" s="24"/>
      <c r="J231" s="24"/>
    </row>
    <row r="232" spans="1:10" x14ac:dyDescent="0.35">
      <c r="A232" t="s">
        <v>350</v>
      </c>
      <c r="B232" s="92"/>
      <c r="C232" s="21"/>
      <c r="D232" s="4"/>
      <c r="E232" s="4"/>
      <c r="F232" s="24"/>
      <c r="G232" s="24"/>
      <c r="H232" s="24"/>
      <c r="I232" s="24"/>
      <c r="J232" s="24"/>
    </row>
    <row r="233" spans="1:10" x14ac:dyDescent="0.35">
      <c r="A233" t="s">
        <v>351</v>
      </c>
      <c r="B233" s="92"/>
      <c r="C233" s="21"/>
      <c r="D233" s="4"/>
      <c r="E233" s="4"/>
      <c r="F233" s="24"/>
      <c r="G233" s="24"/>
      <c r="H233" s="24"/>
      <c r="I233" s="24"/>
      <c r="J233" s="24"/>
    </row>
    <row r="234" spans="1:10" x14ac:dyDescent="0.35">
      <c r="A234" t="s">
        <v>352</v>
      </c>
      <c r="B234" s="92"/>
      <c r="C234" s="21"/>
      <c r="D234" s="4"/>
      <c r="E234" s="4"/>
      <c r="F234" s="24"/>
      <c r="G234" s="24"/>
      <c r="H234" s="24"/>
      <c r="I234" s="24"/>
      <c r="J234" s="24"/>
    </row>
    <row r="235" spans="1:10" x14ac:dyDescent="0.35">
      <c r="A235" t="s">
        <v>353</v>
      </c>
      <c r="B235" s="92"/>
      <c r="C235" s="21"/>
      <c r="D235" s="4"/>
      <c r="E235" s="4"/>
      <c r="F235" s="24"/>
      <c r="G235" s="24"/>
      <c r="H235" s="24"/>
      <c r="I235" s="24"/>
      <c r="J235" s="24"/>
    </row>
    <row r="236" spans="1:10" x14ac:dyDescent="0.35">
      <c r="A236" t="s">
        <v>354</v>
      </c>
      <c r="B236" s="92"/>
      <c r="C236" s="21"/>
      <c r="D236" s="4"/>
      <c r="E236" s="4"/>
      <c r="F236" s="24"/>
      <c r="G236" s="24"/>
      <c r="H236" s="24"/>
      <c r="I236" s="24"/>
      <c r="J236" s="24"/>
    </row>
    <row r="237" spans="1:10" x14ac:dyDescent="0.35">
      <c r="A237" t="s">
        <v>355</v>
      </c>
      <c r="B237" s="92"/>
      <c r="C237" s="21"/>
      <c r="D237" s="4"/>
      <c r="E237" s="4"/>
      <c r="F237" s="24"/>
      <c r="G237" s="24"/>
      <c r="H237" s="24"/>
      <c r="I237" s="24"/>
      <c r="J237" s="24"/>
    </row>
    <row r="238" spans="1:10" x14ac:dyDescent="0.35">
      <c r="A238" t="s">
        <v>356</v>
      </c>
      <c r="B238" s="92"/>
      <c r="C238" s="21"/>
      <c r="D238" s="4"/>
      <c r="E238" s="4"/>
      <c r="F238" s="24"/>
      <c r="G238" s="24"/>
      <c r="H238" s="24"/>
      <c r="I238" s="24"/>
      <c r="J238" s="24"/>
    </row>
    <row r="239" spans="1:10" x14ac:dyDescent="0.35">
      <c r="A239" t="s">
        <v>357</v>
      </c>
      <c r="B239" s="92"/>
      <c r="C239" s="21"/>
      <c r="D239" s="4"/>
      <c r="E239" s="4"/>
      <c r="F239" s="24"/>
      <c r="G239" s="24"/>
      <c r="H239" s="24"/>
      <c r="I239" s="24"/>
      <c r="J239" s="24"/>
    </row>
    <row r="240" spans="1:10" x14ac:dyDescent="0.35">
      <c r="A240" t="s">
        <v>358</v>
      </c>
      <c r="B240" s="92"/>
      <c r="C240" s="21"/>
      <c r="D240" s="4"/>
      <c r="E240" s="4"/>
      <c r="F240" s="24"/>
      <c r="G240" s="24"/>
      <c r="H240" s="24"/>
      <c r="I240" s="24"/>
      <c r="J240" s="24"/>
    </row>
    <row r="241" spans="1:10" x14ac:dyDescent="0.35">
      <c r="A241" t="s">
        <v>359</v>
      </c>
      <c r="B241" s="92"/>
      <c r="C241" s="21"/>
      <c r="D241" s="4"/>
      <c r="E241" s="4"/>
      <c r="F241" s="24"/>
      <c r="G241" s="24"/>
      <c r="H241" s="24"/>
      <c r="I241" s="24"/>
      <c r="J241" s="24"/>
    </row>
    <row r="242" spans="1:10" x14ac:dyDescent="0.35">
      <c r="A242" t="s">
        <v>360</v>
      </c>
      <c r="B242" s="92"/>
      <c r="C242" s="21"/>
      <c r="D242" s="4"/>
      <c r="E242" s="4"/>
      <c r="F242" s="24"/>
      <c r="G242" s="24"/>
      <c r="H242" s="24"/>
      <c r="I242" s="24"/>
      <c r="J242" s="24"/>
    </row>
    <row r="243" spans="1:10" x14ac:dyDescent="0.35">
      <c r="A243" t="s">
        <v>361</v>
      </c>
      <c r="B243" s="92"/>
      <c r="C243" s="21"/>
      <c r="D243" s="4"/>
      <c r="E243" s="4"/>
      <c r="F243" s="24"/>
      <c r="G243" s="24"/>
      <c r="H243" s="24"/>
      <c r="I243" s="24"/>
      <c r="J243" s="24"/>
    </row>
    <row r="244" spans="1:10" x14ac:dyDescent="0.35">
      <c r="A244" t="s">
        <v>362</v>
      </c>
      <c r="B244" s="92"/>
      <c r="C244" s="21"/>
      <c r="D244" s="4"/>
      <c r="E244" s="4"/>
      <c r="F244" s="24"/>
      <c r="G244" s="24"/>
      <c r="H244" s="24"/>
      <c r="I244" s="24"/>
      <c r="J244" s="24"/>
    </row>
    <row r="245" spans="1:10" x14ac:dyDescent="0.35">
      <c r="A245" t="s">
        <v>363</v>
      </c>
      <c r="B245" s="92"/>
      <c r="C245" s="21"/>
      <c r="D245" s="4"/>
      <c r="E245" s="4"/>
      <c r="F245" s="24"/>
      <c r="G245" s="24"/>
      <c r="H245" s="24"/>
      <c r="I245" s="24"/>
      <c r="J245" s="24"/>
    </row>
    <row r="246" spans="1:10" x14ac:dyDescent="0.35">
      <c r="A246" t="s">
        <v>364</v>
      </c>
      <c r="B246" s="92"/>
      <c r="C246" s="21"/>
      <c r="D246" s="4"/>
      <c r="E246" s="4"/>
      <c r="F246" s="24"/>
      <c r="G246" s="24"/>
      <c r="H246" s="24"/>
      <c r="I246" s="24"/>
      <c r="J246" s="24"/>
    </row>
    <row r="247" spans="1:10" x14ac:dyDescent="0.35">
      <c r="A247" t="s">
        <v>365</v>
      </c>
      <c r="B247" s="92"/>
      <c r="C247" s="21"/>
      <c r="D247" s="4"/>
      <c r="E247" s="4"/>
      <c r="F247" s="24"/>
      <c r="G247" s="24"/>
      <c r="H247" s="24"/>
      <c r="I247" s="24"/>
      <c r="J247" s="24"/>
    </row>
    <row r="248" spans="1:10" x14ac:dyDescent="0.35">
      <c r="A248" t="s">
        <v>366</v>
      </c>
      <c r="B248" s="92"/>
      <c r="C248" s="21"/>
      <c r="D248" s="4"/>
      <c r="E248" s="4"/>
      <c r="F248" s="24"/>
      <c r="G248" s="24"/>
      <c r="H248" s="24"/>
      <c r="I248" s="24"/>
      <c r="J248" s="24"/>
    </row>
    <row r="249" spans="1:10" x14ac:dyDescent="0.35">
      <c r="A249" t="s">
        <v>367</v>
      </c>
      <c r="B249" s="92"/>
      <c r="C249" s="21"/>
      <c r="D249" s="4"/>
      <c r="E249" s="4"/>
      <c r="F249" s="24"/>
      <c r="G249" s="24"/>
      <c r="H249" s="24"/>
      <c r="I249" s="24"/>
      <c r="J249" s="24"/>
    </row>
    <row r="250" spans="1:10" x14ac:dyDescent="0.35">
      <c r="A250" t="s">
        <v>368</v>
      </c>
      <c r="B250" s="92"/>
      <c r="C250" s="21"/>
      <c r="D250" s="4"/>
      <c r="E250" s="4"/>
      <c r="F250" s="24"/>
      <c r="G250" s="24"/>
      <c r="H250" s="24"/>
      <c r="I250" s="24"/>
      <c r="J250" s="24"/>
    </row>
    <row r="251" spans="1:10" x14ac:dyDescent="0.35">
      <c r="A251" t="s">
        <v>369</v>
      </c>
      <c r="B251" s="92"/>
      <c r="C251" s="21"/>
      <c r="D251" s="4"/>
      <c r="E251" s="4"/>
      <c r="F251" s="24"/>
      <c r="G251" s="24"/>
      <c r="H251" s="24"/>
      <c r="I251" s="24"/>
      <c r="J251" s="24"/>
    </row>
    <row r="252" spans="1:10" x14ac:dyDescent="0.35">
      <c r="A252" t="s">
        <v>370</v>
      </c>
      <c r="B252" s="92"/>
      <c r="C252" s="21"/>
      <c r="D252" s="4"/>
      <c r="E252" s="4"/>
      <c r="F252" s="24"/>
      <c r="G252" s="24"/>
      <c r="H252" s="24"/>
      <c r="I252" s="24"/>
      <c r="J252" s="24"/>
    </row>
    <row r="253" spans="1:10" x14ac:dyDescent="0.35">
      <c r="A253" t="s">
        <v>371</v>
      </c>
      <c r="B253" s="92"/>
      <c r="C253" s="21"/>
      <c r="D253" s="4"/>
      <c r="E253" s="4"/>
      <c r="F253" s="24"/>
      <c r="G253" s="24"/>
      <c r="H253" s="24"/>
      <c r="I253" s="24"/>
      <c r="J253" s="24"/>
    </row>
    <row r="254" spans="1:10" x14ac:dyDescent="0.35">
      <c r="A254" t="s">
        <v>372</v>
      </c>
      <c r="B254" s="92"/>
      <c r="C254" s="21"/>
      <c r="D254" s="4"/>
      <c r="E254" s="4"/>
      <c r="F254" s="24"/>
      <c r="G254" s="24"/>
      <c r="H254" s="24"/>
      <c r="I254" s="24"/>
      <c r="J254" s="24"/>
    </row>
    <row r="255" spans="1:10" x14ac:dyDescent="0.35">
      <c r="A255" t="s">
        <v>373</v>
      </c>
      <c r="B255" s="92"/>
      <c r="C255" s="21"/>
      <c r="D255" s="4"/>
      <c r="E255" s="4"/>
      <c r="F255" s="24"/>
      <c r="G255" s="24"/>
      <c r="H255" s="24"/>
      <c r="I255" s="24"/>
      <c r="J255" s="24"/>
    </row>
    <row r="256" spans="1:10" x14ac:dyDescent="0.35">
      <c r="A256" t="s">
        <v>374</v>
      </c>
      <c r="B256" s="92"/>
      <c r="C256" s="21"/>
      <c r="D256" s="4"/>
      <c r="E256" s="4"/>
      <c r="F256" s="24"/>
      <c r="G256" s="24"/>
      <c r="H256" s="24"/>
      <c r="I256" s="24"/>
      <c r="J256" s="24"/>
    </row>
    <row r="257" spans="1:10" x14ac:dyDescent="0.35">
      <c r="A257" t="s">
        <v>375</v>
      </c>
      <c r="B257" s="92"/>
      <c r="C257" s="21"/>
      <c r="D257" s="4"/>
      <c r="E257" s="4"/>
      <c r="F257" s="24"/>
      <c r="G257" s="24"/>
      <c r="H257" s="24"/>
      <c r="I257" s="24"/>
      <c r="J257" s="24"/>
    </row>
    <row r="258" spans="1:10" x14ac:dyDescent="0.35">
      <c r="A258" t="s">
        <v>376</v>
      </c>
      <c r="B258" s="92"/>
      <c r="C258" s="21"/>
      <c r="D258" s="4"/>
      <c r="E258" s="4"/>
      <c r="F258" s="24"/>
      <c r="G258" s="24"/>
      <c r="H258" s="24"/>
      <c r="I258" s="24"/>
      <c r="J258" s="24"/>
    </row>
    <row r="259" spans="1:10" x14ac:dyDescent="0.35">
      <c r="A259" t="s">
        <v>377</v>
      </c>
      <c r="B259" s="92"/>
      <c r="C259" s="21"/>
      <c r="D259" s="4"/>
      <c r="E259" s="4"/>
      <c r="F259" s="24"/>
      <c r="G259" s="24"/>
      <c r="H259" s="24"/>
      <c r="I259" s="24"/>
      <c r="J259" s="24"/>
    </row>
    <row r="260" spans="1:10" x14ac:dyDescent="0.35">
      <c r="A260" t="s">
        <v>378</v>
      </c>
      <c r="B260" s="92"/>
      <c r="C260" s="21"/>
      <c r="D260" s="4"/>
      <c r="E260" s="4"/>
      <c r="F260" s="24"/>
      <c r="G260" s="24"/>
      <c r="H260" s="24"/>
      <c r="I260" s="24"/>
      <c r="J260" s="24"/>
    </row>
    <row r="261" spans="1:10" x14ac:dyDescent="0.35">
      <c r="A261" t="s">
        <v>379</v>
      </c>
      <c r="B261" s="92"/>
      <c r="C261" s="21"/>
      <c r="D261" s="4"/>
      <c r="E261" s="4"/>
      <c r="F261" s="24"/>
      <c r="G261" s="24"/>
      <c r="H261" s="24"/>
      <c r="I261" s="24"/>
      <c r="J261" s="24"/>
    </row>
    <row r="262" spans="1:10" x14ac:dyDescent="0.35">
      <c r="A262" t="s">
        <v>380</v>
      </c>
      <c r="B262" s="92"/>
      <c r="C262" s="21"/>
      <c r="D262" s="4"/>
      <c r="E262" s="4"/>
      <c r="F262" s="24"/>
      <c r="G262" s="24"/>
      <c r="H262" s="24"/>
      <c r="I262" s="24"/>
      <c r="J262" s="24"/>
    </row>
    <row r="263" spans="1:10" x14ac:dyDescent="0.35">
      <c r="A263" t="s">
        <v>381</v>
      </c>
      <c r="B263" s="92"/>
      <c r="C263" s="21"/>
      <c r="D263" s="4"/>
      <c r="E263" s="4"/>
      <c r="F263" s="24"/>
      <c r="G263" s="24"/>
      <c r="H263" s="24"/>
      <c r="I263" s="24"/>
      <c r="J263" s="24"/>
    </row>
    <row r="264" spans="1:10" x14ac:dyDescent="0.35">
      <c r="A264" t="s">
        <v>382</v>
      </c>
      <c r="B264" s="92"/>
      <c r="C264" s="21"/>
      <c r="D264" s="4"/>
      <c r="E264" s="4"/>
      <c r="F264" s="24"/>
      <c r="G264" s="24"/>
      <c r="H264" s="24"/>
      <c r="I264" s="24"/>
      <c r="J264" s="24"/>
    </row>
    <row r="265" spans="1:10" x14ac:dyDescent="0.35">
      <c r="A265" t="s">
        <v>383</v>
      </c>
      <c r="B265" s="92"/>
      <c r="C265" s="21"/>
      <c r="D265" s="4"/>
      <c r="E265" s="4"/>
      <c r="F265" s="24"/>
      <c r="G265" s="24"/>
      <c r="H265" s="24"/>
      <c r="I265" s="24"/>
      <c r="J265" s="24"/>
    </row>
    <row r="266" spans="1:10" x14ac:dyDescent="0.35">
      <c r="A266" t="s">
        <v>384</v>
      </c>
      <c r="B266" s="92"/>
      <c r="C266" s="21"/>
      <c r="D266" s="4"/>
      <c r="E266" s="4"/>
      <c r="F266" s="24"/>
      <c r="G266" s="24"/>
      <c r="H266" s="24"/>
      <c r="I266" s="24"/>
      <c r="J266" s="24"/>
    </row>
    <row r="267" spans="1:10" x14ac:dyDescent="0.35">
      <c r="A267" t="s">
        <v>385</v>
      </c>
      <c r="B267" s="92"/>
      <c r="C267" s="21"/>
      <c r="D267" s="4"/>
      <c r="E267" s="4"/>
      <c r="F267" s="24"/>
      <c r="G267" s="24"/>
      <c r="H267" s="24"/>
      <c r="I267" s="24"/>
      <c r="J267" s="24"/>
    </row>
    <row r="268" spans="1:10" x14ac:dyDescent="0.35">
      <c r="A268" t="s">
        <v>386</v>
      </c>
      <c r="B268" s="92"/>
      <c r="C268" s="21"/>
      <c r="D268" s="4"/>
      <c r="E268" s="4"/>
      <c r="F268" s="24"/>
      <c r="G268" s="24"/>
      <c r="H268" s="24"/>
      <c r="I268" s="24"/>
      <c r="J268" s="24"/>
    </row>
    <row r="269" spans="1:10" x14ac:dyDescent="0.35">
      <c r="A269" t="s">
        <v>387</v>
      </c>
      <c r="B269" s="92"/>
      <c r="C269" s="21"/>
      <c r="D269" s="4"/>
      <c r="E269" s="4"/>
      <c r="F269" s="24"/>
      <c r="G269" s="24"/>
      <c r="H269" s="24"/>
      <c r="I269" s="24"/>
      <c r="J269" s="24"/>
    </row>
    <row r="270" spans="1:10" x14ac:dyDescent="0.35">
      <c r="A270" t="s">
        <v>388</v>
      </c>
      <c r="B270" s="92"/>
      <c r="C270" s="21"/>
      <c r="D270" s="4"/>
      <c r="E270" s="4"/>
      <c r="F270" s="24"/>
      <c r="G270" s="24"/>
      <c r="H270" s="24"/>
      <c r="I270" s="24"/>
      <c r="J270" s="24"/>
    </row>
    <row r="271" spans="1:10" x14ac:dyDescent="0.35">
      <c r="A271" t="s">
        <v>389</v>
      </c>
      <c r="B271" s="92"/>
      <c r="C271" s="21"/>
      <c r="D271" s="4"/>
      <c r="E271" s="4"/>
      <c r="F271" s="24"/>
      <c r="G271" s="24"/>
      <c r="H271" s="24"/>
      <c r="I271" s="24"/>
      <c r="J271" s="24"/>
    </row>
    <row r="272" spans="1:10" x14ac:dyDescent="0.35">
      <c r="A272" t="s">
        <v>390</v>
      </c>
      <c r="B272" s="92"/>
      <c r="C272" s="21"/>
      <c r="D272" s="4"/>
      <c r="E272" s="4"/>
      <c r="F272" s="24"/>
      <c r="G272" s="24"/>
      <c r="H272" s="24"/>
      <c r="I272" s="24"/>
      <c r="J272" s="24"/>
    </row>
    <row r="273" spans="1:10" x14ac:dyDescent="0.35">
      <c r="A273" t="s">
        <v>391</v>
      </c>
      <c r="B273" s="92"/>
      <c r="C273" s="21"/>
      <c r="D273" s="4"/>
      <c r="E273" s="4"/>
      <c r="F273" s="24"/>
      <c r="G273" s="24"/>
      <c r="H273" s="24"/>
      <c r="I273" s="24"/>
      <c r="J273" s="24"/>
    </row>
    <row r="274" spans="1:10" x14ac:dyDescent="0.35">
      <c r="A274" t="s">
        <v>392</v>
      </c>
      <c r="B274" s="92"/>
      <c r="C274" s="21"/>
      <c r="D274" s="4"/>
      <c r="E274" s="4"/>
      <c r="F274" s="24"/>
      <c r="G274" s="24"/>
      <c r="H274" s="24"/>
      <c r="I274" s="24"/>
      <c r="J274" s="24"/>
    </row>
    <row r="275" spans="1:10" x14ac:dyDescent="0.35">
      <c r="A275" t="s">
        <v>393</v>
      </c>
      <c r="B275" s="92"/>
      <c r="C275" s="21"/>
      <c r="D275" s="4"/>
      <c r="E275" s="4"/>
      <c r="F275" s="24"/>
      <c r="G275" s="24"/>
      <c r="H275" s="24"/>
      <c r="I275" s="24"/>
      <c r="J275" s="24"/>
    </row>
    <row r="276" spans="1:10" x14ac:dyDescent="0.35">
      <c r="A276" t="s">
        <v>394</v>
      </c>
      <c r="B276" s="92"/>
      <c r="C276" s="21"/>
      <c r="D276" s="4"/>
      <c r="E276" s="4"/>
      <c r="F276" s="24"/>
      <c r="G276" s="24"/>
      <c r="H276" s="24"/>
      <c r="I276" s="24"/>
      <c r="J276" s="24"/>
    </row>
    <row r="277" spans="1:10" x14ac:dyDescent="0.35">
      <c r="A277" t="s">
        <v>395</v>
      </c>
      <c r="B277" s="92"/>
      <c r="C277" s="21"/>
      <c r="D277" s="4"/>
      <c r="E277" s="4"/>
      <c r="F277" s="24"/>
      <c r="G277" s="24"/>
      <c r="H277" s="24"/>
      <c r="I277" s="24"/>
      <c r="J277" s="24"/>
    </row>
    <row r="278" spans="1:10" x14ac:dyDescent="0.35">
      <c r="A278" t="s">
        <v>396</v>
      </c>
      <c r="B278" s="92"/>
      <c r="C278" s="21"/>
      <c r="D278" s="4"/>
      <c r="E278" s="4"/>
      <c r="F278" s="24"/>
      <c r="G278" s="24"/>
      <c r="H278" s="24"/>
      <c r="I278" s="24"/>
      <c r="J278" s="24"/>
    </row>
    <row r="279" spans="1:10" x14ac:dyDescent="0.35">
      <c r="A279" t="s">
        <v>397</v>
      </c>
      <c r="B279" s="92"/>
      <c r="C279" s="21"/>
      <c r="D279" s="4"/>
      <c r="E279" s="4"/>
      <c r="F279" s="24"/>
      <c r="G279" s="24"/>
      <c r="H279" s="24"/>
      <c r="I279" s="24"/>
      <c r="J279" s="24"/>
    </row>
    <row r="280" spans="1:10" x14ac:dyDescent="0.35">
      <c r="A280" t="s">
        <v>398</v>
      </c>
      <c r="B280" s="92"/>
      <c r="C280" s="21"/>
      <c r="D280" s="4"/>
      <c r="E280" s="4"/>
      <c r="F280" s="24"/>
      <c r="G280" s="24"/>
      <c r="H280" s="24"/>
      <c r="I280" s="24"/>
      <c r="J280" s="24"/>
    </row>
    <row r="281" spans="1:10" x14ac:dyDescent="0.35">
      <c r="A281" t="s">
        <v>399</v>
      </c>
      <c r="B281" s="92"/>
      <c r="C281" s="21"/>
      <c r="D281" s="4"/>
      <c r="E281" s="4"/>
      <c r="F281" s="24"/>
      <c r="G281" s="24"/>
      <c r="H281" s="24"/>
      <c r="I281" s="24"/>
      <c r="J281" s="24"/>
    </row>
    <row r="282" spans="1:10" x14ac:dyDescent="0.35">
      <c r="A282" t="s">
        <v>400</v>
      </c>
      <c r="B282" s="92"/>
      <c r="C282" s="21"/>
      <c r="D282" s="4"/>
      <c r="E282" s="4"/>
      <c r="F282" s="24"/>
      <c r="G282" s="24"/>
      <c r="H282" s="24"/>
      <c r="I282" s="24"/>
      <c r="J282" s="24"/>
    </row>
    <row r="283" spans="1:10" x14ac:dyDescent="0.35">
      <c r="A283" t="s">
        <v>401</v>
      </c>
      <c r="B283" s="92"/>
      <c r="C283" s="21"/>
      <c r="D283" s="4"/>
      <c r="E283" s="4"/>
      <c r="F283" s="24"/>
      <c r="G283" s="24"/>
      <c r="H283" s="24"/>
      <c r="I283" s="24"/>
      <c r="J283" s="24"/>
    </row>
    <row r="284" spans="1:10" x14ac:dyDescent="0.35">
      <c r="A284" t="s">
        <v>402</v>
      </c>
      <c r="B284" s="92"/>
      <c r="C284" s="21"/>
      <c r="D284" s="4"/>
      <c r="E284" s="4"/>
      <c r="F284" s="24"/>
      <c r="G284" s="24"/>
      <c r="H284" s="24"/>
      <c r="I284" s="24"/>
      <c r="J284" s="24"/>
    </row>
    <row r="285" spans="1:10" x14ac:dyDescent="0.35">
      <c r="A285" t="s">
        <v>403</v>
      </c>
      <c r="B285" s="92"/>
      <c r="C285" s="21"/>
      <c r="D285" s="4"/>
      <c r="E285" s="4"/>
      <c r="F285" s="24"/>
      <c r="G285" s="24"/>
      <c r="H285" s="24"/>
      <c r="I285" s="24"/>
      <c r="J285" s="24"/>
    </row>
    <row r="286" spans="1:10" x14ac:dyDescent="0.35">
      <c r="A286" t="s">
        <v>404</v>
      </c>
      <c r="B286" s="92"/>
      <c r="C286" s="21"/>
      <c r="D286" s="4"/>
      <c r="E286" s="4"/>
      <c r="F286" s="24"/>
      <c r="G286" s="24"/>
      <c r="H286" s="24"/>
      <c r="I286" s="24"/>
      <c r="J286" s="24"/>
    </row>
    <row r="287" spans="1:10" x14ac:dyDescent="0.35">
      <c r="A287" t="s">
        <v>405</v>
      </c>
      <c r="B287" s="92"/>
      <c r="C287" s="21"/>
      <c r="D287" s="4"/>
      <c r="E287" s="4"/>
      <c r="F287" s="24"/>
      <c r="G287" s="24"/>
      <c r="H287" s="24"/>
      <c r="I287" s="24"/>
      <c r="J287" s="24"/>
    </row>
    <row r="288" spans="1:10" x14ac:dyDescent="0.35">
      <c r="A288" t="s">
        <v>406</v>
      </c>
      <c r="B288" s="92"/>
      <c r="C288" s="21"/>
      <c r="D288" s="4"/>
      <c r="E288" s="4"/>
      <c r="F288" s="24"/>
      <c r="G288" s="24"/>
      <c r="H288" s="24"/>
      <c r="I288" s="24"/>
      <c r="J288" s="24"/>
    </row>
    <row r="289" spans="1:10" x14ac:dyDescent="0.35">
      <c r="A289" t="s">
        <v>407</v>
      </c>
      <c r="B289" s="92"/>
      <c r="C289" s="21"/>
      <c r="D289" s="4"/>
      <c r="E289" s="4"/>
      <c r="F289" s="24"/>
      <c r="G289" s="24"/>
      <c r="H289" s="24"/>
      <c r="I289" s="24"/>
      <c r="J289" s="24"/>
    </row>
    <row r="290" spans="1:10" x14ac:dyDescent="0.35">
      <c r="A290" t="s">
        <v>408</v>
      </c>
      <c r="B290" s="92"/>
      <c r="C290" s="21"/>
      <c r="D290" s="4"/>
      <c r="E290" s="4"/>
      <c r="F290" s="24"/>
      <c r="G290" s="24"/>
      <c r="H290" s="24"/>
      <c r="I290" s="24"/>
      <c r="J290" s="24"/>
    </row>
    <row r="291" spans="1:10" x14ac:dyDescent="0.35">
      <c r="A291" t="s">
        <v>409</v>
      </c>
      <c r="B291" s="92"/>
      <c r="C291" s="21"/>
      <c r="D291" s="4"/>
      <c r="E291" s="4"/>
      <c r="F291" s="24"/>
      <c r="G291" s="24"/>
      <c r="H291" s="24"/>
      <c r="I291" s="24"/>
      <c r="J291" s="24"/>
    </row>
    <row r="292" spans="1:10" x14ac:dyDescent="0.35">
      <c r="A292" t="s">
        <v>410</v>
      </c>
      <c r="B292" s="92"/>
      <c r="C292" s="21"/>
      <c r="D292" s="4"/>
      <c r="E292" s="4"/>
      <c r="F292" s="24"/>
      <c r="G292" s="24"/>
      <c r="H292" s="24"/>
      <c r="I292" s="24"/>
      <c r="J292" s="24"/>
    </row>
    <row r="293" spans="1:10" x14ac:dyDescent="0.35">
      <c r="A293" t="s">
        <v>411</v>
      </c>
      <c r="B293" s="92"/>
      <c r="C293" s="21"/>
      <c r="D293" s="4"/>
      <c r="E293" s="4"/>
      <c r="F293" s="24"/>
      <c r="G293" s="24"/>
      <c r="H293" s="24"/>
      <c r="I293" s="24"/>
      <c r="J293" s="24"/>
    </row>
    <row r="294" spans="1:10" x14ac:dyDescent="0.35">
      <c r="A294" t="s">
        <v>412</v>
      </c>
      <c r="B294" s="92"/>
      <c r="C294" s="21"/>
      <c r="D294" s="4"/>
      <c r="E294" s="4"/>
      <c r="F294" s="24"/>
      <c r="G294" s="24"/>
      <c r="H294" s="24"/>
      <c r="I294" s="24"/>
      <c r="J294" s="24"/>
    </row>
    <row r="295" spans="1:10" x14ac:dyDescent="0.35">
      <c r="A295" t="s">
        <v>413</v>
      </c>
      <c r="B295" s="92"/>
      <c r="C295" s="21"/>
      <c r="D295" s="4"/>
      <c r="E295" s="4"/>
      <c r="F295" s="24"/>
      <c r="G295" s="24"/>
      <c r="H295" s="24"/>
      <c r="I295" s="24"/>
      <c r="J295" s="24"/>
    </row>
    <row r="296" spans="1:10" x14ac:dyDescent="0.35">
      <c r="A296" t="s">
        <v>414</v>
      </c>
      <c r="B296" s="92"/>
      <c r="C296" s="21"/>
      <c r="D296" s="4"/>
      <c r="E296" s="4"/>
      <c r="F296" s="24"/>
      <c r="G296" s="24"/>
      <c r="H296" s="24"/>
      <c r="I296" s="24"/>
      <c r="J296" s="24"/>
    </row>
    <row r="297" spans="1:10" x14ac:dyDescent="0.35">
      <c r="A297" t="s">
        <v>415</v>
      </c>
      <c r="B297" s="92"/>
      <c r="C297" s="21"/>
      <c r="D297" s="4"/>
      <c r="E297" s="4"/>
      <c r="F297" s="24"/>
      <c r="G297" s="24"/>
      <c r="H297" s="24"/>
      <c r="I297" s="24"/>
      <c r="J297" s="24"/>
    </row>
    <row r="298" spans="1:10" x14ac:dyDescent="0.35">
      <c r="A298" t="s">
        <v>416</v>
      </c>
      <c r="B298" s="92"/>
      <c r="C298" s="21"/>
      <c r="D298" s="4"/>
      <c r="E298" s="4"/>
      <c r="F298" s="24"/>
      <c r="G298" s="24"/>
      <c r="H298" s="24"/>
      <c r="I298" s="24"/>
      <c r="J298" s="24"/>
    </row>
    <row r="299" spans="1:10" x14ac:dyDescent="0.35">
      <c r="A299" t="s">
        <v>417</v>
      </c>
      <c r="B299" s="92"/>
      <c r="C299" s="21"/>
      <c r="D299" s="4"/>
      <c r="E299" s="4"/>
      <c r="F299" s="24"/>
      <c r="G299" s="24"/>
      <c r="H299" s="24"/>
      <c r="I299" s="24"/>
      <c r="J299" s="24"/>
    </row>
    <row r="300" spans="1:10" x14ac:dyDescent="0.35">
      <c r="A300" t="s">
        <v>418</v>
      </c>
      <c r="B300" s="92"/>
      <c r="C300" s="21"/>
      <c r="D300" s="4"/>
      <c r="E300" s="4"/>
      <c r="F300" s="24"/>
      <c r="G300" s="24"/>
      <c r="H300" s="24"/>
      <c r="I300" s="24"/>
      <c r="J300" s="24"/>
    </row>
    <row r="301" spans="1:10" x14ac:dyDescent="0.35">
      <c r="A301" t="s">
        <v>419</v>
      </c>
      <c r="B301" s="92"/>
      <c r="C301" s="21"/>
      <c r="D301" s="4"/>
      <c r="E301" s="4"/>
      <c r="F301" s="24"/>
      <c r="G301" s="24"/>
      <c r="H301" s="24"/>
      <c r="I301" s="24"/>
      <c r="J301" s="24"/>
    </row>
    <row r="302" spans="1:10" x14ac:dyDescent="0.35">
      <c r="A302" t="s">
        <v>420</v>
      </c>
      <c r="B302" s="92"/>
      <c r="C302" s="21"/>
      <c r="D302" s="4"/>
      <c r="E302" s="4"/>
      <c r="F302" s="24"/>
      <c r="G302" s="24"/>
      <c r="H302" s="24"/>
      <c r="I302" s="24"/>
      <c r="J302" s="24"/>
    </row>
    <row r="303" spans="1:10" x14ac:dyDescent="0.35">
      <c r="A303" t="s">
        <v>421</v>
      </c>
      <c r="B303" s="92"/>
      <c r="C303" s="21"/>
      <c r="D303" s="4"/>
      <c r="E303" s="4"/>
      <c r="F303" s="24"/>
      <c r="G303" s="24"/>
      <c r="H303" s="24"/>
      <c r="I303" s="24"/>
      <c r="J303" s="24"/>
    </row>
    <row r="304" spans="1:10" x14ac:dyDescent="0.35">
      <c r="A304" t="s">
        <v>422</v>
      </c>
      <c r="B304" s="92"/>
      <c r="C304" s="21"/>
      <c r="D304" s="4"/>
      <c r="E304" s="4"/>
      <c r="F304" s="24"/>
      <c r="G304" s="24"/>
      <c r="H304" s="24"/>
      <c r="I304" s="24"/>
      <c r="J304" s="24"/>
    </row>
    <row r="305" spans="1:10" x14ac:dyDescent="0.35">
      <c r="A305" t="s">
        <v>423</v>
      </c>
      <c r="B305" s="92"/>
      <c r="C305" s="21"/>
      <c r="D305" s="4"/>
      <c r="E305" s="4"/>
      <c r="F305" s="24"/>
      <c r="G305" s="24"/>
      <c r="H305" s="24"/>
      <c r="I305" s="24"/>
      <c r="J305" s="24"/>
    </row>
    <row r="306" spans="1:10" x14ac:dyDescent="0.35">
      <c r="A306" t="s">
        <v>424</v>
      </c>
      <c r="B306" s="92"/>
      <c r="C306" s="21"/>
      <c r="D306" s="4"/>
      <c r="E306" s="4"/>
      <c r="F306" s="24"/>
      <c r="G306" s="24"/>
      <c r="H306" s="24"/>
      <c r="I306" s="24"/>
      <c r="J306" s="24"/>
    </row>
    <row r="307" spans="1:10" x14ac:dyDescent="0.35">
      <c r="A307" t="s">
        <v>425</v>
      </c>
      <c r="B307" s="92"/>
      <c r="C307" s="21"/>
      <c r="D307" s="4"/>
      <c r="E307" s="4"/>
      <c r="F307" s="24"/>
      <c r="G307" s="24"/>
      <c r="H307" s="24"/>
      <c r="I307" s="24"/>
      <c r="J307" s="24"/>
    </row>
    <row r="308" spans="1:10" x14ac:dyDescent="0.35">
      <c r="A308" t="s">
        <v>426</v>
      </c>
      <c r="B308" s="92"/>
      <c r="C308" s="21"/>
      <c r="D308" s="4"/>
      <c r="E308" s="4"/>
      <c r="F308" s="24"/>
      <c r="G308" s="24"/>
      <c r="H308" s="24"/>
      <c r="I308" s="24"/>
      <c r="J308" s="24"/>
    </row>
    <row r="309" spans="1:10" x14ac:dyDescent="0.35">
      <c r="A309" t="s">
        <v>427</v>
      </c>
      <c r="B309" s="92"/>
      <c r="C309" s="21"/>
      <c r="D309" s="4"/>
      <c r="E309" s="4"/>
      <c r="F309" s="24"/>
      <c r="G309" s="24"/>
      <c r="H309" s="24"/>
      <c r="I309" s="24"/>
      <c r="J309" s="24"/>
    </row>
    <row r="310" spans="1:10" x14ac:dyDescent="0.35">
      <c r="A310" t="s">
        <v>428</v>
      </c>
      <c r="B310" s="92"/>
      <c r="C310" s="21"/>
      <c r="D310" s="4"/>
      <c r="E310" s="4"/>
      <c r="F310" s="24"/>
      <c r="G310" s="24"/>
      <c r="H310" s="24"/>
      <c r="I310" s="24"/>
      <c r="J310" s="24"/>
    </row>
    <row r="311" spans="1:10" x14ac:dyDescent="0.35">
      <c r="A311" t="s">
        <v>429</v>
      </c>
      <c r="B311" s="92"/>
      <c r="C311" s="21"/>
      <c r="D311" s="4"/>
      <c r="E311" s="4"/>
      <c r="F311" s="24"/>
      <c r="G311" s="24"/>
      <c r="H311" s="24"/>
      <c r="I311" s="24"/>
      <c r="J311" s="24"/>
    </row>
    <row r="312" spans="1:10" x14ac:dyDescent="0.35">
      <c r="A312" t="s">
        <v>430</v>
      </c>
      <c r="B312" s="92"/>
      <c r="C312" s="21"/>
      <c r="D312" s="4"/>
      <c r="E312" s="4"/>
      <c r="F312" s="24"/>
      <c r="G312" s="24"/>
      <c r="H312" s="24"/>
      <c r="I312" s="24"/>
      <c r="J312" s="24"/>
    </row>
    <row r="313" spans="1:10" x14ac:dyDescent="0.35">
      <c r="A313" t="s">
        <v>431</v>
      </c>
      <c r="B313" s="92"/>
      <c r="C313" s="21"/>
      <c r="D313" s="4"/>
      <c r="E313" s="4"/>
      <c r="F313" s="24"/>
      <c r="G313" s="24"/>
      <c r="H313" s="24"/>
      <c r="I313" s="24"/>
      <c r="J313" s="24"/>
    </row>
    <row r="314" spans="1:10" x14ac:dyDescent="0.35">
      <c r="A314" t="s">
        <v>432</v>
      </c>
      <c r="B314" s="92"/>
      <c r="C314" s="21"/>
      <c r="D314" s="4"/>
      <c r="E314" s="4"/>
      <c r="F314" s="24"/>
      <c r="G314" s="24"/>
      <c r="H314" s="24"/>
      <c r="I314" s="24"/>
      <c r="J314" s="24"/>
    </row>
    <row r="315" spans="1:10" x14ac:dyDescent="0.35">
      <c r="A315" t="s">
        <v>433</v>
      </c>
      <c r="B315" s="92"/>
      <c r="C315" s="21"/>
      <c r="D315" s="4"/>
      <c r="E315" s="4"/>
      <c r="F315" s="24"/>
      <c r="G315" s="24"/>
      <c r="H315" s="24"/>
      <c r="I315" s="24"/>
      <c r="J315" s="24"/>
    </row>
    <row r="316" spans="1:10" x14ac:dyDescent="0.35">
      <c r="A316" t="s">
        <v>434</v>
      </c>
      <c r="B316" s="92"/>
      <c r="C316" s="21"/>
      <c r="D316" s="4"/>
      <c r="E316" s="4"/>
      <c r="F316" s="24"/>
      <c r="G316" s="24"/>
      <c r="H316" s="24"/>
      <c r="I316" s="24"/>
      <c r="J316" s="24"/>
    </row>
    <row r="317" spans="1:10" x14ac:dyDescent="0.35">
      <c r="A317" t="s">
        <v>435</v>
      </c>
      <c r="B317" s="92"/>
      <c r="C317" s="21"/>
      <c r="D317" s="4"/>
      <c r="E317" s="4"/>
      <c r="F317" s="24"/>
      <c r="G317" s="24"/>
      <c r="H317" s="24"/>
      <c r="I317" s="24"/>
      <c r="J317" s="24"/>
    </row>
    <row r="318" spans="1:10" x14ac:dyDescent="0.35">
      <c r="A318" t="s">
        <v>436</v>
      </c>
      <c r="B318" s="92"/>
      <c r="C318" s="21"/>
      <c r="D318" s="4"/>
      <c r="E318" s="4"/>
      <c r="F318" s="24"/>
      <c r="G318" s="24"/>
      <c r="H318" s="24"/>
      <c r="I318" s="24"/>
      <c r="J318" s="24"/>
    </row>
    <row r="319" spans="1:10" x14ac:dyDescent="0.35">
      <c r="A319" t="s">
        <v>437</v>
      </c>
      <c r="B319" s="92"/>
      <c r="C319" s="21"/>
      <c r="D319" s="4"/>
      <c r="E319" s="4"/>
      <c r="F319" s="24"/>
      <c r="G319" s="24"/>
      <c r="H319" s="24"/>
      <c r="I319" s="24"/>
      <c r="J319" s="24"/>
    </row>
    <row r="320" spans="1:10" x14ac:dyDescent="0.35">
      <c r="A320" t="s">
        <v>438</v>
      </c>
      <c r="B320" s="92"/>
      <c r="C320" s="21"/>
      <c r="D320" s="4"/>
      <c r="E320" s="4"/>
      <c r="F320" s="24"/>
      <c r="G320" s="24"/>
      <c r="H320" s="24"/>
      <c r="I320" s="24"/>
      <c r="J320" s="24"/>
    </row>
    <row r="321" spans="1:10" x14ac:dyDescent="0.35">
      <c r="A321" t="s">
        <v>439</v>
      </c>
      <c r="B321" s="92"/>
      <c r="C321" s="21"/>
      <c r="D321" s="4"/>
      <c r="E321" s="4"/>
      <c r="F321" s="24"/>
      <c r="G321" s="24"/>
      <c r="H321" s="24"/>
      <c r="I321" s="24"/>
      <c r="J321" s="24"/>
    </row>
    <row r="322" spans="1:10" x14ac:dyDescent="0.35">
      <c r="A322" t="s">
        <v>440</v>
      </c>
      <c r="B322" s="92"/>
      <c r="C322" s="21"/>
      <c r="D322" s="4"/>
      <c r="E322" s="4"/>
      <c r="F322" s="24"/>
      <c r="G322" s="24"/>
      <c r="H322" s="24"/>
      <c r="I322" s="24"/>
      <c r="J322" s="24"/>
    </row>
    <row r="323" spans="1:10" x14ac:dyDescent="0.35">
      <c r="A323" t="s">
        <v>441</v>
      </c>
      <c r="B323" s="92"/>
      <c r="C323" s="21"/>
      <c r="D323" s="4"/>
      <c r="E323" s="4"/>
      <c r="F323" s="24"/>
      <c r="G323" s="24"/>
      <c r="H323" s="24"/>
      <c r="I323" s="24"/>
      <c r="J323" s="24"/>
    </row>
    <row r="324" spans="1:10" x14ac:dyDescent="0.35">
      <c r="A324" t="s">
        <v>442</v>
      </c>
      <c r="B324" s="92"/>
      <c r="C324" s="21"/>
      <c r="D324" s="4"/>
      <c r="E324" s="4"/>
      <c r="F324" s="24"/>
      <c r="G324" s="24"/>
      <c r="H324" s="24"/>
      <c r="I324" s="24"/>
      <c r="J324" s="24"/>
    </row>
    <row r="325" spans="1:10" x14ac:dyDescent="0.35">
      <c r="A325" t="s">
        <v>443</v>
      </c>
      <c r="B325" s="92"/>
      <c r="C325" s="21"/>
      <c r="D325" s="4"/>
      <c r="E325" s="4"/>
      <c r="F325" s="24"/>
      <c r="G325" s="24"/>
      <c r="H325" s="24"/>
      <c r="I325" s="24"/>
      <c r="J325" s="24"/>
    </row>
    <row r="326" spans="1:10" x14ac:dyDescent="0.35">
      <c r="A326" t="s">
        <v>444</v>
      </c>
      <c r="B326" s="92"/>
      <c r="C326" s="21"/>
      <c r="D326" s="4"/>
      <c r="E326" s="4"/>
      <c r="F326" s="24"/>
      <c r="G326" s="24"/>
      <c r="H326" s="24"/>
      <c r="I326" s="24"/>
      <c r="J326" s="24"/>
    </row>
    <row r="327" spans="1:10" x14ac:dyDescent="0.35">
      <c r="A327" t="s">
        <v>445</v>
      </c>
      <c r="B327" s="92"/>
      <c r="C327" s="21"/>
      <c r="D327" s="4"/>
      <c r="E327" s="4"/>
      <c r="F327" s="24"/>
      <c r="G327" s="24"/>
      <c r="H327" s="24"/>
      <c r="I327" s="24"/>
      <c r="J327" s="24"/>
    </row>
    <row r="328" spans="1:10" x14ac:dyDescent="0.35">
      <c r="A328" t="s">
        <v>446</v>
      </c>
      <c r="B328" s="92"/>
      <c r="C328" s="21"/>
      <c r="D328" s="4"/>
      <c r="E328" s="4"/>
      <c r="F328" s="24"/>
      <c r="G328" s="24"/>
      <c r="H328" s="24"/>
      <c r="I328" s="24"/>
      <c r="J328" s="24"/>
    </row>
    <row r="329" spans="1:10" x14ac:dyDescent="0.35">
      <c r="A329" t="s">
        <v>447</v>
      </c>
      <c r="B329" s="92"/>
      <c r="C329" s="21"/>
      <c r="D329" s="4"/>
      <c r="E329" s="4"/>
      <c r="F329" s="24"/>
      <c r="G329" s="24"/>
      <c r="H329" s="24"/>
      <c r="I329" s="24"/>
      <c r="J329" s="24"/>
    </row>
    <row r="330" spans="1:10" x14ac:dyDescent="0.35">
      <c r="A330" t="s">
        <v>448</v>
      </c>
      <c r="B330" s="92"/>
      <c r="C330" s="21"/>
      <c r="D330" s="4"/>
      <c r="E330" s="4"/>
      <c r="F330" s="24"/>
      <c r="G330" s="24"/>
      <c r="H330" s="24"/>
      <c r="I330" s="24"/>
      <c r="J330" s="24"/>
    </row>
    <row r="331" spans="1:10" x14ac:dyDescent="0.35">
      <c r="A331" t="s">
        <v>449</v>
      </c>
      <c r="B331" s="92"/>
      <c r="C331" s="21"/>
      <c r="D331" s="4"/>
      <c r="E331" s="4"/>
      <c r="F331" s="24"/>
      <c r="G331" s="24"/>
      <c r="H331" s="24"/>
      <c r="I331" s="24"/>
      <c r="J331" s="24"/>
    </row>
    <row r="332" spans="1:10" x14ac:dyDescent="0.35">
      <c r="A332" t="s">
        <v>450</v>
      </c>
      <c r="B332" s="92"/>
      <c r="C332" s="21"/>
      <c r="D332" s="4"/>
      <c r="E332" s="4"/>
      <c r="F332" s="24"/>
      <c r="G332" s="24"/>
      <c r="H332" s="24"/>
      <c r="I332" s="24"/>
      <c r="J332" s="24"/>
    </row>
    <row r="333" spans="1:10" x14ac:dyDescent="0.35">
      <c r="A333" t="s">
        <v>451</v>
      </c>
      <c r="B333" s="92"/>
      <c r="C333" s="21"/>
      <c r="D333" s="4"/>
      <c r="E333" s="4"/>
      <c r="F333" s="24"/>
      <c r="G333" s="24"/>
      <c r="H333" s="24"/>
      <c r="I333" s="24"/>
      <c r="J333" s="24"/>
    </row>
    <row r="334" spans="1:10" x14ac:dyDescent="0.35">
      <c r="A334" t="s">
        <v>452</v>
      </c>
      <c r="B334" s="92"/>
      <c r="C334" s="21"/>
      <c r="D334" s="4"/>
      <c r="E334" s="4"/>
      <c r="F334" s="24"/>
      <c r="G334" s="24"/>
      <c r="H334" s="24"/>
      <c r="I334" s="24"/>
      <c r="J334" s="24"/>
    </row>
    <row r="335" spans="1:10" x14ac:dyDescent="0.35">
      <c r="A335" t="s">
        <v>453</v>
      </c>
      <c r="B335" s="92"/>
      <c r="C335" s="21"/>
      <c r="D335" s="4"/>
      <c r="E335" s="4"/>
      <c r="F335" s="24"/>
      <c r="G335" s="24"/>
      <c r="H335" s="24"/>
      <c r="I335" s="24"/>
      <c r="J335" s="24"/>
    </row>
    <row r="336" spans="1:10" x14ac:dyDescent="0.35">
      <c r="A336" t="s">
        <v>454</v>
      </c>
      <c r="B336" s="92"/>
      <c r="C336" s="21"/>
      <c r="D336" s="4"/>
      <c r="E336" s="4"/>
      <c r="F336" s="24"/>
      <c r="G336" s="24"/>
      <c r="H336" s="24"/>
      <c r="I336" s="24"/>
      <c r="J336" s="24"/>
    </row>
    <row r="337" spans="1:10" x14ac:dyDescent="0.35">
      <c r="A337" t="s">
        <v>455</v>
      </c>
      <c r="B337" s="92"/>
      <c r="C337" s="21"/>
      <c r="D337" s="4"/>
      <c r="E337" s="4"/>
      <c r="F337" s="24"/>
      <c r="G337" s="24"/>
      <c r="H337" s="24"/>
      <c r="I337" s="24"/>
      <c r="J337" s="24"/>
    </row>
    <row r="338" spans="1:10" x14ac:dyDescent="0.35">
      <c r="A338" t="s">
        <v>456</v>
      </c>
      <c r="B338" s="92"/>
      <c r="C338" s="21"/>
      <c r="D338" s="4"/>
      <c r="E338" s="4"/>
      <c r="F338" s="24"/>
      <c r="G338" s="24"/>
      <c r="H338" s="24"/>
      <c r="I338" s="24"/>
      <c r="J338" s="24"/>
    </row>
    <row r="339" spans="1:10" x14ac:dyDescent="0.35">
      <c r="A339" t="s">
        <v>457</v>
      </c>
      <c r="B339" s="92"/>
      <c r="C339" s="21"/>
      <c r="D339" s="4"/>
      <c r="E339" s="4"/>
      <c r="F339" s="24"/>
      <c r="G339" s="24"/>
      <c r="H339" s="24"/>
      <c r="I339" s="24"/>
      <c r="J339" s="24"/>
    </row>
    <row r="340" spans="1:10" x14ac:dyDescent="0.35">
      <c r="A340" t="s">
        <v>458</v>
      </c>
      <c r="B340" s="92"/>
      <c r="C340" s="21"/>
      <c r="D340" s="4"/>
      <c r="E340" s="4"/>
      <c r="F340" s="24"/>
      <c r="G340" s="24"/>
      <c r="H340" s="24"/>
      <c r="I340" s="24"/>
      <c r="J340" s="24"/>
    </row>
    <row r="341" spans="1:10" x14ac:dyDescent="0.35">
      <c r="A341" t="s">
        <v>459</v>
      </c>
      <c r="B341" s="92"/>
      <c r="C341" s="21"/>
      <c r="D341" s="4"/>
      <c r="E341" s="4"/>
      <c r="F341" s="24"/>
      <c r="G341" s="24"/>
      <c r="H341" s="24"/>
      <c r="I341" s="24"/>
      <c r="J341" s="24"/>
    </row>
    <row r="342" spans="1:10" x14ac:dyDescent="0.35">
      <c r="A342" t="s">
        <v>460</v>
      </c>
      <c r="B342" s="92"/>
      <c r="C342" s="21"/>
      <c r="D342" s="4"/>
      <c r="E342" s="4"/>
      <c r="F342" s="24"/>
      <c r="G342" s="24"/>
      <c r="H342" s="24"/>
      <c r="I342" s="24"/>
      <c r="J342" s="24"/>
    </row>
    <row r="343" spans="1:10" x14ac:dyDescent="0.35">
      <c r="A343" t="s">
        <v>461</v>
      </c>
      <c r="B343" s="92"/>
      <c r="C343" s="21"/>
      <c r="D343" s="4"/>
      <c r="E343" s="4"/>
      <c r="F343" s="24"/>
      <c r="G343" s="24"/>
      <c r="H343" s="24"/>
      <c r="I343" s="24"/>
      <c r="J343" s="24"/>
    </row>
    <row r="344" spans="1:10" x14ac:dyDescent="0.35">
      <c r="A344" t="s">
        <v>462</v>
      </c>
      <c r="B344" s="92"/>
      <c r="C344" s="21"/>
      <c r="D344" s="4"/>
      <c r="E344" s="4"/>
      <c r="F344" s="24"/>
      <c r="G344" s="24"/>
      <c r="H344" s="24"/>
      <c r="I344" s="24"/>
      <c r="J344" s="24"/>
    </row>
    <row r="345" spans="1:10" x14ac:dyDescent="0.35">
      <c r="A345" t="s">
        <v>463</v>
      </c>
      <c r="B345" s="92"/>
      <c r="C345" s="21"/>
      <c r="D345" s="4"/>
      <c r="E345" s="4"/>
      <c r="F345" s="24"/>
      <c r="G345" s="24"/>
      <c r="H345" s="24"/>
      <c r="I345" s="24"/>
      <c r="J345" s="24"/>
    </row>
    <row r="346" spans="1:10" x14ac:dyDescent="0.35">
      <c r="A346" t="s">
        <v>464</v>
      </c>
      <c r="B346" s="92"/>
      <c r="C346" s="21"/>
      <c r="D346" s="4"/>
      <c r="E346" s="4"/>
      <c r="F346" s="24"/>
      <c r="G346" s="24"/>
      <c r="H346" s="24"/>
      <c r="I346" s="24"/>
      <c r="J346" s="24"/>
    </row>
    <row r="347" spans="1:10" x14ac:dyDescent="0.35">
      <c r="A347" t="s">
        <v>465</v>
      </c>
      <c r="B347" s="92"/>
      <c r="C347" s="21"/>
      <c r="D347" s="4"/>
      <c r="E347" s="4"/>
      <c r="F347" s="24"/>
      <c r="G347" s="24"/>
      <c r="H347" s="24"/>
      <c r="I347" s="24"/>
      <c r="J347" s="24"/>
    </row>
    <row r="348" spans="1:10" x14ac:dyDescent="0.35">
      <c r="A348" t="s">
        <v>466</v>
      </c>
      <c r="B348" s="92"/>
      <c r="C348" s="21"/>
      <c r="D348" s="4"/>
      <c r="E348" s="4"/>
      <c r="F348" s="24"/>
      <c r="G348" s="24"/>
      <c r="H348" s="24"/>
      <c r="I348" s="24"/>
      <c r="J348" s="24"/>
    </row>
    <row r="349" spans="1:10" x14ac:dyDescent="0.35">
      <c r="A349" t="s">
        <v>467</v>
      </c>
      <c r="B349" s="92"/>
      <c r="C349" s="21"/>
      <c r="D349" s="4"/>
      <c r="E349" s="4"/>
      <c r="F349" s="24"/>
      <c r="G349" s="24"/>
      <c r="H349" s="24"/>
      <c r="I349" s="24"/>
      <c r="J349" s="24"/>
    </row>
    <row r="350" spans="1:10" x14ac:dyDescent="0.35">
      <c r="A350" t="s">
        <v>468</v>
      </c>
      <c r="B350" s="92"/>
      <c r="C350" s="21"/>
      <c r="D350" s="4"/>
      <c r="E350" s="4"/>
      <c r="F350" s="24"/>
      <c r="G350" s="24"/>
      <c r="H350" s="24"/>
      <c r="I350" s="24"/>
      <c r="J350" s="24"/>
    </row>
    <row r="351" spans="1:10" x14ac:dyDescent="0.35">
      <c r="A351" t="s">
        <v>469</v>
      </c>
      <c r="B351" s="92"/>
      <c r="C351" s="21"/>
      <c r="D351" s="4"/>
      <c r="E351" s="4"/>
      <c r="F351" s="24"/>
      <c r="G351" s="24"/>
      <c r="H351" s="24"/>
      <c r="I351" s="24"/>
      <c r="J351" s="24"/>
    </row>
    <row r="352" spans="1:10" x14ac:dyDescent="0.35">
      <c r="A352" t="s">
        <v>470</v>
      </c>
      <c r="B352" s="92"/>
      <c r="C352" s="21"/>
      <c r="D352" s="4"/>
      <c r="E352" s="4"/>
      <c r="F352" s="24"/>
      <c r="G352" s="24"/>
      <c r="H352" s="24"/>
      <c r="I352" s="24"/>
      <c r="J352" s="24"/>
    </row>
    <row r="353" spans="1:10" x14ac:dyDescent="0.35">
      <c r="A353" t="s">
        <v>471</v>
      </c>
      <c r="B353" s="92"/>
      <c r="C353" s="21"/>
      <c r="D353" s="4"/>
      <c r="E353" s="4"/>
      <c r="F353" s="24"/>
      <c r="G353" s="24"/>
      <c r="H353" s="24"/>
      <c r="I353" s="24"/>
      <c r="J353" s="24"/>
    </row>
    <row r="354" spans="1:10" x14ac:dyDescent="0.35">
      <c r="A354" t="s">
        <v>472</v>
      </c>
      <c r="B354" s="92"/>
      <c r="C354" s="21"/>
      <c r="D354" s="4"/>
      <c r="E354" s="4"/>
      <c r="F354" s="24"/>
      <c r="G354" s="24"/>
      <c r="H354" s="24"/>
      <c r="I354" s="24"/>
      <c r="J354" s="24"/>
    </row>
    <row r="355" spans="1:10" x14ac:dyDescent="0.35">
      <c r="A355" t="s">
        <v>473</v>
      </c>
      <c r="B355" s="92"/>
      <c r="C355" s="21"/>
      <c r="D355" s="4"/>
      <c r="E355" s="4"/>
      <c r="F355" s="24"/>
      <c r="G355" s="24"/>
      <c r="H355" s="24"/>
      <c r="I355" s="24"/>
      <c r="J355" s="24"/>
    </row>
    <row r="356" spans="1:10" x14ac:dyDescent="0.35">
      <c r="A356" t="s">
        <v>474</v>
      </c>
      <c r="B356" s="92"/>
      <c r="C356" s="21"/>
      <c r="D356" s="4"/>
      <c r="E356" s="4"/>
      <c r="F356" s="24"/>
      <c r="G356" s="24"/>
      <c r="H356" s="24"/>
      <c r="I356" s="24"/>
      <c r="J356" s="24"/>
    </row>
    <row r="357" spans="1:10" x14ac:dyDescent="0.35">
      <c r="A357" t="s">
        <v>475</v>
      </c>
      <c r="B357" s="92"/>
      <c r="C357" s="21"/>
      <c r="D357" s="4"/>
      <c r="E357" s="4"/>
      <c r="F357" s="24"/>
      <c r="G357" s="24"/>
      <c r="H357" s="24"/>
      <c r="I357" s="24"/>
      <c r="J357" s="24"/>
    </row>
    <row r="358" spans="1:10" x14ac:dyDescent="0.35">
      <c r="A358" t="s">
        <v>476</v>
      </c>
      <c r="B358" s="92"/>
      <c r="C358" s="21"/>
      <c r="D358" s="4"/>
      <c r="E358" s="4"/>
      <c r="F358" s="24"/>
      <c r="G358" s="24"/>
      <c r="H358" s="24"/>
      <c r="I358" s="24"/>
      <c r="J358" s="24"/>
    </row>
    <row r="359" spans="1:10" x14ac:dyDescent="0.35">
      <c r="A359" t="s">
        <v>477</v>
      </c>
      <c r="B359" s="92"/>
      <c r="C359" s="21"/>
      <c r="D359" s="4"/>
      <c r="E359" s="4"/>
      <c r="F359" s="24"/>
      <c r="G359" s="24"/>
      <c r="H359" s="24"/>
      <c r="I359" s="24"/>
      <c r="J359" s="24"/>
    </row>
    <row r="360" spans="1:10" x14ac:dyDescent="0.35">
      <c r="A360" t="s">
        <v>478</v>
      </c>
      <c r="B360" s="92"/>
      <c r="C360" s="21"/>
      <c r="D360" s="4"/>
      <c r="E360" s="4"/>
      <c r="F360" s="24"/>
      <c r="G360" s="24"/>
      <c r="H360" s="24"/>
      <c r="I360" s="24"/>
      <c r="J360" s="24"/>
    </row>
    <row r="361" spans="1:10" x14ac:dyDescent="0.35">
      <c r="A361" t="s">
        <v>479</v>
      </c>
      <c r="B361" s="92"/>
      <c r="C361" s="21"/>
      <c r="D361" s="4"/>
      <c r="E361" s="4"/>
      <c r="F361" s="24"/>
      <c r="G361" s="24"/>
      <c r="H361" s="24"/>
      <c r="I361" s="24"/>
      <c r="J361" s="24"/>
    </row>
    <row r="362" spans="1:10" x14ac:dyDescent="0.35">
      <c r="A362" t="s">
        <v>480</v>
      </c>
      <c r="B362" s="92"/>
      <c r="C362" s="21"/>
      <c r="D362" s="4"/>
      <c r="E362" s="4"/>
      <c r="F362" s="24"/>
      <c r="G362" s="24"/>
      <c r="H362" s="24"/>
      <c r="I362" s="24"/>
      <c r="J362" s="24"/>
    </row>
    <row r="363" spans="1:10" x14ac:dyDescent="0.35">
      <c r="A363" t="s">
        <v>481</v>
      </c>
      <c r="B363" s="92"/>
      <c r="C363" s="21"/>
      <c r="D363" s="4"/>
      <c r="E363" s="4"/>
      <c r="F363" s="24"/>
      <c r="G363" s="24"/>
      <c r="H363" s="24"/>
      <c r="I363" s="24"/>
      <c r="J363" s="24"/>
    </row>
    <row r="364" spans="1:10" x14ac:dyDescent="0.35">
      <c r="A364" t="s">
        <v>482</v>
      </c>
      <c r="B364" s="92"/>
      <c r="C364" s="21"/>
      <c r="D364" s="4"/>
      <c r="E364" s="4"/>
      <c r="F364" s="24"/>
      <c r="G364" s="24"/>
      <c r="H364" s="24"/>
      <c r="I364" s="24"/>
      <c r="J364" s="24"/>
    </row>
    <row r="365" spans="1:10" x14ac:dyDescent="0.35">
      <c r="A365" t="s">
        <v>483</v>
      </c>
      <c r="B365" s="92"/>
      <c r="C365" s="21"/>
      <c r="D365" s="4"/>
      <c r="E365" s="4"/>
      <c r="F365" s="24"/>
      <c r="G365" s="24"/>
      <c r="H365" s="24"/>
      <c r="I365" s="24"/>
      <c r="J365" s="24"/>
    </row>
    <row r="366" spans="1:10" x14ac:dyDescent="0.35">
      <c r="A366" t="s">
        <v>484</v>
      </c>
      <c r="B366" s="92"/>
      <c r="C366" s="21"/>
      <c r="D366" s="4"/>
      <c r="E366" s="4"/>
      <c r="F366" s="24"/>
      <c r="G366" s="24"/>
      <c r="H366" s="24"/>
      <c r="I366" s="24"/>
      <c r="J366" s="24"/>
    </row>
    <row r="367" spans="1:10" x14ac:dyDescent="0.35">
      <c r="A367" t="s">
        <v>485</v>
      </c>
      <c r="B367" s="92"/>
      <c r="C367" s="21"/>
      <c r="D367" s="4"/>
      <c r="E367" s="4"/>
      <c r="F367" s="24"/>
      <c r="G367" s="24"/>
      <c r="H367" s="24"/>
      <c r="I367" s="24"/>
      <c r="J367" s="24"/>
    </row>
    <row r="368" spans="1:10" x14ac:dyDescent="0.35">
      <c r="A368" t="s">
        <v>486</v>
      </c>
      <c r="B368" s="92"/>
      <c r="C368" s="21"/>
      <c r="D368" s="4"/>
      <c r="E368" s="4"/>
      <c r="F368" s="24"/>
      <c r="G368" s="24"/>
      <c r="H368" s="24"/>
      <c r="I368" s="24"/>
      <c r="J368" s="24"/>
    </row>
    <row r="369" spans="1:10" x14ac:dyDescent="0.35">
      <c r="A369" t="s">
        <v>487</v>
      </c>
      <c r="B369" s="92"/>
      <c r="C369" s="21"/>
      <c r="D369" s="4"/>
      <c r="E369" s="4"/>
      <c r="F369" s="24"/>
      <c r="G369" s="24"/>
      <c r="H369" s="24"/>
      <c r="I369" s="24"/>
      <c r="J369" s="24"/>
    </row>
    <row r="370" spans="1:10" x14ac:dyDescent="0.35">
      <c r="A370" t="s">
        <v>488</v>
      </c>
      <c r="B370" s="92"/>
      <c r="C370" s="21"/>
      <c r="D370" s="4"/>
      <c r="E370" s="4"/>
      <c r="F370" s="24"/>
      <c r="G370" s="24"/>
      <c r="H370" s="24"/>
      <c r="I370" s="24"/>
      <c r="J370" s="24"/>
    </row>
    <row r="371" spans="1:10" x14ac:dyDescent="0.35">
      <c r="A371" t="s">
        <v>489</v>
      </c>
      <c r="B371" s="92"/>
      <c r="C371" s="21"/>
      <c r="D371" s="4"/>
      <c r="E371" s="4"/>
      <c r="F371" s="24"/>
      <c r="G371" s="24"/>
      <c r="H371" s="24"/>
      <c r="I371" s="24"/>
      <c r="J371" s="24"/>
    </row>
    <row r="372" spans="1:10" x14ac:dyDescent="0.35">
      <c r="A372" t="s">
        <v>490</v>
      </c>
      <c r="B372" s="92"/>
      <c r="C372" s="21"/>
      <c r="D372" s="4"/>
      <c r="E372" s="4"/>
      <c r="F372" s="24"/>
      <c r="G372" s="24"/>
      <c r="H372" s="24"/>
      <c r="I372" s="24"/>
      <c r="J372" s="24"/>
    </row>
    <row r="373" spans="1:10" x14ac:dyDescent="0.35">
      <c r="A373" t="s">
        <v>491</v>
      </c>
      <c r="B373" s="92"/>
      <c r="C373" s="21"/>
      <c r="D373" s="4"/>
      <c r="E373" s="4"/>
      <c r="F373" s="24"/>
      <c r="G373" s="24"/>
      <c r="H373" s="24"/>
      <c r="I373" s="24"/>
      <c r="J373" s="24"/>
    </row>
    <row r="374" spans="1:10" x14ac:dyDescent="0.35">
      <c r="A374" t="s">
        <v>492</v>
      </c>
      <c r="B374" s="92"/>
      <c r="C374" s="21"/>
      <c r="D374" s="4"/>
      <c r="E374" s="4"/>
      <c r="F374" s="24"/>
      <c r="G374" s="24"/>
      <c r="H374" s="24"/>
      <c r="I374" s="24"/>
      <c r="J374" s="24"/>
    </row>
    <row r="375" spans="1:10" x14ac:dyDescent="0.35">
      <c r="A375" t="s">
        <v>493</v>
      </c>
      <c r="B375" s="92"/>
      <c r="C375" s="21"/>
      <c r="D375" s="4"/>
      <c r="E375" s="4"/>
      <c r="F375" s="24"/>
      <c r="G375" s="24"/>
      <c r="H375" s="24"/>
      <c r="I375" s="24"/>
      <c r="J375" s="24"/>
    </row>
    <row r="376" spans="1:10" x14ac:dyDescent="0.35">
      <c r="A376" t="s">
        <v>494</v>
      </c>
      <c r="B376" s="92"/>
      <c r="C376" s="21"/>
      <c r="D376" s="4"/>
      <c r="E376" s="4"/>
      <c r="F376" s="24"/>
      <c r="G376" s="24"/>
      <c r="H376" s="24"/>
      <c r="I376" s="24"/>
      <c r="J376" s="24"/>
    </row>
    <row r="377" spans="1:10" x14ac:dyDescent="0.35">
      <c r="A377" t="s">
        <v>495</v>
      </c>
      <c r="B377" s="92"/>
      <c r="C377" s="21"/>
      <c r="D377" s="4"/>
      <c r="E377" s="4"/>
      <c r="F377" s="24"/>
      <c r="G377" s="24"/>
      <c r="H377" s="24"/>
      <c r="I377" s="24"/>
      <c r="J377" s="24"/>
    </row>
    <row r="378" spans="1:10" x14ac:dyDescent="0.35">
      <c r="A378" t="s">
        <v>496</v>
      </c>
      <c r="B378" s="92"/>
      <c r="C378" s="21"/>
      <c r="D378" s="4"/>
      <c r="E378" s="4"/>
      <c r="F378" s="24"/>
      <c r="G378" s="24"/>
      <c r="H378" s="24"/>
      <c r="I378" s="24"/>
      <c r="J378" s="24"/>
    </row>
    <row r="379" spans="1:10" x14ac:dyDescent="0.35">
      <c r="A379" t="s">
        <v>497</v>
      </c>
      <c r="B379" s="92"/>
      <c r="C379" s="21"/>
      <c r="D379" s="4"/>
      <c r="E379" s="4"/>
      <c r="F379" s="24"/>
      <c r="G379" s="24"/>
      <c r="H379" s="24"/>
      <c r="I379" s="24"/>
      <c r="J379" s="24"/>
    </row>
    <row r="380" spans="1:10" x14ac:dyDescent="0.35">
      <c r="A380" t="s">
        <v>498</v>
      </c>
      <c r="B380" s="92"/>
      <c r="C380" s="21"/>
      <c r="D380" s="4"/>
      <c r="E380" s="4"/>
      <c r="F380" s="24"/>
      <c r="G380" s="24"/>
      <c r="H380" s="24"/>
      <c r="I380" s="24"/>
      <c r="J380" s="24"/>
    </row>
    <row r="381" spans="1:10" x14ac:dyDescent="0.35">
      <c r="A381" t="s">
        <v>499</v>
      </c>
      <c r="B381" s="92"/>
      <c r="C381" s="21"/>
      <c r="D381" s="4"/>
      <c r="E381" s="4"/>
      <c r="F381" s="24"/>
      <c r="G381" s="24"/>
      <c r="H381" s="24"/>
      <c r="I381" s="24"/>
      <c r="J381" s="24"/>
    </row>
    <row r="382" spans="1:10" x14ac:dyDescent="0.35">
      <c r="A382" t="s">
        <v>500</v>
      </c>
      <c r="B382" s="92"/>
      <c r="C382" s="21"/>
      <c r="D382" s="4"/>
      <c r="E382" s="4"/>
      <c r="F382" s="24"/>
      <c r="G382" s="24"/>
      <c r="H382" s="24"/>
      <c r="I382" s="24"/>
      <c r="J382" s="24"/>
    </row>
    <row r="383" spans="1:10" x14ac:dyDescent="0.35">
      <c r="A383" t="s">
        <v>501</v>
      </c>
      <c r="B383" s="92"/>
      <c r="C383" s="21"/>
      <c r="D383" s="4"/>
      <c r="E383" s="4"/>
      <c r="F383" s="24"/>
      <c r="G383" s="24"/>
      <c r="H383" s="24"/>
      <c r="I383" s="24"/>
      <c r="J383" s="24"/>
    </row>
    <row r="384" spans="1:10" x14ac:dyDescent="0.35">
      <c r="A384" t="s">
        <v>502</v>
      </c>
      <c r="B384" s="92"/>
      <c r="C384" s="21"/>
      <c r="D384" s="4"/>
      <c r="E384" s="4"/>
      <c r="F384" s="24"/>
      <c r="G384" s="24"/>
      <c r="H384" s="24"/>
      <c r="I384" s="24"/>
      <c r="J384" s="24"/>
    </row>
    <row r="385" spans="1:10" x14ac:dyDescent="0.35">
      <c r="A385" t="s">
        <v>503</v>
      </c>
      <c r="B385" s="92"/>
      <c r="C385" s="21"/>
      <c r="D385" s="4"/>
      <c r="E385" s="4"/>
      <c r="F385" s="24"/>
      <c r="G385" s="24"/>
      <c r="H385" s="24"/>
      <c r="I385" s="24"/>
      <c r="J385" s="24"/>
    </row>
    <row r="386" spans="1:10" x14ac:dyDescent="0.35">
      <c r="A386" t="s">
        <v>504</v>
      </c>
      <c r="B386" s="92"/>
      <c r="C386" s="21"/>
      <c r="D386" s="4"/>
      <c r="E386" s="4"/>
      <c r="F386" s="24"/>
      <c r="G386" s="24"/>
      <c r="H386" s="24"/>
      <c r="I386" s="24"/>
      <c r="J386" s="24"/>
    </row>
    <row r="387" spans="1:10" x14ac:dyDescent="0.35">
      <c r="A387" t="s">
        <v>505</v>
      </c>
      <c r="B387" s="92"/>
      <c r="C387" s="21"/>
      <c r="D387" s="4"/>
      <c r="E387" s="4"/>
      <c r="F387" s="24"/>
      <c r="G387" s="24"/>
      <c r="H387" s="24"/>
      <c r="I387" s="24"/>
      <c r="J387" s="24"/>
    </row>
    <row r="388" spans="1:10" x14ac:dyDescent="0.35">
      <c r="A388" t="s">
        <v>506</v>
      </c>
      <c r="B388" s="92"/>
      <c r="C388" s="21"/>
      <c r="D388" s="4"/>
      <c r="E388" s="4"/>
      <c r="F388" s="24"/>
      <c r="G388" s="24"/>
      <c r="H388" s="24"/>
      <c r="I388" s="24"/>
      <c r="J388" s="24"/>
    </row>
    <row r="389" spans="1:10" x14ac:dyDescent="0.35">
      <c r="A389" t="s">
        <v>507</v>
      </c>
      <c r="B389" s="92"/>
      <c r="C389" s="21"/>
      <c r="D389" s="4"/>
      <c r="E389" s="4"/>
      <c r="F389" s="24"/>
      <c r="G389" s="24"/>
      <c r="H389" s="24"/>
      <c r="I389" s="24"/>
      <c r="J389" s="24"/>
    </row>
    <row r="390" spans="1:10" x14ac:dyDescent="0.35">
      <c r="A390" t="s">
        <v>508</v>
      </c>
      <c r="B390" s="92"/>
      <c r="C390" s="21"/>
      <c r="D390" s="4"/>
      <c r="E390" s="4"/>
      <c r="F390" s="24"/>
      <c r="G390" s="24"/>
      <c r="H390" s="24"/>
      <c r="I390" s="24"/>
      <c r="J390" s="24"/>
    </row>
    <row r="391" spans="1:10" x14ac:dyDescent="0.35">
      <c r="A391" t="s">
        <v>509</v>
      </c>
      <c r="B391" s="92"/>
      <c r="C391" s="21"/>
      <c r="D391" s="4"/>
      <c r="E391" s="4"/>
      <c r="F391" s="24"/>
      <c r="G391" s="24"/>
      <c r="H391" s="24"/>
      <c r="I391" s="24"/>
      <c r="J391" s="24"/>
    </row>
    <row r="392" spans="1:10" x14ac:dyDescent="0.35">
      <c r="A392" t="s">
        <v>510</v>
      </c>
      <c r="B392" s="92"/>
      <c r="C392" s="21"/>
      <c r="D392" s="4"/>
      <c r="E392" s="4"/>
      <c r="F392" s="24"/>
      <c r="G392" s="24"/>
      <c r="H392" s="24"/>
      <c r="I392" s="24"/>
      <c r="J392" s="24"/>
    </row>
    <row r="393" spans="1:10" x14ac:dyDescent="0.35">
      <c r="A393" t="s">
        <v>511</v>
      </c>
      <c r="B393" s="92"/>
      <c r="C393" s="21"/>
      <c r="D393" s="4"/>
      <c r="E393" s="4"/>
      <c r="F393" s="24"/>
      <c r="G393" s="24"/>
      <c r="H393" s="24"/>
      <c r="I393" s="24"/>
      <c r="J393" s="24"/>
    </row>
    <row r="394" spans="1:10" x14ac:dyDescent="0.35">
      <c r="A394" t="s">
        <v>512</v>
      </c>
      <c r="B394" s="92"/>
      <c r="C394" s="21"/>
      <c r="D394" s="4"/>
      <c r="E394" s="4"/>
      <c r="F394" s="24"/>
      <c r="G394" s="24"/>
      <c r="H394" s="24"/>
      <c r="I394" s="24"/>
      <c r="J394" s="24"/>
    </row>
    <row r="395" spans="1:10" x14ac:dyDescent="0.35">
      <c r="A395" t="s">
        <v>513</v>
      </c>
      <c r="B395" s="92"/>
      <c r="C395" s="21"/>
      <c r="D395" s="4"/>
      <c r="E395" s="4"/>
      <c r="F395" s="24"/>
      <c r="G395" s="24"/>
      <c r="H395" s="24"/>
      <c r="I395" s="24"/>
      <c r="J395" s="24"/>
    </row>
    <row r="396" spans="1:10" x14ac:dyDescent="0.35">
      <c r="A396" t="s">
        <v>514</v>
      </c>
      <c r="B396" s="92"/>
      <c r="C396" s="21"/>
      <c r="D396" s="4"/>
      <c r="E396" s="4"/>
      <c r="F396" s="24"/>
      <c r="G396" s="24"/>
      <c r="H396" s="24"/>
      <c r="I396" s="24"/>
      <c r="J396" s="24"/>
    </row>
    <row r="397" spans="1:10" x14ac:dyDescent="0.35">
      <c r="A397" t="s">
        <v>515</v>
      </c>
      <c r="B397" s="92"/>
      <c r="C397" s="21"/>
      <c r="D397" s="4"/>
      <c r="E397" s="4"/>
      <c r="F397" s="24"/>
      <c r="G397" s="24"/>
      <c r="H397" s="24"/>
      <c r="I397" s="24"/>
      <c r="J397" s="24"/>
    </row>
    <row r="398" spans="1:10" x14ac:dyDescent="0.35">
      <c r="A398" t="s">
        <v>516</v>
      </c>
      <c r="B398" s="92"/>
      <c r="C398" s="21"/>
      <c r="D398" s="4"/>
      <c r="E398" s="4"/>
      <c r="F398" s="24"/>
      <c r="G398" s="24"/>
      <c r="H398" s="24"/>
      <c r="I398" s="24"/>
      <c r="J398" s="24"/>
    </row>
    <row r="399" spans="1:10" x14ac:dyDescent="0.35">
      <c r="A399" t="s">
        <v>517</v>
      </c>
      <c r="B399" s="92"/>
      <c r="C399" s="21"/>
      <c r="D399" s="4"/>
      <c r="E399" s="4"/>
      <c r="F399" s="24"/>
      <c r="G399" s="24"/>
      <c r="H399" s="24"/>
      <c r="I399" s="24"/>
      <c r="J399" s="24"/>
    </row>
    <row r="400" spans="1:10" x14ac:dyDescent="0.35">
      <c r="A400" t="s">
        <v>518</v>
      </c>
      <c r="B400" s="92"/>
      <c r="C400" s="21"/>
      <c r="D400" s="4"/>
      <c r="E400" s="4"/>
      <c r="F400" s="24"/>
      <c r="G400" s="24"/>
      <c r="H400" s="24"/>
      <c r="I400" s="24"/>
      <c r="J400" s="24"/>
    </row>
    <row r="401" spans="1:10" x14ac:dyDescent="0.35">
      <c r="A401" t="s">
        <v>519</v>
      </c>
      <c r="B401" s="92"/>
      <c r="C401" s="21"/>
      <c r="D401" s="4"/>
      <c r="E401" s="4"/>
      <c r="F401" s="24"/>
      <c r="G401" s="24"/>
      <c r="H401" s="24"/>
      <c r="I401" s="24"/>
      <c r="J401" s="24"/>
    </row>
    <row r="402" spans="1:10" x14ac:dyDescent="0.35">
      <c r="A402" t="s">
        <v>520</v>
      </c>
      <c r="B402" s="92"/>
      <c r="C402" s="21"/>
      <c r="D402" s="4"/>
      <c r="E402" s="4"/>
      <c r="F402" s="24"/>
      <c r="G402" s="24"/>
      <c r="H402" s="24"/>
      <c r="I402" s="24"/>
      <c r="J402" s="24"/>
    </row>
    <row r="403" spans="1:10" x14ac:dyDescent="0.35">
      <c r="A403" t="s">
        <v>521</v>
      </c>
      <c r="B403" s="92"/>
      <c r="C403" s="21"/>
      <c r="D403" s="4"/>
      <c r="E403" s="4"/>
      <c r="F403" s="24"/>
      <c r="G403" s="24"/>
      <c r="H403" s="24"/>
      <c r="I403" s="24"/>
      <c r="J403" s="24"/>
    </row>
    <row r="404" spans="1:10" x14ac:dyDescent="0.35">
      <c r="A404" t="s">
        <v>522</v>
      </c>
      <c r="B404" s="92"/>
      <c r="C404" s="21"/>
      <c r="D404" s="4"/>
      <c r="E404" s="4"/>
      <c r="F404" s="24"/>
      <c r="G404" s="24"/>
      <c r="H404" s="24"/>
      <c r="I404" s="24"/>
      <c r="J404" s="24"/>
    </row>
    <row r="405" spans="1:10" x14ac:dyDescent="0.35">
      <c r="A405" t="s">
        <v>523</v>
      </c>
      <c r="B405" s="92"/>
      <c r="C405" s="21"/>
      <c r="D405" s="4"/>
      <c r="E405" s="4"/>
      <c r="F405" s="24"/>
      <c r="G405" s="24"/>
      <c r="H405" s="24"/>
      <c r="I405" s="24"/>
      <c r="J405" s="24"/>
    </row>
    <row r="406" spans="1:10" x14ac:dyDescent="0.35">
      <c r="A406" t="s">
        <v>524</v>
      </c>
      <c r="B406" s="92"/>
      <c r="C406" s="21"/>
      <c r="D406" s="4"/>
      <c r="E406" s="4"/>
      <c r="F406" s="24"/>
      <c r="G406" s="24"/>
      <c r="H406" s="24"/>
      <c r="I406" s="24"/>
      <c r="J406" s="24"/>
    </row>
    <row r="407" spans="1:10" x14ac:dyDescent="0.35">
      <c r="A407" t="s">
        <v>525</v>
      </c>
      <c r="B407" s="92"/>
      <c r="C407" s="21"/>
      <c r="D407" s="4"/>
      <c r="E407" s="4"/>
      <c r="F407" s="24"/>
      <c r="G407" s="24"/>
      <c r="H407" s="24"/>
      <c r="I407" s="24"/>
      <c r="J407" s="24"/>
    </row>
    <row r="408" spans="1:10" x14ac:dyDescent="0.35">
      <c r="A408" t="s">
        <v>526</v>
      </c>
      <c r="B408" s="92"/>
      <c r="C408" s="21"/>
      <c r="D408" s="4"/>
      <c r="E408" s="4"/>
      <c r="F408" s="24"/>
      <c r="G408" s="24"/>
      <c r="H408" s="24"/>
      <c r="I408" s="24"/>
      <c r="J408" s="24"/>
    </row>
    <row r="409" spans="1:10" x14ac:dyDescent="0.35">
      <c r="A409" t="s">
        <v>527</v>
      </c>
      <c r="B409" s="92"/>
      <c r="C409" s="21"/>
      <c r="D409" s="4"/>
      <c r="E409" s="4"/>
      <c r="F409" s="24"/>
      <c r="G409" s="24"/>
      <c r="H409" s="24"/>
      <c r="I409" s="24"/>
      <c r="J409" s="24"/>
    </row>
    <row r="410" spans="1:10" x14ac:dyDescent="0.35">
      <c r="A410" t="s">
        <v>528</v>
      </c>
      <c r="B410" s="92"/>
      <c r="C410" s="21"/>
      <c r="D410" s="4"/>
      <c r="E410" s="4"/>
      <c r="F410" s="24"/>
      <c r="G410" s="24"/>
      <c r="H410" s="24"/>
      <c r="I410" s="24"/>
      <c r="J410" s="24"/>
    </row>
    <row r="411" spans="1:10" x14ac:dyDescent="0.35">
      <c r="A411" t="s">
        <v>529</v>
      </c>
      <c r="B411" s="92"/>
      <c r="C411" s="21"/>
      <c r="D411" s="4"/>
      <c r="E411" s="4"/>
      <c r="F411" s="24"/>
      <c r="G411" s="24"/>
      <c r="H411" s="24"/>
      <c r="I411" s="24"/>
      <c r="J411" s="24"/>
    </row>
    <row r="412" spans="1:10" x14ac:dyDescent="0.35">
      <c r="A412" t="s">
        <v>530</v>
      </c>
      <c r="B412" s="92"/>
      <c r="C412" s="21"/>
      <c r="D412" s="4"/>
      <c r="E412" s="4"/>
      <c r="F412" s="24"/>
      <c r="G412" s="24"/>
      <c r="H412" s="24"/>
      <c r="I412" s="24"/>
      <c r="J412" s="24"/>
    </row>
    <row r="413" spans="1:10" x14ac:dyDescent="0.35">
      <c r="A413" t="s">
        <v>531</v>
      </c>
      <c r="B413" s="92"/>
      <c r="C413" s="21"/>
      <c r="D413" s="4"/>
      <c r="E413" s="4"/>
      <c r="F413" s="24"/>
      <c r="G413" s="24"/>
      <c r="H413" s="24"/>
      <c r="I413" s="24"/>
      <c r="J413" s="24"/>
    </row>
    <row r="414" spans="1:10" x14ac:dyDescent="0.35">
      <c r="A414" t="s">
        <v>532</v>
      </c>
      <c r="B414" s="92"/>
      <c r="C414" s="21"/>
      <c r="D414" s="4"/>
      <c r="E414" s="4"/>
      <c r="F414" s="24"/>
      <c r="G414" s="24"/>
      <c r="H414" s="24"/>
      <c r="I414" s="24"/>
      <c r="J414" s="24"/>
    </row>
    <row r="415" spans="1:10" x14ac:dyDescent="0.35">
      <c r="A415" t="s">
        <v>533</v>
      </c>
      <c r="B415" s="92"/>
      <c r="C415" s="21"/>
      <c r="D415" s="4"/>
      <c r="E415" s="4"/>
      <c r="F415" s="24"/>
      <c r="G415" s="24"/>
      <c r="H415" s="24"/>
      <c r="I415" s="24"/>
      <c r="J415" s="24"/>
    </row>
    <row r="416" spans="1:10" x14ac:dyDescent="0.35">
      <c r="A416" t="s">
        <v>534</v>
      </c>
      <c r="B416" s="92"/>
      <c r="C416" s="21"/>
      <c r="D416" s="4"/>
      <c r="E416" s="4"/>
      <c r="F416" s="24"/>
      <c r="G416" s="24"/>
      <c r="H416" s="24"/>
      <c r="I416" s="24"/>
      <c r="J416" s="24"/>
    </row>
    <row r="417" spans="1:10" x14ac:dyDescent="0.35">
      <c r="A417" t="s">
        <v>535</v>
      </c>
      <c r="B417" s="92"/>
      <c r="C417" s="21"/>
      <c r="D417" s="4"/>
      <c r="E417" s="4"/>
      <c r="F417" s="24"/>
      <c r="G417" s="24"/>
      <c r="H417" s="24"/>
      <c r="I417" s="24"/>
      <c r="J417" s="24"/>
    </row>
    <row r="418" spans="1:10" x14ac:dyDescent="0.35">
      <c r="A418" t="s">
        <v>536</v>
      </c>
      <c r="B418" s="92"/>
      <c r="C418" s="21"/>
      <c r="D418" s="4"/>
      <c r="E418" s="4"/>
      <c r="F418" s="24"/>
      <c r="G418" s="24"/>
      <c r="H418" s="24"/>
      <c r="I418" s="24"/>
      <c r="J418" s="24"/>
    </row>
    <row r="419" spans="1:10" x14ac:dyDescent="0.35">
      <c r="A419" t="s">
        <v>537</v>
      </c>
      <c r="B419" s="92"/>
      <c r="C419" s="21"/>
      <c r="D419" s="4"/>
      <c r="E419" s="4"/>
      <c r="F419" s="24"/>
      <c r="G419" s="24"/>
      <c r="H419" s="24"/>
      <c r="I419" s="24"/>
      <c r="J419" s="24"/>
    </row>
    <row r="420" spans="1:10" x14ac:dyDescent="0.35">
      <c r="A420" t="s">
        <v>538</v>
      </c>
      <c r="B420" s="92"/>
      <c r="C420" s="21"/>
      <c r="D420" s="4"/>
      <c r="E420" s="4"/>
      <c r="F420" s="24"/>
      <c r="G420" s="24"/>
      <c r="H420" s="24"/>
      <c r="I420" s="24"/>
      <c r="J420" s="24"/>
    </row>
    <row r="421" spans="1:10" x14ac:dyDescent="0.35">
      <c r="A421" t="s">
        <v>539</v>
      </c>
      <c r="B421" s="92"/>
      <c r="C421" s="21"/>
      <c r="D421" s="4"/>
      <c r="E421" s="4"/>
      <c r="F421" s="24"/>
      <c r="G421" s="24"/>
      <c r="H421" s="24"/>
      <c r="I421" s="24"/>
      <c r="J421" s="24"/>
    </row>
    <row r="422" spans="1:10" x14ac:dyDescent="0.35">
      <c r="A422" t="s">
        <v>540</v>
      </c>
      <c r="B422" s="92"/>
      <c r="C422" s="21"/>
      <c r="D422" s="4"/>
      <c r="E422" s="4"/>
      <c r="F422" s="24"/>
      <c r="G422" s="24"/>
      <c r="H422" s="24"/>
      <c r="I422" s="24"/>
      <c r="J422" s="24"/>
    </row>
    <row r="423" spans="1:10" x14ac:dyDescent="0.35">
      <c r="A423" t="s">
        <v>541</v>
      </c>
      <c r="B423" s="92"/>
      <c r="C423" s="21"/>
      <c r="D423" s="4"/>
      <c r="E423" s="4"/>
      <c r="F423" s="24"/>
      <c r="G423" s="24"/>
      <c r="H423" s="24"/>
      <c r="I423" s="24"/>
      <c r="J423" s="24"/>
    </row>
    <row r="424" spans="1:10" x14ac:dyDescent="0.35">
      <c r="A424" t="s">
        <v>542</v>
      </c>
      <c r="B424" s="92"/>
      <c r="C424" s="21"/>
      <c r="D424" s="4"/>
      <c r="E424" s="4"/>
      <c r="F424" s="24"/>
      <c r="G424" s="24"/>
      <c r="H424" s="24"/>
      <c r="I424" s="24"/>
      <c r="J424" s="24"/>
    </row>
    <row r="425" spans="1:10" x14ac:dyDescent="0.35">
      <c r="A425" t="s">
        <v>543</v>
      </c>
      <c r="B425" s="92"/>
      <c r="C425" s="21"/>
      <c r="D425" s="4"/>
      <c r="E425" s="4"/>
      <c r="F425" s="24"/>
      <c r="G425" s="24"/>
      <c r="H425" s="24"/>
      <c r="I425" s="24"/>
      <c r="J425" s="24"/>
    </row>
    <row r="426" spans="1:10" x14ac:dyDescent="0.35">
      <c r="A426" t="s">
        <v>544</v>
      </c>
      <c r="B426" s="92"/>
      <c r="C426" s="21"/>
      <c r="D426" s="4"/>
      <c r="E426" s="4"/>
      <c r="F426" s="24"/>
      <c r="G426" s="24"/>
      <c r="H426" s="24"/>
      <c r="I426" s="24"/>
      <c r="J426" s="24"/>
    </row>
    <row r="427" spans="1:10" x14ac:dyDescent="0.35">
      <c r="A427" t="s">
        <v>545</v>
      </c>
      <c r="B427" s="92"/>
      <c r="C427" s="21"/>
      <c r="D427" s="4"/>
      <c r="E427" s="4"/>
      <c r="F427" s="24"/>
      <c r="G427" s="24"/>
      <c r="H427" s="24"/>
      <c r="I427" s="24"/>
      <c r="J427" s="24"/>
    </row>
    <row r="428" spans="1:10" x14ac:dyDescent="0.35">
      <c r="A428" t="s">
        <v>546</v>
      </c>
      <c r="B428" s="92"/>
      <c r="C428" s="21"/>
      <c r="D428" s="4"/>
      <c r="E428" s="4"/>
      <c r="F428" s="24"/>
      <c r="G428" s="24"/>
      <c r="H428" s="24"/>
      <c r="I428" s="24"/>
      <c r="J428" s="24"/>
    </row>
    <row r="429" spans="1:10" x14ac:dyDescent="0.35">
      <c r="A429" t="s">
        <v>547</v>
      </c>
      <c r="B429" s="92"/>
      <c r="C429" s="21"/>
      <c r="D429" s="4"/>
      <c r="E429" s="4"/>
      <c r="F429" s="24"/>
      <c r="G429" s="24"/>
      <c r="H429" s="24"/>
      <c r="I429" s="24"/>
      <c r="J429" s="24"/>
    </row>
    <row r="430" spans="1:10" x14ac:dyDescent="0.35">
      <c r="A430" t="s">
        <v>548</v>
      </c>
      <c r="B430" s="92"/>
      <c r="C430" s="21"/>
      <c r="D430" s="4"/>
      <c r="E430" s="4"/>
      <c r="F430" s="24"/>
      <c r="G430" s="24"/>
      <c r="H430" s="24"/>
      <c r="I430" s="24"/>
      <c r="J430" s="24"/>
    </row>
    <row r="431" spans="1:10" x14ac:dyDescent="0.35">
      <c r="A431" t="s">
        <v>549</v>
      </c>
      <c r="B431" s="92"/>
      <c r="C431" s="21"/>
      <c r="D431" s="4"/>
      <c r="E431" s="4"/>
      <c r="F431" s="24"/>
      <c r="G431" s="24"/>
      <c r="H431" s="24"/>
      <c r="I431" s="24"/>
      <c r="J431" s="24"/>
    </row>
    <row r="432" spans="1:10" x14ac:dyDescent="0.35">
      <c r="A432" t="s">
        <v>550</v>
      </c>
      <c r="B432" s="92"/>
      <c r="C432" s="21"/>
      <c r="D432" s="4"/>
      <c r="E432" s="4"/>
      <c r="F432" s="24"/>
      <c r="G432" s="24"/>
      <c r="H432" s="24"/>
      <c r="I432" s="24"/>
      <c r="J432" s="24"/>
    </row>
    <row r="433" spans="1:10" x14ac:dyDescent="0.35">
      <c r="A433" t="s">
        <v>551</v>
      </c>
      <c r="B433" s="92"/>
      <c r="C433" s="21"/>
      <c r="D433" s="4"/>
      <c r="E433" s="4"/>
      <c r="F433" s="24"/>
      <c r="G433" s="24"/>
      <c r="H433" s="24"/>
      <c r="I433" s="24"/>
      <c r="J433" s="24"/>
    </row>
    <row r="434" spans="1:10" x14ac:dyDescent="0.35">
      <c r="A434" t="s">
        <v>552</v>
      </c>
      <c r="B434" s="92"/>
      <c r="C434" s="21"/>
      <c r="D434" s="4"/>
      <c r="E434" s="4"/>
      <c r="F434" s="24"/>
      <c r="G434" s="24"/>
      <c r="H434" s="24"/>
      <c r="I434" s="24"/>
      <c r="J434" s="24"/>
    </row>
    <row r="435" spans="1:10" x14ac:dyDescent="0.35">
      <c r="A435" t="s">
        <v>553</v>
      </c>
      <c r="B435" s="92"/>
      <c r="C435" s="21"/>
      <c r="D435" s="4"/>
      <c r="E435" s="4"/>
      <c r="F435" s="24"/>
      <c r="G435" s="24"/>
      <c r="H435" s="24"/>
      <c r="I435" s="24"/>
      <c r="J435" s="24"/>
    </row>
    <row r="436" spans="1:10" x14ac:dyDescent="0.35">
      <c r="A436" t="s">
        <v>554</v>
      </c>
      <c r="B436" s="92"/>
      <c r="C436" s="21"/>
      <c r="D436" s="4"/>
      <c r="E436" s="4"/>
      <c r="F436" s="24"/>
      <c r="G436" s="24"/>
      <c r="H436" s="24"/>
      <c r="I436" s="24"/>
      <c r="J436" s="24"/>
    </row>
    <row r="437" spans="1:10" x14ac:dyDescent="0.35">
      <c r="A437" t="s">
        <v>555</v>
      </c>
      <c r="B437" s="92"/>
      <c r="C437" s="21"/>
      <c r="D437" s="4"/>
      <c r="E437" s="4"/>
      <c r="F437" s="24"/>
      <c r="G437" s="24"/>
      <c r="H437" s="24"/>
      <c r="I437" s="24"/>
      <c r="J437" s="24"/>
    </row>
    <row r="438" spans="1:10" x14ac:dyDescent="0.35">
      <c r="A438" t="s">
        <v>556</v>
      </c>
      <c r="B438" s="92"/>
      <c r="C438" s="21"/>
      <c r="D438" s="4"/>
      <c r="E438" s="4"/>
      <c r="F438" s="24"/>
      <c r="G438" s="24"/>
      <c r="H438" s="24"/>
      <c r="I438" s="24"/>
      <c r="J438" s="24"/>
    </row>
    <row r="439" spans="1:10" x14ac:dyDescent="0.35">
      <c r="A439" t="s">
        <v>557</v>
      </c>
      <c r="B439" s="92"/>
      <c r="C439" s="21"/>
      <c r="D439" s="4"/>
      <c r="E439" s="4"/>
      <c r="F439" s="24"/>
      <c r="G439" s="24"/>
      <c r="H439" s="24"/>
      <c r="I439" s="24"/>
      <c r="J439" s="24"/>
    </row>
    <row r="440" spans="1:10" x14ac:dyDescent="0.35">
      <c r="A440" t="s">
        <v>558</v>
      </c>
      <c r="B440" s="92"/>
      <c r="C440" s="21"/>
      <c r="D440" s="4"/>
      <c r="E440" s="4"/>
      <c r="F440" s="24"/>
      <c r="G440" s="24"/>
      <c r="H440" s="24"/>
      <c r="I440" s="24"/>
      <c r="J440" s="24"/>
    </row>
    <row r="441" spans="1:10" x14ac:dyDescent="0.35">
      <c r="A441" t="s">
        <v>559</v>
      </c>
      <c r="B441" s="92"/>
      <c r="C441" s="21"/>
      <c r="D441" s="4"/>
      <c r="E441" s="4"/>
      <c r="F441" s="24"/>
      <c r="G441" s="24"/>
      <c r="H441" s="24"/>
      <c r="I441" s="24"/>
      <c r="J441" s="24"/>
    </row>
    <row r="442" spans="1:10" x14ac:dyDescent="0.35">
      <c r="A442" t="s">
        <v>560</v>
      </c>
      <c r="B442" s="92"/>
      <c r="C442" s="21"/>
      <c r="D442" s="4"/>
      <c r="E442" s="4"/>
      <c r="F442" s="24"/>
      <c r="G442" s="24"/>
      <c r="H442" s="24"/>
      <c r="I442" s="24"/>
      <c r="J442" s="24"/>
    </row>
    <row r="443" spans="1:10" x14ac:dyDescent="0.35">
      <c r="A443" t="s">
        <v>561</v>
      </c>
      <c r="B443" s="92"/>
      <c r="C443" s="21"/>
      <c r="D443" s="4"/>
      <c r="E443" s="4"/>
      <c r="F443" s="24"/>
      <c r="G443" s="24"/>
      <c r="H443" s="24"/>
      <c r="I443" s="24"/>
      <c r="J443" s="24"/>
    </row>
    <row r="444" spans="1:10" x14ac:dyDescent="0.35">
      <c r="A444" t="s">
        <v>562</v>
      </c>
      <c r="B444" s="92"/>
      <c r="C444" s="21"/>
      <c r="D444" s="4"/>
      <c r="E444" s="4"/>
      <c r="F444" s="24"/>
      <c r="G444" s="24"/>
      <c r="H444" s="24"/>
      <c r="I444" s="24"/>
      <c r="J444" s="24"/>
    </row>
    <row r="445" spans="1:10" x14ac:dyDescent="0.35">
      <c r="A445" t="s">
        <v>563</v>
      </c>
      <c r="B445" s="92"/>
      <c r="C445" s="21"/>
      <c r="D445" s="4"/>
      <c r="E445" s="4"/>
      <c r="F445" s="24"/>
      <c r="G445" s="24"/>
      <c r="H445" s="24"/>
      <c r="I445" s="24"/>
      <c r="J445" s="24"/>
    </row>
    <row r="446" spans="1:10" x14ac:dyDescent="0.35">
      <c r="A446" t="s">
        <v>564</v>
      </c>
      <c r="B446" s="92"/>
      <c r="C446" s="21"/>
      <c r="D446" s="4"/>
      <c r="E446" s="4"/>
      <c r="F446" s="24"/>
      <c r="G446" s="24"/>
      <c r="H446" s="24"/>
      <c r="I446" s="24"/>
      <c r="J446" s="24"/>
    </row>
    <row r="447" spans="1:10" x14ac:dyDescent="0.35">
      <c r="A447" t="s">
        <v>565</v>
      </c>
      <c r="B447" s="92"/>
      <c r="C447" s="21"/>
      <c r="D447" s="4"/>
      <c r="E447" s="4"/>
      <c r="F447" s="24"/>
      <c r="G447" s="24"/>
      <c r="H447" s="24"/>
      <c r="I447" s="24"/>
      <c r="J447" s="24"/>
    </row>
    <row r="448" spans="1:10" x14ac:dyDescent="0.35">
      <c r="A448" t="s">
        <v>566</v>
      </c>
      <c r="B448" s="92"/>
      <c r="C448" s="21"/>
      <c r="D448" s="4"/>
      <c r="E448" s="4"/>
      <c r="F448" s="24"/>
      <c r="G448" s="24"/>
      <c r="H448" s="24"/>
      <c r="I448" s="24"/>
      <c r="J448" s="24"/>
    </row>
    <row r="449" spans="1:10" x14ac:dyDescent="0.35">
      <c r="A449" t="s">
        <v>567</v>
      </c>
      <c r="B449" s="92"/>
      <c r="C449" s="21"/>
      <c r="D449" s="4"/>
      <c r="E449" s="4"/>
      <c r="F449" s="24"/>
      <c r="G449" s="24"/>
      <c r="H449" s="24"/>
      <c r="I449" s="24"/>
      <c r="J449" s="24"/>
    </row>
    <row r="450" spans="1:10" x14ac:dyDescent="0.35">
      <c r="A450" t="s">
        <v>568</v>
      </c>
      <c r="B450" s="92"/>
      <c r="C450" s="21"/>
      <c r="D450" s="4"/>
      <c r="E450" s="4"/>
      <c r="F450" s="24"/>
      <c r="G450" s="24"/>
      <c r="H450" s="24"/>
      <c r="I450" s="24"/>
      <c r="J450" s="24"/>
    </row>
    <row r="451" spans="1:10" x14ac:dyDescent="0.35">
      <c r="A451" t="s">
        <v>569</v>
      </c>
      <c r="B451" s="92"/>
      <c r="C451" s="21"/>
      <c r="D451" s="4"/>
      <c r="E451" s="4"/>
      <c r="F451" s="24"/>
      <c r="G451" s="24"/>
      <c r="H451" s="24"/>
      <c r="I451" s="24"/>
      <c r="J451" s="24"/>
    </row>
    <row r="452" spans="1:10" x14ac:dyDescent="0.35">
      <c r="A452" t="s">
        <v>570</v>
      </c>
      <c r="B452" s="92"/>
      <c r="C452" s="21"/>
      <c r="D452" s="4"/>
      <c r="E452" s="4"/>
      <c r="F452" s="24"/>
      <c r="G452" s="24"/>
      <c r="H452" s="24"/>
      <c r="I452" s="24"/>
      <c r="J452" s="24"/>
    </row>
    <row r="453" spans="1:10" x14ac:dyDescent="0.35">
      <c r="A453" t="s">
        <v>571</v>
      </c>
      <c r="B453" s="92"/>
      <c r="C453" s="21"/>
      <c r="D453" s="4"/>
      <c r="E453" s="4"/>
      <c r="F453" s="24"/>
      <c r="G453" s="24"/>
      <c r="H453" s="24"/>
      <c r="I453" s="24"/>
      <c r="J453" s="24"/>
    </row>
    <row r="454" spans="1:10" x14ac:dyDescent="0.35">
      <c r="A454" t="s">
        <v>572</v>
      </c>
      <c r="B454" s="92"/>
      <c r="C454" s="21"/>
      <c r="D454" s="4"/>
      <c r="E454" s="4"/>
      <c r="F454" s="24"/>
      <c r="G454" s="24"/>
      <c r="H454" s="24"/>
      <c r="I454" s="24"/>
      <c r="J454" s="24"/>
    </row>
    <row r="455" spans="1:10" x14ac:dyDescent="0.35">
      <c r="A455" t="s">
        <v>573</v>
      </c>
      <c r="B455" s="92"/>
      <c r="C455" s="21"/>
      <c r="D455" s="4"/>
      <c r="E455" s="4"/>
      <c r="F455" s="24"/>
      <c r="G455" s="24"/>
      <c r="H455" s="24"/>
      <c r="I455" s="24"/>
      <c r="J455" s="24"/>
    </row>
    <row r="456" spans="1:10" x14ac:dyDescent="0.35">
      <c r="A456" t="s">
        <v>574</v>
      </c>
      <c r="B456" s="92"/>
      <c r="C456" s="21"/>
      <c r="D456" s="4"/>
      <c r="E456" s="4"/>
      <c r="F456" s="24"/>
      <c r="G456" s="24"/>
      <c r="H456" s="24"/>
      <c r="I456" s="24"/>
      <c r="J456" s="24"/>
    </row>
    <row r="457" spans="1:10" x14ac:dyDescent="0.35">
      <c r="A457" t="s">
        <v>575</v>
      </c>
      <c r="B457" s="92"/>
      <c r="C457" s="21"/>
      <c r="D457" s="4"/>
      <c r="E457" s="4"/>
      <c r="F457" s="24"/>
      <c r="G457" s="24"/>
      <c r="H457" s="24"/>
      <c r="I457" s="24"/>
      <c r="J457" s="24"/>
    </row>
    <row r="458" spans="1:10" x14ac:dyDescent="0.35">
      <c r="A458" t="s">
        <v>576</v>
      </c>
      <c r="B458" s="92"/>
      <c r="C458" s="21"/>
      <c r="D458" s="4"/>
      <c r="E458" s="4"/>
      <c r="F458" s="24"/>
      <c r="G458" s="24"/>
      <c r="H458" s="24"/>
      <c r="I458" s="24"/>
      <c r="J458" s="24"/>
    </row>
    <row r="459" spans="1:10" x14ac:dyDescent="0.35">
      <c r="A459" t="s">
        <v>577</v>
      </c>
      <c r="B459" s="92"/>
      <c r="C459" s="21"/>
      <c r="D459" s="4"/>
      <c r="E459" s="4"/>
      <c r="F459" s="24"/>
      <c r="G459" s="24"/>
      <c r="H459" s="24"/>
      <c r="I459" s="24"/>
      <c r="J459" s="24"/>
    </row>
    <row r="460" spans="1:10" x14ac:dyDescent="0.35">
      <c r="A460" t="s">
        <v>578</v>
      </c>
      <c r="B460" s="92"/>
      <c r="C460" s="21"/>
      <c r="D460" s="4"/>
      <c r="E460" s="4"/>
      <c r="F460" s="24"/>
      <c r="G460" s="24"/>
      <c r="H460" s="24"/>
      <c r="I460" s="24"/>
      <c r="J460" s="24"/>
    </row>
    <row r="461" spans="1:10" x14ac:dyDescent="0.35">
      <c r="A461" t="s">
        <v>579</v>
      </c>
      <c r="B461" s="92"/>
      <c r="C461" s="21"/>
      <c r="D461" s="4"/>
      <c r="E461" s="4"/>
      <c r="F461" s="24"/>
      <c r="G461" s="24"/>
      <c r="H461" s="24"/>
      <c r="I461" s="24"/>
      <c r="J461" s="24"/>
    </row>
    <row r="462" spans="1:10" x14ac:dyDescent="0.35">
      <c r="A462" t="s">
        <v>580</v>
      </c>
      <c r="B462" s="92"/>
      <c r="C462" s="21"/>
      <c r="D462" s="4"/>
      <c r="E462" s="4"/>
      <c r="F462" s="24"/>
      <c r="G462" s="24"/>
      <c r="H462" s="24"/>
      <c r="I462" s="24"/>
      <c r="J462" s="24"/>
    </row>
    <row r="463" spans="1:10" x14ac:dyDescent="0.35">
      <c r="A463" t="s">
        <v>581</v>
      </c>
      <c r="B463" s="92"/>
      <c r="C463" s="21"/>
      <c r="D463" s="4"/>
      <c r="E463" s="4"/>
      <c r="F463" s="24"/>
      <c r="G463" s="24"/>
      <c r="H463" s="24"/>
      <c r="I463" s="24"/>
      <c r="J463" s="24"/>
    </row>
    <row r="464" spans="1:10" x14ac:dyDescent="0.35">
      <c r="A464" t="s">
        <v>582</v>
      </c>
      <c r="B464" s="92"/>
      <c r="C464" s="21"/>
      <c r="D464" s="4"/>
      <c r="E464" s="4"/>
      <c r="F464" s="24"/>
      <c r="G464" s="24"/>
      <c r="H464" s="24"/>
      <c r="I464" s="24"/>
      <c r="J464" s="24"/>
    </row>
    <row r="465" spans="1:10" x14ac:dyDescent="0.35">
      <c r="A465" t="s">
        <v>583</v>
      </c>
      <c r="B465" s="92"/>
      <c r="C465" s="21"/>
      <c r="D465" s="4"/>
      <c r="E465" s="4"/>
      <c r="F465" s="24"/>
      <c r="G465" s="24"/>
      <c r="H465" s="24"/>
      <c r="I465" s="24"/>
      <c r="J465" s="24"/>
    </row>
    <row r="466" spans="1:10" x14ac:dyDescent="0.35">
      <c r="A466" t="s">
        <v>584</v>
      </c>
      <c r="B466" s="92"/>
      <c r="C466" s="21"/>
      <c r="D466" s="4"/>
      <c r="E466" s="4"/>
      <c r="F466" s="24"/>
      <c r="G466" s="24"/>
      <c r="H466" s="24"/>
      <c r="I466" s="24"/>
      <c r="J466" s="24"/>
    </row>
    <row r="467" spans="1:10" x14ac:dyDescent="0.35">
      <c r="A467" t="s">
        <v>585</v>
      </c>
      <c r="B467" s="92"/>
      <c r="C467" s="21"/>
      <c r="D467" s="4"/>
      <c r="E467" s="4"/>
      <c r="F467" s="24"/>
      <c r="G467" s="24"/>
      <c r="H467" s="24"/>
      <c r="I467" s="24"/>
      <c r="J467" s="24"/>
    </row>
    <row r="468" spans="1:10" x14ac:dyDescent="0.35">
      <c r="A468" t="s">
        <v>586</v>
      </c>
      <c r="B468" s="92"/>
      <c r="C468" s="21"/>
      <c r="D468" s="4"/>
      <c r="E468" s="4"/>
      <c r="F468" s="24"/>
      <c r="G468" s="24"/>
      <c r="H468" s="24"/>
      <c r="I468" s="24"/>
      <c r="J468" s="24"/>
    </row>
    <row r="469" spans="1:10" x14ac:dyDescent="0.35">
      <c r="A469" t="s">
        <v>587</v>
      </c>
      <c r="B469" s="92"/>
      <c r="C469" s="21"/>
      <c r="D469" s="4"/>
      <c r="E469" s="4"/>
      <c r="F469" s="24"/>
      <c r="G469" s="24"/>
      <c r="H469" s="24"/>
      <c r="I469" s="24"/>
      <c r="J469" s="24"/>
    </row>
    <row r="470" spans="1:10" x14ac:dyDescent="0.35">
      <c r="A470" t="s">
        <v>588</v>
      </c>
      <c r="B470" s="92"/>
      <c r="C470" s="21"/>
      <c r="D470" s="4"/>
      <c r="E470" s="4"/>
      <c r="F470" s="24"/>
      <c r="G470" s="24"/>
      <c r="H470" s="24"/>
      <c r="I470" s="24"/>
      <c r="J470" s="24"/>
    </row>
    <row r="471" spans="1:10" x14ac:dyDescent="0.35">
      <c r="A471" t="s">
        <v>589</v>
      </c>
      <c r="B471" s="92"/>
      <c r="C471" s="21"/>
      <c r="D471" s="4"/>
      <c r="E471" s="4"/>
      <c r="F471" s="24"/>
      <c r="G471" s="24"/>
      <c r="H471" s="24"/>
      <c r="I471" s="24"/>
      <c r="J471" s="24"/>
    </row>
    <row r="472" spans="1:10" x14ac:dyDescent="0.35">
      <c r="A472" t="s">
        <v>590</v>
      </c>
      <c r="B472" s="92"/>
      <c r="C472" s="21"/>
      <c r="D472" s="4"/>
      <c r="E472" s="4"/>
      <c r="F472" s="24"/>
      <c r="G472" s="24"/>
      <c r="H472" s="24"/>
      <c r="I472" s="24"/>
      <c r="J472" s="24"/>
    </row>
    <row r="473" spans="1:10" x14ac:dyDescent="0.35">
      <c r="A473" t="s">
        <v>591</v>
      </c>
      <c r="B473" s="92"/>
      <c r="C473" s="21"/>
      <c r="D473" s="4"/>
      <c r="E473" s="4"/>
      <c r="F473" s="24"/>
      <c r="G473" s="24"/>
      <c r="H473" s="24"/>
      <c r="I473" s="24"/>
      <c r="J473" s="24"/>
    </row>
    <row r="474" spans="1:10" x14ac:dyDescent="0.35">
      <c r="A474" t="s">
        <v>592</v>
      </c>
      <c r="B474" s="92"/>
      <c r="C474" s="21"/>
      <c r="D474" s="4"/>
      <c r="E474" s="4"/>
      <c r="F474" s="24"/>
      <c r="G474" s="24"/>
      <c r="H474" s="24"/>
      <c r="I474" s="24"/>
      <c r="J474" s="24"/>
    </row>
    <row r="475" spans="1:10" x14ac:dyDescent="0.35">
      <c r="A475" t="s">
        <v>593</v>
      </c>
      <c r="B475" s="92"/>
      <c r="C475" s="21"/>
      <c r="D475" s="4"/>
      <c r="E475" s="4"/>
      <c r="F475" s="24"/>
      <c r="G475" s="24"/>
      <c r="H475" s="24"/>
      <c r="I475" s="24"/>
      <c r="J475" s="24"/>
    </row>
    <row r="476" spans="1:10" x14ac:dyDescent="0.35">
      <c r="A476" t="s">
        <v>594</v>
      </c>
      <c r="B476" s="92"/>
      <c r="C476" s="21"/>
      <c r="D476" s="4"/>
      <c r="E476" s="4"/>
      <c r="F476" s="24"/>
      <c r="G476" s="24"/>
      <c r="H476" s="24"/>
      <c r="I476" s="24"/>
      <c r="J476" s="24"/>
    </row>
    <row r="477" spans="1:10" x14ac:dyDescent="0.35">
      <c r="A477" t="s">
        <v>595</v>
      </c>
      <c r="B477" s="92"/>
      <c r="C477" s="21"/>
      <c r="D477" s="4"/>
      <c r="E477" s="4"/>
      <c r="F477" s="24"/>
      <c r="G477" s="24"/>
      <c r="H477" s="24"/>
      <c r="I477" s="24"/>
      <c r="J477" s="24"/>
    </row>
    <row r="478" spans="1:10" x14ac:dyDescent="0.35">
      <c r="A478" t="s">
        <v>596</v>
      </c>
      <c r="B478" s="92"/>
      <c r="C478" s="21"/>
      <c r="D478" s="4"/>
      <c r="E478" s="4"/>
      <c r="F478" s="24"/>
      <c r="G478" s="24"/>
      <c r="H478" s="24"/>
      <c r="I478" s="24"/>
      <c r="J478" s="24"/>
    </row>
    <row r="479" spans="1:10" x14ac:dyDescent="0.35">
      <c r="A479" t="s">
        <v>597</v>
      </c>
      <c r="B479" s="92"/>
      <c r="C479" s="21"/>
      <c r="D479" s="4"/>
      <c r="E479" s="4"/>
      <c r="F479" s="24"/>
      <c r="G479" s="24"/>
      <c r="H479" s="24"/>
      <c r="I479" s="24"/>
      <c r="J479" s="24"/>
    </row>
    <row r="480" spans="1:10" x14ac:dyDescent="0.35">
      <c r="A480" t="s">
        <v>598</v>
      </c>
      <c r="B480" s="92"/>
      <c r="C480" s="21"/>
      <c r="D480" s="4"/>
      <c r="E480" s="4"/>
      <c r="F480" s="24"/>
      <c r="G480" s="24"/>
      <c r="H480" s="24"/>
      <c r="I480" s="24"/>
      <c r="J480" s="24"/>
    </row>
    <row r="481" spans="1:10" x14ac:dyDescent="0.35">
      <c r="A481" t="s">
        <v>599</v>
      </c>
      <c r="B481" s="92"/>
      <c r="C481" s="21"/>
      <c r="D481" s="4"/>
      <c r="E481" s="4"/>
      <c r="F481" s="24"/>
      <c r="G481" s="24"/>
      <c r="H481" s="24"/>
      <c r="I481" s="24"/>
      <c r="J481" s="24"/>
    </row>
    <row r="482" spans="1:10" x14ac:dyDescent="0.35">
      <c r="A482" t="s">
        <v>600</v>
      </c>
      <c r="B482" s="92"/>
      <c r="C482" s="21"/>
      <c r="D482" s="4"/>
      <c r="E482" s="4"/>
      <c r="F482" s="24"/>
      <c r="G482" s="24"/>
      <c r="H482" s="24"/>
      <c r="I482" s="24"/>
      <c r="J482" s="24"/>
    </row>
    <row r="483" spans="1:10" x14ac:dyDescent="0.35">
      <c r="A483" t="s">
        <v>601</v>
      </c>
      <c r="B483" s="92"/>
      <c r="C483" s="21"/>
      <c r="D483" s="4"/>
      <c r="E483" s="4"/>
      <c r="F483" s="24"/>
      <c r="G483" s="24"/>
      <c r="H483" s="24"/>
      <c r="I483" s="24"/>
      <c r="J483" s="24"/>
    </row>
    <row r="484" spans="1:10" x14ac:dyDescent="0.35">
      <c r="A484" t="s">
        <v>602</v>
      </c>
      <c r="B484" s="92"/>
      <c r="C484" s="21"/>
      <c r="D484" s="4"/>
      <c r="E484" s="4"/>
      <c r="F484" s="24"/>
      <c r="G484" s="24"/>
      <c r="H484" s="24"/>
      <c r="I484" s="24"/>
      <c r="J484" s="24"/>
    </row>
    <row r="485" spans="1:10" x14ac:dyDescent="0.35">
      <c r="A485" t="s">
        <v>603</v>
      </c>
      <c r="B485" s="92"/>
      <c r="C485" s="21"/>
      <c r="D485" s="4"/>
      <c r="E485" s="4"/>
      <c r="F485" s="24"/>
      <c r="G485" s="24"/>
      <c r="H485" s="24"/>
      <c r="I485" s="24"/>
      <c r="J485" s="24"/>
    </row>
    <row r="486" spans="1:10" x14ac:dyDescent="0.35">
      <c r="A486" t="s">
        <v>604</v>
      </c>
      <c r="B486" s="92"/>
      <c r="C486" s="21"/>
      <c r="D486" s="4"/>
      <c r="E486" s="4"/>
      <c r="F486" s="24"/>
      <c r="G486" s="24"/>
      <c r="H486" s="24"/>
      <c r="I486" s="24"/>
      <c r="J486" s="24"/>
    </row>
    <row r="487" spans="1:10" x14ac:dyDescent="0.35">
      <c r="A487" t="s">
        <v>605</v>
      </c>
      <c r="B487" s="92"/>
      <c r="C487" s="21"/>
      <c r="D487" s="4"/>
      <c r="E487" s="4"/>
      <c r="F487" s="24"/>
      <c r="G487" s="24"/>
      <c r="H487" s="24"/>
      <c r="I487" s="24"/>
      <c r="J487" s="24"/>
    </row>
    <row r="488" spans="1:10" x14ac:dyDescent="0.35">
      <c r="A488" t="s">
        <v>606</v>
      </c>
      <c r="B488" s="92"/>
      <c r="C488" s="21"/>
      <c r="D488" s="4"/>
      <c r="E488" s="4"/>
      <c r="F488" s="24"/>
      <c r="G488" s="24"/>
      <c r="H488" s="24"/>
      <c r="I488" s="24"/>
      <c r="J488" s="24"/>
    </row>
    <row r="489" spans="1:10" x14ac:dyDescent="0.35">
      <c r="A489" t="s">
        <v>607</v>
      </c>
      <c r="B489" s="92"/>
      <c r="C489" s="21"/>
      <c r="D489" s="4"/>
      <c r="E489" s="4"/>
      <c r="F489" s="24"/>
      <c r="G489" s="24"/>
      <c r="H489" s="24"/>
      <c r="I489" s="24"/>
      <c r="J489" s="24"/>
    </row>
    <row r="490" spans="1:10" x14ac:dyDescent="0.35">
      <c r="A490" t="s">
        <v>608</v>
      </c>
      <c r="B490" s="92"/>
      <c r="C490" s="21"/>
      <c r="D490" s="4"/>
      <c r="E490" s="4"/>
      <c r="F490" s="24"/>
      <c r="G490" s="24"/>
      <c r="H490" s="24"/>
      <c r="I490" s="24"/>
      <c r="J490" s="24"/>
    </row>
    <row r="491" spans="1:10" x14ac:dyDescent="0.35">
      <c r="A491" t="s">
        <v>609</v>
      </c>
      <c r="B491" s="92"/>
      <c r="C491" s="21"/>
      <c r="D491" s="4"/>
      <c r="E491" s="4"/>
      <c r="F491" s="24"/>
      <c r="G491" s="24"/>
      <c r="H491" s="24"/>
      <c r="I491" s="24"/>
      <c r="J491" s="24"/>
    </row>
    <row r="492" spans="1:10" x14ac:dyDescent="0.35">
      <c r="A492" t="s">
        <v>610</v>
      </c>
      <c r="B492" s="92"/>
      <c r="C492" s="21"/>
      <c r="D492" s="4"/>
      <c r="E492" s="4"/>
      <c r="F492" s="24"/>
      <c r="G492" s="24"/>
      <c r="H492" s="24"/>
      <c r="I492" s="24"/>
      <c r="J492" s="24"/>
    </row>
    <row r="493" spans="1:10" x14ac:dyDescent="0.35">
      <c r="A493" t="s">
        <v>611</v>
      </c>
      <c r="B493" s="92"/>
      <c r="C493" s="21"/>
      <c r="D493" s="4"/>
      <c r="E493" s="4"/>
      <c r="F493" s="24"/>
      <c r="G493" s="24"/>
      <c r="H493" s="24"/>
      <c r="I493" s="24"/>
      <c r="J493" s="24"/>
    </row>
    <row r="494" spans="1:10" x14ac:dyDescent="0.35">
      <c r="A494" t="s">
        <v>612</v>
      </c>
      <c r="B494" s="92"/>
      <c r="C494" s="21"/>
      <c r="D494" s="4"/>
      <c r="E494" s="4"/>
      <c r="F494" s="24"/>
      <c r="G494" s="24"/>
      <c r="H494" s="24"/>
      <c r="I494" s="24"/>
      <c r="J494" s="24"/>
    </row>
    <row r="495" spans="1:10" x14ac:dyDescent="0.35">
      <c r="A495" t="s">
        <v>613</v>
      </c>
      <c r="B495" s="92"/>
      <c r="C495" s="21"/>
      <c r="D495" s="4"/>
      <c r="E495" s="4"/>
      <c r="F495" s="24"/>
      <c r="G495" s="24"/>
      <c r="H495" s="24"/>
      <c r="I495" s="24"/>
      <c r="J495" s="24"/>
    </row>
    <row r="496" spans="1:10" x14ac:dyDescent="0.35">
      <c r="A496" t="s">
        <v>614</v>
      </c>
      <c r="B496" s="92"/>
      <c r="C496" s="21"/>
      <c r="D496" s="4"/>
      <c r="E496" s="4"/>
      <c r="F496" s="24"/>
      <c r="G496" s="24"/>
      <c r="H496" s="24"/>
      <c r="I496" s="24"/>
      <c r="J496" s="24"/>
    </row>
    <row r="497" spans="1:10" x14ac:dyDescent="0.35">
      <c r="A497" t="s">
        <v>615</v>
      </c>
      <c r="B497" s="92"/>
      <c r="C497" s="21"/>
      <c r="D497" s="4"/>
      <c r="E497" s="4"/>
      <c r="F497" s="24"/>
      <c r="G497" s="24"/>
      <c r="H497" s="24"/>
      <c r="I497" s="24"/>
      <c r="J497" s="24"/>
    </row>
    <row r="498" spans="1:10" x14ac:dyDescent="0.35">
      <c r="A498" t="s">
        <v>616</v>
      </c>
      <c r="B498" s="92"/>
      <c r="C498" s="21"/>
      <c r="D498" s="4"/>
      <c r="E498" s="4"/>
      <c r="F498" s="24"/>
      <c r="G498" s="24"/>
      <c r="H498" s="24"/>
      <c r="I498" s="24"/>
      <c r="J498" s="24"/>
    </row>
    <row r="499" spans="1:10" x14ac:dyDescent="0.35">
      <c r="A499" t="s">
        <v>617</v>
      </c>
      <c r="B499" s="92"/>
      <c r="C499" s="21"/>
      <c r="D499" s="4"/>
      <c r="E499" s="4"/>
      <c r="F499" s="24"/>
      <c r="G499" s="24"/>
      <c r="H499" s="24"/>
      <c r="I499" s="24"/>
      <c r="J499" s="24"/>
    </row>
    <row r="500" spans="1:10" x14ac:dyDescent="0.35">
      <c r="A500" t="s">
        <v>618</v>
      </c>
      <c r="B500" s="92"/>
      <c r="C500" s="21"/>
      <c r="D500" s="4"/>
      <c r="E500" s="4"/>
      <c r="F500" s="24"/>
      <c r="G500" s="24"/>
      <c r="H500" s="24"/>
      <c r="I500" s="24"/>
      <c r="J500" s="24"/>
    </row>
    <row r="501" spans="1:10" x14ac:dyDescent="0.35">
      <c r="A501" t="s">
        <v>619</v>
      </c>
      <c r="B501" s="92"/>
      <c r="C501" s="21"/>
      <c r="D501" s="4"/>
      <c r="E501" s="4"/>
      <c r="F501" s="24"/>
      <c r="G501" s="24"/>
      <c r="H501" s="24"/>
      <c r="I501" s="24"/>
      <c r="J501" s="24"/>
    </row>
    <row r="502" spans="1:10" x14ac:dyDescent="0.35">
      <c r="A502" t="s">
        <v>620</v>
      </c>
      <c r="B502" s="92"/>
      <c r="C502" s="21"/>
      <c r="D502" s="4"/>
      <c r="E502" s="4"/>
      <c r="F502" s="24"/>
      <c r="G502" s="24"/>
      <c r="H502" s="24"/>
      <c r="I502" s="24"/>
      <c r="J502" s="24"/>
    </row>
    <row r="503" spans="1:10" x14ac:dyDescent="0.35">
      <c r="A503" t="s">
        <v>621</v>
      </c>
      <c r="B503" s="92"/>
      <c r="C503" s="21"/>
      <c r="D503" s="4"/>
      <c r="E503" s="4"/>
      <c r="F503" s="24"/>
      <c r="G503" s="24"/>
      <c r="H503" s="24"/>
      <c r="I503" s="24"/>
      <c r="J503" s="24"/>
    </row>
    <row r="504" spans="1:10" x14ac:dyDescent="0.35">
      <c r="A504" t="s">
        <v>622</v>
      </c>
      <c r="B504" s="92"/>
      <c r="C504" s="21"/>
      <c r="D504" s="4"/>
      <c r="E504" s="4"/>
      <c r="F504" s="24"/>
      <c r="G504" s="24"/>
      <c r="H504" s="24"/>
      <c r="I504" s="24"/>
      <c r="J504" s="24"/>
    </row>
    <row r="505" spans="1:10" x14ac:dyDescent="0.35">
      <c r="A505" t="s">
        <v>623</v>
      </c>
      <c r="B505" s="92"/>
      <c r="C505" s="21"/>
      <c r="D505" s="4"/>
      <c r="E505" s="4"/>
      <c r="F505" s="24"/>
      <c r="G505" s="24"/>
      <c r="H505" s="24"/>
      <c r="I505" s="24"/>
      <c r="J505" s="24"/>
    </row>
    <row r="506" spans="1:10" x14ac:dyDescent="0.35">
      <c r="A506" t="s">
        <v>624</v>
      </c>
      <c r="B506" s="92"/>
      <c r="C506" s="21"/>
      <c r="D506" s="4"/>
      <c r="E506" s="4"/>
      <c r="F506" s="24"/>
      <c r="G506" s="24"/>
      <c r="H506" s="24"/>
      <c r="I506" s="24"/>
      <c r="J506" s="24"/>
    </row>
    <row r="507" spans="1:10" x14ac:dyDescent="0.35">
      <c r="A507" t="s">
        <v>625</v>
      </c>
      <c r="B507" s="92"/>
      <c r="C507" s="21"/>
      <c r="D507" s="4"/>
      <c r="E507" s="4"/>
      <c r="F507" s="24"/>
      <c r="G507" s="24"/>
      <c r="H507" s="24"/>
      <c r="I507" s="24"/>
      <c r="J507" s="24"/>
    </row>
    <row r="508" spans="1:10" x14ac:dyDescent="0.35">
      <c r="A508" t="s">
        <v>626</v>
      </c>
      <c r="B508" s="92"/>
      <c r="C508" s="21"/>
      <c r="D508" s="4"/>
      <c r="E508" s="4"/>
      <c r="F508" s="24"/>
      <c r="G508" s="24"/>
      <c r="H508" s="24"/>
      <c r="I508" s="24"/>
      <c r="J508" s="24"/>
    </row>
    <row r="509" spans="1:10" x14ac:dyDescent="0.35">
      <c r="A509" t="s">
        <v>627</v>
      </c>
      <c r="B509" s="92"/>
      <c r="C509" s="21"/>
      <c r="D509" s="4"/>
      <c r="E509" s="4"/>
      <c r="F509" s="24"/>
      <c r="G509" s="24"/>
      <c r="H509" s="24"/>
      <c r="I509" s="24"/>
      <c r="J509" s="24"/>
    </row>
    <row r="510" spans="1:10" x14ac:dyDescent="0.35">
      <c r="A510" t="s">
        <v>628</v>
      </c>
      <c r="B510" s="92"/>
      <c r="C510" s="21"/>
      <c r="D510" s="4"/>
      <c r="E510" s="4"/>
      <c r="F510" s="24"/>
      <c r="G510" s="24"/>
      <c r="H510" s="24"/>
      <c r="I510" s="24"/>
      <c r="J510" s="24"/>
    </row>
    <row r="511" spans="1:10" x14ac:dyDescent="0.35">
      <c r="A511" t="s">
        <v>629</v>
      </c>
      <c r="B511" s="92"/>
      <c r="C511" s="21"/>
      <c r="D511" s="4"/>
      <c r="E511" s="4"/>
      <c r="F511" s="24"/>
      <c r="G511" s="24"/>
      <c r="H511" s="24"/>
      <c r="I511" s="24"/>
      <c r="J511" s="24"/>
    </row>
    <row r="512" spans="1:10" x14ac:dyDescent="0.35">
      <c r="A512" t="s">
        <v>630</v>
      </c>
      <c r="B512" s="92"/>
      <c r="C512" s="21"/>
      <c r="D512" s="4"/>
      <c r="E512" s="4"/>
      <c r="F512" s="24"/>
      <c r="G512" s="24"/>
      <c r="H512" s="24"/>
      <c r="I512" s="24"/>
      <c r="J512" s="24"/>
    </row>
    <row r="513" spans="1:10" x14ac:dyDescent="0.35">
      <c r="A513" t="s">
        <v>631</v>
      </c>
      <c r="B513" s="92"/>
      <c r="C513" s="21"/>
      <c r="D513" s="4"/>
      <c r="E513" s="4"/>
      <c r="F513" s="24"/>
      <c r="G513" s="24"/>
      <c r="H513" s="24"/>
      <c r="I513" s="24"/>
      <c r="J513" s="24"/>
    </row>
    <row r="514" spans="1:10" x14ac:dyDescent="0.35">
      <c r="A514" t="s">
        <v>632</v>
      </c>
      <c r="B514" s="92"/>
      <c r="C514" s="21"/>
      <c r="D514" s="4"/>
      <c r="E514" s="4"/>
      <c r="F514" s="24"/>
      <c r="G514" s="24"/>
      <c r="H514" s="24"/>
      <c r="I514" s="24"/>
      <c r="J514" s="24"/>
    </row>
    <row r="515" spans="1:10" x14ac:dyDescent="0.35">
      <c r="A515" t="s">
        <v>633</v>
      </c>
      <c r="B515" s="92"/>
      <c r="C515" s="21"/>
      <c r="D515" s="4"/>
      <c r="E515" s="4"/>
      <c r="F515" s="24"/>
      <c r="G515" s="24"/>
      <c r="H515" s="24"/>
      <c r="I515" s="24"/>
      <c r="J515" s="24"/>
    </row>
    <row r="516" spans="1:10" x14ac:dyDescent="0.35">
      <c r="A516" t="s">
        <v>634</v>
      </c>
      <c r="B516" s="92"/>
      <c r="C516" s="21"/>
      <c r="D516" s="4"/>
      <c r="E516" s="4"/>
      <c r="F516" s="24"/>
      <c r="G516" s="24"/>
      <c r="H516" s="24"/>
      <c r="I516" s="24"/>
      <c r="J516" s="24"/>
    </row>
    <row r="517" spans="1:10" x14ac:dyDescent="0.35">
      <c r="A517" t="s">
        <v>635</v>
      </c>
      <c r="B517" s="92"/>
      <c r="C517" s="21"/>
      <c r="D517" s="4"/>
      <c r="E517" s="4"/>
      <c r="F517" s="24"/>
      <c r="G517" s="24"/>
      <c r="H517" s="24"/>
      <c r="I517" s="24"/>
      <c r="J517" s="24"/>
    </row>
    <row r="518" spans="1:10" x14ac:dyDescent="0.35">
      <c r="A518" t="s">
        <v>636</v>
      </c>
      <c r="B518" s="92"/>
      <c r="C518" s="21"/>
      <c r="D518" s="4"/>
      <c r="E518" s="4"/>
      <c r="F518" s="24"/>
      <c r="G518" s="24"/>
      <c r="H518" s="24"/>
      <c r="I518" s="24"/>
      <c r="J518" s="24"/>
    </row>
    <row r="519" spans="1:10" x14ac:dyDescent="0.35">
      <c r="A519" t="s">
        <v>637</v>
      </c>
      <c r="B519" s="92"/>
      <c r="C519" s="21"/>
      <c r="D519" s="4"/>
      <c r="E519" s="4"/>
      <c r="F519" s="24"/>
      <c r="G519" s="24"/>
      <c r="H519" s="24"/>
      <c r="I519" s="24"/>
      <c r="J519" s="24"/>
    </row>
    <row r="520" spans="1:10" x14ac:dyDescent="0.35">
      <c r="A520" t="s">
        <v>638</v>
      </c>
      <c r="B520" s="92"/>
      <c r="C520" s="21"/>
      <c r="D520" s="4"/>
      <c r="E520" s="4"/>
      <c r="F520" s="24"/>
      <c r="G520" s="24"/>
      <c r="H520" s="24"/>
      <c r="I520" s="24"/>
      <c r="J520" s="24"/>
    </row>
    <row r="521" spans="1:10" x14ac:dyDescent="0.35">
      <c r="A521" t="s">
        <v>639</v>
      </c>
      <c r="B521" s="92"/>
      <c r="C521" s="21"/>
      <c r="D521" s="4"/>
      <c r="E521" s="4"/>
      <c r="F521" s="24"/>
      <c r="G521" s="24"/>
      <c r="H521" s="24"/>
      <c r="I521" s="24"/>
      <c r="J521" s="24"/>
    </row>
    <row r="522" spans="1:10" x14ac:dyDescent="0.35">
      <c r="A522" t="s">
        <v>640</v>
      </c>
      <c r="B522" s="92"/>
      <c r="C522" s="21"/>
      <c r="D522" s="4"/>
      <c r="E522" s="4"/>
      <c r="F522" s="24"/>
      <c r="G522" s="24"/>
      <c r="H522" s="24"/>
      <c r="I522" s="24"/>
      <c r="J522" s="24"/>
    </row>
    <row r="523" spans="1:10" x14ac:dyDescent="0.35">
      <c r="A523" t="s">
        <v>641</v>
      </c>
      <c r="B523" s="92"/>
      <c r="C523" s="21"/>
      <c r="D523" s="4"/>
      <c r="E523" s="4"/>
      <c r="F523" s="24"/>
      <c r="G523" s="24"/>
      <c r="H523" s="24"/>
      <c r="I523" s="24"/>
      <c r="J523" s="24"/>
    </row>
    <row r="524" spans="1:10" x14ac:dyDescent="0.35">
      <c r="A524" t="s">
        <v>642</v>
      </c>
      <c r="B524" s="92"/>
      <c r="C524" s="21"/>
      <c r="D524" s="4"/>
      <c r="E524" s="4"/>
      <c r="F524" s="24"/>
      <c r="G524" s="24"/>
      <c r="H524" s="24"/>
      <c r="I524" s="24"/>
      <c r="J524" s="24"/>
    </row>
    <row r="525" spans="1:10" x14ac:dyDescent="0.35">
      <c r="A525" t="s">
        <v>643</v>
      </c>
      <c r="B525" s="92"/>
      <c r="C525" s="21"/>
      <c r="D525" s="4"/>
      <c r="E525" s="4"/>
      <c r="F525" s="24"/>
      <c r="G525" s="24"/>
      <c r="H525" s="24"/>
      <c r="I525" s="24"/>
      <c r="J525" s="24"/>
    </row>
    <row r="526" spans="1:10" x14ac:dyDescent="0.35">
      <c r="A526" t="s">
        <v>644</v>
      </c>
      <c r="B526" s="92"/>
      <c r="C526" s="21"/>
      <c r="D526" s="4"/>
      <c r="E526" s="4"/>
      <c r="F526" s="24"/>
      <c r="G526" s="24"/>
      <c r="H526" s="24"/>
      <c r="I526" s="24"/>
      <c r="J526" s="24"/>
    </row>
    <row r="527" spans="1:10" x14ac:dyDescent="0.35">
      <c r="A527" t="s">
        <v>645</v>
      </c>
      <c r="B527" s="92"/>
      <c r="C527" s="21"/>
      <c r="D527" s="4"/>
      <c r="E527" s="4"/>
      <c r="F527" s="24"/>
      <c r="G527" s="24"/>
      <c r="H527" s="24"/>
      <c r="I527" s="24"/>
      <c r="J527" s="24"/>
    </row>
    <row r="528" spans="1:10" x14ac:dyDescent="0.35">
      <c r="A528" t="s">
        <v>646</v>
      </c>
      <c r="B528" s="92"/>
      <c r="C528" s="21"/>
      <c r="D528" s="4"/>
      <c r="E528" s="4"/>
      <c r="F528" s="24"/>
      <c r="G528" s="24"/>
      <c r="H528" s="24"/>
      <c r="I528" s="24"/>
      <c r="J528" s="24"/>
    </row>
    <row r="529" spans="1:10" x14ac:dyDescent="0.35">
      <c r="A529" t="s">
        <v>647</v>
      </c>
      <c r="B529" s="92"/>
      <c r="C529" s="21"/>
      <c r="D529" s="4"/>
      <c r="E529" s="4"/>
      <c r="F529" s="24"/>
      <c r="G529" s="24"/>
      <c r="H529" s="24"/>
      <c r="I529" s="24"/>
      <c r="J529" s="24"/>
    </row>
    <row r="530" spans="1:10" x14ac:dyDescent="0.35">
      <c r="A530" t="s">
        <v>648</v>
      </c>
      <c r="B530" s="92"/>
      <c r="C530" s="21"/>
      <c r="D530" s="4"/>
      <c r="E530" s="4"/>
      <c r="F530" s="24"/>
      <c r="G530" s="24"/>
      <c r="H530" s="24"/>
      <c r="I530" s="24"/>
      <c r="J530" s="24"/>
    </row>
    <row r="531" spans="1:10" x14ac:dyDescent="0.35">
      <c r="A531" t="s">
        <v>649</v>
      </c>
      <c r="B531" s="92"/>
      <c r="C531" s="21"/>
      <c r="D531" s="4"/>
      <c r="E531" s="4"/>
      <c r="F531" s="24"/>
      <c r="G531" s="24"/>
      <c r="H531" s="24"/>
      <c r="I531" s="24"/>
      <c r="J531" s="24"/>
    </row>
    <row r="532" spans="1:10" x14ac:dyDescent="0.35">
      <c r="A532" t="s">
        <v>650</v>
      </c>
      <c r="B532" s="92"/>
      <c r="C532" s="21"/>
      <c r="D532" s="4"/>
      <c r="E532" s="4"/>
      <c r="F532" s="24"/>
      <c r="G532" s="24"/>
      <c r="H532" s="24"/>
      <c r="I532" s="24"/>
      <c r="J532" s="24"/>
    </row>
    <row r="533" spans="1:10" x14ac:dyDescent="0.35">
      <c r="A533" t="s">
        <v>651</v>
      </c>
      <c r="B533" s="92"/>
      <c r="C533" s="21"/>
      <c r="D533" s="4"/>
      <c r="E533" s="4"/>
      <c r="F533" s="24"/>
      <c r="G533" s="24"/>
      <c r="H533" s="24"/>
      <c r="I533" s="24"/>
      <c r="J533" s="24"/>
    </row>
    <row r="534" spans="1:10" x14ac:dyDescent="0.35">
      <c r="A534" t="s">
        <v>652</v>
      </c>
      <c r="B534" s="92"/>
      <c r="C534" s="21"/>
      <c r="D534" s="4"/>
      <c r="E534" s="4"/>
      <c r="F534" s="24"/>
      <c r="G534" s="24"/>
      <c r="H534" s="24"/>
      <c r="I534" s="24"/>
      <c r="J534" s="24"/>
    </row>
    <row r="535" spans="1:10" x14ac:dyDescent="0.35">
      <c r="A535" t="s">
        <v>653</v>
      </c>
      <c r="B535" s="92"/>
      <c r="C535" s="21"/>
      <c r="D535" s="4"/>
      <c r="E535" s="4"/>
      <c r="F535" s="24"/>
      <c r="G535" s="24"/>
      <c r="H535" s="24"/>
      <c r="I535" s="24"/>
      <c r="J535" s="24"/>
    </row>
    <row r="536" spans="1:10" x14ac:dyDescent="0.35">
      <c r="A536" t="s">
        <v>654</v>
      </c>
      <c r="B536" s="92"/>
      <c r="C536" s="21"/>
      <c r="D536" s="4"/>
      <c r="E536" s="4"/>
      <c r="F536" s="24"/>
      <c r="G536" s="24"/>
      <c r="H536" s="24"/>
      <c r="I536" s="24"/>
      <c r="J536" s="24"/>
    </row>
    <row r="537" spans="1:10" x14ac:dyDescent="0.35">
      <c r="A537" t="s">
        <v>655</v>
      </c>
      <c r="B537" s="92"/>
      <c r="C537" s="21"/>
      <c r="D537" s="4"/>
      <c r="E537" s="4"/>
      <c r="F537" s="24"/>
      <c r="G537" s="24"/>
      <c r="H537" s="24"/>
      <c r="I537" s="24"/>
      <c r="J537" s="24"/>
    </row>
    <row r="538" spans="1:10" x14ac:dyDescent="0.35">
      <c r="A538" t="s">
        <v>656</v>
      </c>
      <c r="B538" s="92"/>
      <c r="C538" s="21"/>
      <c r="D538" s="4"/>
      <c r="E538" s="4"/>
      <c r="F538" s="24"/>
      <c r="G538" s="24"/>
      <c r="H538" s="24"/>
      <c r="I538" s="24"/>
      <c r="J538" s="24"/>
    </row>
    <row r="539" spans="1:10" x14ac:dyDescent="0.35">
      <c r="A539" t="s">
        <v>657</v>
      </c>
      <c r="B539" s="92"/>
      <c r="C539" s="21"/>
      <c r="D539" s="4"/>
      <c r="E539" s="4"/>
      <c r="F539" s="24"/>
      <c r="G539" s="24"/>
      <c r="H539" s="24"/>
      <c r="I539" s="24"/>
      <c r="J539" s="24"/>
    </row>
    <row r="540" spans="1:10" x14ac:dyDescent="0.35">
      <c r="A540" t="s">
        <v>658</v>
      </c>
      <c r="B540" s="92"/>
      <c r="C540" s="21"/>
      <c r="D540" s="4"/>
      <c r="E540" s="4"/>
      <c r="F540" s="24"/>
      <c r="G540" s="24"/>
      <c r="H540" s="24"/>
      <c r="I540" s="24"/>
      <c r="J540" s="24"/>
    </row>
    <row r="541" spans="1:10" x14ac:dyDescent="0.35">
      <c r="A541" t="s">
        <v>659</v>
      </c>
      <c r="B541" s="92"/>
      <c r="C541" s="21"/>
      <c r="D541" s="4"/>
      <c r="E541" s="4"/>
      <c r="F541" s="24"/>
      <c r="G541" s="24"/>
      <c r="H541" s="24"/>
      <c r="I541" s="24"/>
      <c r="J541" s="24"/>
    </row>
    <row r="542" spans="1:10" x14ac:dyDescent="0.35">
      <c r="A542" t="s">
        <v>660</v>
      </c>
      <c r="B542" s="92"/>
      <c r="C542" s="21"/>
      <c r="D542" s="4"/>
      <c r="E542" s="4"/>
      <c r="F542" s="24"/>
      <c r="G542" s="24"/>
      <c r="H542" s="24"/>
      <c r="I542" s="24"/>
      <c r="J542" s="24"/>
    </row>
    <row r="543" spans="1:10" x14ac:dyDescent="0.35">
      <c r="A543" t="s">
        <v>661</v>
      </c>
      <c r="B543" s="92"/>
      <c r="C543" s="21"/>
      <c r="D543" s="4"/>
      <c r="E543" s="4"/>
      <c r="F543" s="24"/>
      <c r="G543" s="24"/>
      <c r="H543" s="24"/>
      <c r="I543" s="24"/>
      <c r="J543" s="24"/>
    </row>
    <row r="544" spans="1:10" x14ac:dyDescent="0.35">
      <c r="A544" t="s">
        <v>662</v>
      </c>
      <c r="B544" s="92"/>
      <c r="C544" s="21"/>
      <c r="D544" s="4"/>
      <c r="E544" s="4"/>
      <c r="F544" s="24"/>
      <c r="G544" s="24"/>
      <c r="H544" s="24"/>
      <c r="I544" s="24"/>
      <c r="J544" s="24"/>
    </row>
    <row r="545" spans="1:10" x14ac:dyDescent="0.35">
      <c r="A545" t="s">
        <v>663</v>
      </c>
      <c r="B545" s="92"/>
      <c r="C545" s="21"/>
      <c r="D545" s="4"/>
      <c r="E545" s="4"/>
      <c r="F545" s="24"/>
      <c r="G545" s="24"/>
      <c r="H545" s="24"/>
      <c r="I545" s="24"/>
      <c r="J545" s="24"/>
    </row>
    <row r="546" spans="1:10" x14ac:dyDescent="0.35">
      <c r="A546" t="s">
        <v>664</v>
      </c>
      <c r="B546" s="92"/>
      <c r="C546" s="21"/>
      <c r="D546" s="4"/>
      <c r="E546" s="4"/>
      <c r="F546" s="24"/>
      <c r="G546" s="24"/>
      <c r="H546" s="24"/>
      <c r="I546" s="24"/>
      <c r="J546" s="24"/>
    </row>
    <row r="547" spans="1:10" x14ac:dyDescent="0.35">
      <c r="A547" t="s">
        <v>665</v>
      </c>
      <c r="B547" s="92"/>
      <c r="C547" s="21"/>
      <c r="D547" s="4"/>
      <c r="E547" s="4"/>
      <c r="F547" s="24"/>
      <c r="G547" s="24"/>
      <c r="H547" s="24"/>
      <c r="I547" s="24"/>
      <c r="J547" s="24"/>
    </row>
    <row r="548" spans="1:10" x14ac:dyDescent="0.35">
      <c r="A548" t="s">
        <v>666</v>
      </c>
      <c r="B548" s="92"/>
      <c r="C548" s="21"/>
      <c r="D548" s="4"/>
      <c r="E548" s="4"/>
      <c r="F548" s="24"/>
      <c r="G548" s="24"/>
      <c r="H548" s="24"/>
      <c r="I548" s="24"/>
      <c r="J548" s="24"/>
    </row>
    <row r="549" spans="1:10" x14ac:dyDescent="0.35">
      <c r="A549" t="s">
        <v>667</v>
      </c>
      <c r="B549" s="92"/>
      <c r="C549" s="21"/>
      <c r="D549" s="4"/>
      <c r="E549" s="4"/>
      <c r="F549" s="24"/>
      <c r="G549" s="24"/>
      <c r="H549" s="24"/>
      <c r="I549" s="24"/>
      <c r="J549" s="24"/>
    </row>
    <row r="550" spans="1:10" x14ac:dyDescent="0.35">
      <c r="A550" t="s">
        <v>668</v>
      </c>
      <c r="B550" s="92"/>
      <c r="C550" s="21"/>
      <c r="D550" s="4"/>
      <c r="E550" s="4"/>
      <c r="F550" s="24"/>
      <c r="G550" s="24"/>
      <c r="H550" s="24"/>
      <c r="I550" s="24"/>
      <c r="J550" s="24"/>
    </row>
    <row r="551" spans="1:10" x14ac:dyDescent="0.35">
      <c r="A551" t="s">
        <v>669</v>
      </c>
      <c r="B551" s="92"/>
      <c r="C551" s="21"/>
      <c r="D551" s="4"/>
      <c r="E551" s="4"/>
      <c r="F551" s="24"/>
      <c r="G551" s="24"/>
      <c r="H551" s="24"/>
      <c r="I551" s="24"/>
      <c r="J551" s="24"/>
    </row>
    <row r="552" spans="1:10" x14ac:dyDescent="0.35">
      <c r="A552" t="s">
        <v>670</v>
      </c>
      <c r="B552" s="92"/>
      <c r="C552" s="21"/>
      <c r="D552" s="4"/>
      <c r="E552" s="4"/>
      <c r="F552" s="24"/>
      <c r="G552" s="24"/>
      <c r="H552" s="24"/>
      <c r="I552" s="24"/>
      <c r="J552" s="24"/>
    </row>
    <row r="553" spans="1:10" x14ac:dyDescent="0.35">
      <c r="A553" t="s">
        <v>671</v>
      </c>
      <c r="B553" s="92"/>
      <c r="C553" s="21"/>
      <c r="D553" s="4"/>
      <c r="E553" s="4"/>
      <c r="F553" s="24"/>
      <c r="G553" s="24"/>
      <c r="H553" s="24"/>
      <c r="I553" s="24"/>
      <c r="J553" s="24"/>
    </row>
    <row r="554" spans="1:10" x14ac:dyDescent="0.35">
      <c r="A554" t="s">
        <v>672</v>
      </c>
      <c r="B554" s="92"/>
      <c r="C554" s="21"/>
      <c r="D554" s="4"/>
      <c r="E554" s="4"/>
      <c r="F554" s="24"/>
      <c r="G554" s="24"/>
      <c r="H554" s="24"/>
      <c r="I554" s="24"/>
      <c r="J554" s="24"/>
    </row>
    <row r="555" spans="1:10" x14ac:dyDescent="0.35">
      <c r="A555" t="s">
        <v>673</v>
      </c>
      <c r="B555" s="92"/>
      <c r="C555" s="21"/>
      <c r="D555" s="4"/>
      <c r="E555" s="4"/>
      <c r="F555" s="24"/>
      <c r="G555" s="24"/>
      <c r="H555" s="24"/>
      <c r="I555" s="24"/>
      <c r="J555" s="24"/>
    </row>
    <row r="556" spans="1:10" x14ac:dyDescent="0.35">
      <c r="A556" t="s">
        <v>674</v>
      </c>
      <c r="B556" s="92"/>
      <c r="C556" s="21"/>
      <c r="D556" s="4"/>
      <c r="E556" s="4"/>
      <c r="F556" s="24"/>
      <c r="G556" s="24"/>
      <c r="H556" s="24"/>
      <c r="I556" s="24"/>
      <c r="J556" s="24"/>
    </row>
    <row r="557" spans="1:10" x14ac:dyDescent="0.35">
      <c r="A557" t="s">
        <v>675</v>
      </c>
      <c r="B557" s="92"/>
      <c r="C557" s="21"/>
      <c r="D557" s="4"/>
      <c r="E557" s="4"/>
      <c r="F557" s="24"/>
      <c r="G557" s="24"/>
      <c r="H557" s="24"/>
      <c r="I557" s="24"/>
      <c r="J557" s="24"/>
    </row>
    <row r="558" spans="1:10" x14ac:dyDescent="0.35">
      <c r="A558" t="s">
        <v>676</v>
      </c>
      <c r="B558" s="92"/>
      <c r="C558" s="21"/>
      <c r="D558" s="4"/>
      <c r="E558" s="4"/>
      <c r="F558" s="24"/>
      <c r="G558" s="24"/>
      <c r="H558" s="24"/>
      <c r="I558" s="24"/>
      <c r="J558" s="24"/>
    </row>
    <row r="559" spans="1:10" x14ac:dyDescent="0.35">
      <c r="A559" t="s">
        <v>677</v>
      </c>
      <c r="B559" s="92"/>
      <c r="C559" s="21"/>
      <c r="D559" s="4"/>
      <c r="E559" s="4"/>
      <c r="F559" s="24"/>
      <c r="G559" s="24"/>
      <c r="H559" s="24"/>
      <c r="I559" s="24"/>
      <c r="J559" s="24"/>
    </row>
    <row r="560" spans="1:10" x14ac:dyDescent="0.35">
      <c r="A560" t="s">
        <v>678</v>
      </c>
      <c r="B560" s="92"/>
      <c r="C560" s="21"/>
      <c r="D560" s="4"/>
      <c r="E560" s="4"/>
      <c r="F560" s="24"/>
      <c r="G560" s="24"/>
      <c r="H560" s="24"/>
      <c r="I560" s="24"/>
      <c r="J560" s="24"/>
    </row>
    <row r="561" spans="1:10" x14ac:dyDescent="0.35">
      <c r="A561" t="s">
        <v>679</v>
      </c>
      <c r="B561" s="92"/>
      <c r="C561" s="21"/>
      <c r="D561" s="4"/>
      <c r="E561" s="4"/>
      <c r="F561" s="24"/>
      <c r="G561" s="24"/>
      <c r="H561" s="24"/>
      <c r="I561" s="24"/>
      <c r="J561" s="24"/>
    </row>
    <row r="562" spans="1:10" x14ac:dyDescent="0.35">
      <c r="A562" t="s">
        <v>680</v>
      </c>
      <c r="B562" s="92"/>
      <c r="C562" s="21"/>
      <c r="D562" s="4"/>
      <c r="E562" s="4"/>
      <c r="F562" s="24"/>
      <c r="G562" s="24"/>
      <c r="H562" s="24"/>
      <c r="I562" s="24"/>
      <c r="J562" s="24"/>
    </row>
    <row r="563" spans="1:10" x14ac:dyDescent="0.35">
      <c r="A563" t="s">
        <v>681</v>
      </c>
      <c r="B563" s="92"/>
      <c r="C563" s="21"/>
      <c r="D563" s="4"/>
      <c r="E563" s="4"/>
      <c r="F563" s="24"/>
      <c r="G563" s="24"/>
      <c r="H563" s="24"/>
      <c r="I563" s="24"/>
      <c r="J563" s="24"/>
    </row>
    <row r="564" spans="1:10" x14ac:dyDescent="0.35">
      <c r="A564" t="s">
        <v>682</v>
      </c>
      <c r="B564" s="92"/>
      <c r="C564" s="21"/>
      <c r="D564" s="4"/>
      <c r="E564" s="4"/>
      <c r="F564" s="24"/>
      <c r="G564" s="24"/>
      <c r="H564" s="24"/>
      <c r="I564" s="24"/>
      <c r="J564" s="24"/>
    </row>
    <row r="565" spans="1:10" x14ac:dyDescent="0.35">
      <c r="A565" t="s">
        <v>683</v>
      </c>
      <c r="B565" s="92"/>
      <c r="C565" s="21"/>
      <c r="D565" s="4"/>
      <c r="E565" s="4"/>
      <c r="F565" s="24"/>
      <c r="G565" s="24"/>
      <c r="H565" s="24"/>
      <c r="I565" s="24"/>
      <c r="J565" s="24"/>
    </row>
    <row r="566" spans="1:10" x14ac:dyDescent="0.35">
      <c r="A566" t="s">
        <v>684</v>
      </c>
      <c r="B566" s="92"/>
      <c r="C566" s="21"/>
      <c r="D566" s="4"/>
      <c r="E566" s="4"/>
      <c r="F566" s="24"/>
      <c r="G566" s="24"/>
      <c r="H566" s="24"/>
      <c r="I566" s="24"/>
      <c r="J566" s="24"/>
    </row>
    <row r="567" spans="1:10" x14ac:dyDescent="0.35">
      <c r="A567" t="s">
        <v>685</v>
      </c>
      <c r="B567" s="92"/>
      <c r="C567" s="21"/>
      <c r="D567" s="4"/>
      <c r="E567" s="4"/>
      <c r="F567" s="24"/>
      <c r="G567" s="24"/>
      <c r="H567" s="24"/>
      <c r="I567" s="24"/>
      <c r="J567" s="24"/>
    </row>
    <row r="568" spans="1:10" x14ac:dyDescent="0.35">
      <c r="A568" t="s">
        <v>686</v>
      </c>
      <c r="B568" s="92"/>
      <c r="C568" s="21"/>
      <c r="D568" s="4"/>
      <c r="E568" s="4"/>
      <c r="F568" s="24"/>
      <c r="G568" s="24"/>
      <c r="H568" s="24"/>
      <c r="I568" s="24"/>
      <c r="J568" s="24"/>
    </row>
    <row r="569" spans="1:10" x14ac:dyDescent="0.35">
      <c r="A569" t="s">
        <v>687</v>
      </c>
      <c r="B569" s="92"/>
      <c r="C569" s="21"/>
      <c r="D569" s="4"/>
      <c r="E569" s="4"/>
      <c r="F569" s="24"/>
      <c r="G569" s="24"/>
      <c r="H569" s="24"/>
      <c r="I569" s="24"/>
      <c r="J569" s="24"/>
    </row>
    <row r="570" spans="1:10" x14ac:dyDescent="0.35">
      <c r="A570" t="s">
        <v>688</v>
      </c>
      <c r="B570" s="92"/>
      <c r="C570" s="21"/>
      <c r="D570" s="4"/>
      <c r="E570" s="4"/>
      <c r="F570" s="24"/>
      <c r="G570" s="24"/>
      <c r="H570" s="24"/>
      <c r="I570" s="24"/>
      <c r="J570" s="24"/>
    </row>
    <row r="571" spans="1:10" x14ac:dyDescent="0.35">
      <c r="A571" t="s">
        <v>689</v>
      </c>
      <c r="B571" s="92"/>
      <c r="C571" s="21"/>
      <c r="D571" s="4"/>
      <c r="E571" s="4"/>
      <c r="F571" s="24"/>
      <c r="G571" s="24"/>
      <c r="H571" s="24"/>
      <c r="I571" s="24"/>
      <c r="J571" s="24"/>
    </row>
    <row r="572" spans="1:10" x14ac:dyDescent="0.35">
      <c r="A572" t="s">
        <v>690</v>
      </c>
      <c r="B572" s="92"/>
      <c r="C572" s="21"/>
      <c r="D572" s="4"/>
      <c r="E572" s="4"/>
      <c r="F572" s="24"/>
      <c r="G572" s="24"/>
      <c r="H572" s="24"/>
      <c r="I572" s="24"/>
      <c r="J572" s="24"/>
    </row>
    <row r="573" spans="1:10" x14ac:dyDescent="0.35">
      <c r="A573" t="s">
        <v>691</v>
      </c>
      <c r="B573" s="92"/>
      <c r="C573" s="21"/>
      <c r="D573" s="4"/>
      <c r="E573" s="4"/>
      <c r="F573" s="24"/>
      <c r="G573" s="24"/>
      <c r="H573" s="24"/>
      <c r="I573" s="24"/>
      <c r="J573" s="24"/>
    </row>
    <row r="574" spans="1:10" x14ac:dyDescent="0.35">
      <c r="A574" t="s">
        <v>692</v>
      </c>
      <c r="B574" s="92"/>
      <c r="C574" s="21"/>
      <c r="D574" s="4"/>
      <c r="E574" s="4"/>
      <c r="F574" s="24"/>
      <c r="G574" s="24"/>
      <c r="H574" s="24"/>
      <c r="I574" s="24"/>
      <c r="J574" s="24"/>
    </row>
    <row r="575" spans="1:10" x14ac:dyDescent="0.35">
      <c r="A575" t="s">
        <v>693</v>
      </c>
      <c r="B575" s="92"/>
      <c r="C575" s="21"/>
      <c r="D575" s="4"/>
      <c r="E575" s="4"/>
      <c r="F575" s="24"/>
      <c r="G575" s="24"/>
      <c r="H575" s="24"/>
      <c r="I575" s="24"/>
      <c r="J575" s="24"/>
    </row>
    <row r="576" spans="1:10" x14ac:dyDescent="0.35">
      <c r="A576" t="s">
        <v>694</v>
      </c>
      <c r="B576" s="92"/>
      <c r="C576" s="21"/>
      <c r="D576" s="4"/>
      <c r="E576" s="4"/>
      <c r="F576" s="24"/>
      <c r="G576" s="24"/>
      <c r="H576" s="24"/>
      <c r="I576" s="24"/>
      <c r="J576" s="24"/>
    </row>
    <row r="577" spans="1:10" x14ac:dyDescent="0.35">
      <c r="A577" t="s">
        <v>695</v>
      </c>
      <c r="B577" s="92"/>
      <c r="C577" s="21"/>
      <c r="D577" s="4"/>
      <c r="E577" s="4"/>
      <c r="F577" s="24"/>
      <c r="G577" s="24"/>
      <c r="H577" s="24"/>
      <c r="I577" s="24"/>
      <c r="J577" s="24"/>
    </row>
    <row r="578" spans="1:10" x14ac:dyDescent="0.35">
      <c r="A578" t="s">
        <v>696</v>
      </c>
      <c r="B578" s="92"/>
      <c r="C578" s="21"/>
      <c r="D578" s="4"/>
      <c r="E578" s="4"/>
      <c r="F578" s="24"/>
      <c r="G578" s="24"/>
      <c r="H578" s="24"/>
      <c r="I578" s="24"/>
      <c r="J578" s="24"/>
    </row>
    <row r="579" spans="1:10" x14ac:dyDescent="0.35">
      <c r="A579" t="s">
        <v>697</v>
      </c>
      <c r="B579" s="92"/>
      <c r="C579" s="21"/>
      <c r="D579" s="4"/>
      <c r="E579" s="4"/>
      <c r="F579" s="24"/>
      <c r="G579" s="24"/>
      <c r="H579" s="24"/>
      <c r="I579" s="24"/>
      <c r="J579" s="24"/>
    </row>
    <row r="580" spans="1:10" x14ac:dyDescent="0.35">
      <c r="A580" t="s">
        <v>698</v>
      </c>
      <c r="B580" s="92"/>
      <c r="C580" s="21"/>
      <c r="D580" s="4"/>
      <c r="E580" s="4"/>
      <c r="F580" s="24"/>
      <c r="G580" s="24"/>
      <c r="H580" s="24"/>
      <c r="I580" s="24"/>
      <c r="J580" s="24"/>
    </row>
    <row r="581" spans="1:10" x14ac:dyDescent="0.35">
      <c r="A581" t="s">
        <v>699</v>
      </c>
      <c r="B581" s="92"/>
      <c r="C581" s="21"/>
      <c r="D581" s="4"/>
      <c r="E581" s="4"/>
      <c r="F581" s="24"/>
      <c r="G581" s="24"/>
      <c r="H581" s="24"/>
      <c r="I581" s="24"/>
      <c r="J581" s="24"/>
    </row>
    <row r="582" spans="1:10" x14ac:dyDescent="0.35">
      <c r="A582" t="s">
        <v>700</v>
      </c>
      <c r="B582" s="92"/>
      <c r="C582" s="21"/>
      <c r="D582" s="4"/>
      <c r="E582" s="4"/>
      <c r="F582" s="24"/>
      <c r="G582" s="24"/>
      <c r="H582" s="24"/>
      <c r="I582" s="24"/>
      <c r="J582" s="24"/>
    </row>
    <row r="583" spans="1:10" x14ac:dyDescent="0.35">
      <c r="A583" t="s">
        <v>701</v>
      </c>
      <c r="B583" s="92"/>
      <c r="C583" s="21"/>
      <c r="D583" s="4"/>
      <c r="E583" s="4"/>
      <c r="F583" s="24"/>
      <c r="G583" s="24"/>
      <c r="H583" s="24"/>
      <c r="I583" s="24"/>
      <c r="J583" s="24"/>
    </row>
    <row r="584" spans="1:10" x14ac:dyDescent="0.35">
      <c r="A584" t="s">
        <v>702</v>
      </c>
      <c r="B584" s="92"/>
      <c r="C584" s="21"/>
      <c r="D584" s="4"/>
      <c r="E584" s="4"/>
      <c r="F584" s="24"/>
      <c r="G584" s="24"/>
      <c r="H584" s="24"/>
      <c r="I584" s="24"/>
      <c r="J584" s="24"/>
    </row>
    <row r="585" spans="1:10" x14ac:dyDescent="0.35">
      <c r="A585" t="s">
        <v>703</v>
      </c>
      <c r="B585" s="92"/>
      <c r="C585" s="21"/>
      <c r="D585" s="4"/>
      <c r="E585" s="4"/>
      <c r="F585" s="24"/>
      <c r="G585" s="24"/>
      <c r="H585" s="24"/>
      <c r="I585" s="24"/>
      <c r="J585" s="24"/>
    </row>
    <row r="586" spans="1:10" x14ac:dyDescent="0.35">
      <c r="A586" t="s">
        <v>704</v>
      </c>
      <c r="B586" s="92"/>
      <c r="C586" s="21"/>
      <c r="D586" s="4"/>
      <c r="E586" s="4"/>
      <c r="F586" s="24"/>
      <c r="G586" s="24"/>
      <c r="H586" s="24"/>
      <c r="I586" s="24"/>
      <c r="J586" s="24"/>
    </row>
    <row r="587" spans="1:10" x14ac:dyDescent="0.35">
      <c r="A587" t="s">
        <v>705</v>
      </c>
      <c r="B587" s="92"/>
      <c r="C587" s="21"/>
      <c r="D587" s="4"/>
      <c r="E587" s="4"/>
      <c r="F587" s="24"/>
      <c r="G587" s="24"/>
      <c r="H587" s="24"/>
      <c r="I587" s="24"/>
      <c r="J587" s="24"/>
    </row>
    <row r="588" spans="1:10" x14ac:dyDescent="0.35">
      <c r="A588" t="s">
        <v>706</v>
      </c>
      <c r="B588" s="92"/>
      <c r="C588" s="21"/>
      <c r="D588" s="4"/>
      <c r="E588" s="4"/>
      <c r="F588" s="24"/>
      <c r="G588" s="24"/>
      <c r="H588" s="24"/>
      <c r="I588" s="24"/>
      <c r="J588" s="24"/>
    </row>
    <row r="589" spans="1:10" x14ac:dyDescent="0.35">
      <c r="A589" t="s">
        <v>707</v>
      </c>
      <c r="B589" s="92"/>
      <c r="C589" s="21"/>
      <c r="D589" s="4"/>
      <c r="E589" s="4"/>
      <c r="F589" s="24"/>
      <c r="G589" s="24"/>
      <c r="H589" s="24"/>
      <c r="I589" s="24"/>
      <c r="J589" s="24"/>
    </row>
    <row r="590" spans="1:10" x14ac:dyDescent="0.35">
      <c r="A590" t="s">
        <v>708</v>
      </c>
      <c r="B590" s="92"/>
      <c r="C590" s="21"/>
      <c r="D590" s="4"/>
      <c r="E590" s="4"/>
      <c r="F590" s="24"/>
      <c r="G590" s="24"/>
      <c r="H590" s="24"/>
      <c r="I590" s="24"/>
      <c r="J590" s="24"/>
    </row>
    <row r="591" spans="1:10" x14ac:dyDescent="0.35">
      <c r="A591" t="s">
        <v>709</v>
      </c>
      <c r="B591" s="92"/>
      <c r="C591" s="21"/>
      <c r="D591" s="4"/>
      <c r="E591" s="4"/>
      <c r="F591" s="24"/>
      <c r="G591" s="24"/>
      <c r="H591" s="24"/>
      <c r="I591" s="24"/>
      <c r="J591" s="24"/>
    </row>
    <row r="592" spans="1:10" x14ac:dyDescent="0.35">
      <c r="A592" t="s">
        <v>710</v>
      </c>
      <c r="B592" s="92"/>
      <c r="C592" s="21"/>
      <c r="D592" s="4"/>
      <c r="E592" s="4"/>
      <c r="F592" s="24"/>
      <c r="G592" s="24"/>
      <c r="H592" s="24"/>
      <c r="I592" s="24"/>
      <c r="J592" s="24"/>
    </row>
    <row r="593" spans="1:10" x14ac:dyDescent="0.35">
      <c r="A593" t="s">
        <v>711</v>
      </c>
      <c r="B593" s="92"/>
      <c r="C593" s="21"/>
      <c r="D593" s="4"/>
      <c r="E593" s="4"/>
      <c r="F593" s="24"/>
      <c r="G593" s="24"/>
      <c r="H593" s="24"/>
      <c r="I593" s="24"/>
      <c r="J593" s="24"/>
    </row>
    <row r="594" spans="1:10" x14ac:dyDescent="0.35">
      <c r="A594" t="s">
        <v>712</v>
      </c>
      <c r="B594" s="92"/>
      <c r="C594" s="21"/>
      <c r="D594" s="4"/>
      <c r="E594" s="4"/>
      <c r="F594" s="24"/>
      <c r="G594" s="24"/>
      <c r="H594" s="24"/>
      <c r="I594" s="24"/>
      <c r="J594" s="24"/>
    </row>
    <row r="595" spans="1:10" x14ac:dyDescent="0.35">
      <c r="A595" t="s">
        <v>713</v>
      </c>
      <c r="B595" s="92"/>
      <c r="C595" s="21"/>
      <c r="D595" s="4"/>
      <c r="E595" s="4"/>
      <c r="F595" s="24"/>
      <c r="G595" s="24"/>
      <c r="H595" s="24"/>
      <c r="I595" s="24"/>
      <c r="J595" s="24"/>
    </row>
    <row r="596" spans="1:10" x14ac:dyDescent="0.35">
      <c r="A596" t="s">
        <v>714</v>
      </c>
      <c r="B596" s="92"/>
      <c r="C596" s="21"/>
      <c r="D596" s="4"/>
      <c r="E596" s="4"/>
      <c r="F596" s="24"/>
      <c r="G596" s="24"/>
      <c r="H596" s="24"/>
      <c r="I596" s="24"/>
      <c r="J596" s="24"/>
    </row>
    <row r="597" spans="1:10" x14ac:dyDescent="0.35">
      <c r="A597" t="s">
        <v>715</v>
      </c>
      <c r="B597" s="92"/>
      <c r="C597" s="21"/>
      <c r="D597" s="4"/>
      <c r="E597" s="4"/>
      <c r="F597" s="24"/>
      <c r="G597" s="24"/>
      <c r="H597" s="24"/>
      <c r="I597" s="24"/>
      <c r="J597" s="24"/>
    </row>
    <row r="598" spans="1:10" x14ac:dyDescent="0.35">
      <c r="A598" t="s">
        <v>716</v>
      </c>
      <c r="B598" s="92"/>
      <c r="C598" s="21"/>
      <c r="D598" s="4"/>
      <c r="E598" s="4"/>
      <c r="F598" s="24"/>
      <c r="G598" s="24"/>
      <c r="H598" s="24"/>
      <c r="I598" s="24"/>
      <c r="J598" s="24"/>
    </row>
    <row r="599" spans="1:10" x14ac:dyDescent="0.35">
      <c r="A599" t="s">
        <v>717</v>
      </c>
      <c r="B599" s="92"/>
      <c r="C599" s="21"/>
      <c r="D599" s="4"/>
      <c r="E599" s="4"/>
      <c r="F599" s="24"/>
      <c r="G599" s="24"/>
      <c r="H599" s="24"/>
      <c r="I599" s="24"/>
      <c r="J599" s="24"/>
    </row>
    <row r="600" spans="1:10" x14ac:dyDescent="0.35">
      <c r="A600" t="s">
        <v>718</v>
      </c>
      <c r="B600" s="92"/>
      <c r="C600" s="21"/>
      <c r="D600" s="4"/>
      <c r="E600" s="4"/>
      <c r="F600" s="24"/>
      <c r="G600" s="24"/>
      <c r="H600" s="24"/>
      <c r="I600" s="24"/>
      <c r="J600" s="24"/>
    </row>
    <row r="601" spans="1:10" x14ac:dyDescent="0.35">
      <c r="A601" t="s">
        <v>719</v>
      </c>
      <c r="B601" s="92"/>
      <c r="C601" s="21"/>
      <c r="D601" s="4"/>
      <c r="E601" s="4"/>
      <c r="F601" s="24"/>
      <c r="G601" s="24"/>
      <c r="H601" s="24"/>
      <c r="I601" s="24"/>
      <c r="J601" s="24"/>
    </row>
    <row r="602" spans="1:10" x14ac:dyDescent="0.35">
      <c r="A602" t="s">
        <v>720</v>
      </c>
      <c r="B602" s="92"/>
      <c r="C602" s="21"/>
      <c r="D602" s="4"/>
      <c r="E602" s="4"/>
      <c r="F602" s="24"/>
      <c r="G602" s="24"/>
      <c r="H602" s="24"/>
      <c r="I602" s="24"/>
      <c r="J602" s="24"/>
    </row>
    <row r="603" spans="1:10" x14ac:dyDescent="0.35">
      <c r="A603" t="s">
        <v>721</v>
      </c>
      <c r="B603" s="92"/>
      <c r="C603" s="21"/>
      <c r="D603" s="4"/>
      <c r="E603" s="4"/>
      <c r="F603" s="24"/>
      <c r="G603" s="24"/>
      <c r="H603" s="24"/>
      <c r="I603" s="24"/>
      <c r="J603" s="24"/>
    </row>
    <row r="604" spans="1:10" x14ac:dyDescent="0.35">
      <c r="A604" t="s">
        <v>722</v>
      </c>
      <c r="B604" s="92"/>
      <c r="C604" s="21"/>
      <c r="D604" s="4"/>
      <c r="E604" s="4"/>
      <c r="F604" s="24"/>
      <c r="G604" s="24"/>
      <c r="H604" s="24"/>
      <c r="I604" s="24"/>
      <c r="J604" s="24"/>
    </row>
    <row r="605" spans="1:10" x14ac:dyDescent="0.35">
      <c r="A605" t="s">
        <v>723</v>
      </c>
      <c r="B605" s="92"/>
      <c r="C605" s="21"/>
      <c r="D605" s="4"/>
      <c r="E605" s="4"/>
      <c r="F605" s="24"/>
      <c r="G605" s="24"/>
      <c r="H605" s="24"/>
      <c r="I605" s="24"/>
      <c r="J605" s="24"/>
    </row>
    <row r="606" spans="1:10" x14ac:dyDescent="0.35">
      <c r="A606" t="s">
        <v>724</v>
      </c>
      <c r="B606" s="92"/>
      <c r="C606" s="21"/>
      <c r="D606" s="4"/>
      <c r="E606" s="4"/>
      <c r="F606" s="24"/>
      <c r="G606" s="24"/>
      <c r="H606" s="24"/>
      <c r="I606" s="24"/>
      <c r="J606" s="24"/>
    </row>
    <row r="607" spans="1:10" x14ac:dyDescent="0.35">
      <c r="A607" t="s">
        <v>725</v>
      </c>
      <c r="B607" s="92"/>
      <c r="C607" s="21"/>
      <c r="D607" s="4"/>
      <c r="E607" s="4"/>
      <c r="F607" s="24"/>
      <c r="G607" s="24"/>
      <c r="H607" s="24"/>
      <c r="I607" s="24"/>
      <c r="J607" s="24"/>
    </row>
    <row r="608" spans="1:10" x14ac:dyDescent="0.35">
      <c r="A608" t="s">
        <v>726</v>
      </c>
      <c r="B608" s="92"/>
      <c r="C608" s="21"/>
      <c r="D608" s="4"/>
      <c r="E608" s="4"/>
      <c r="F608" s="24"/>
      <c r="G608" s="24"/>
      <c r="H608" s="24"/>
      <c r="I608" s="24"/>
      <c r="J608" s="24"/>
    </row>
    <row r="609" spans="1:10" x14ac:dyDescent="0.35">
      <c r="A609" t="s">
        <v>727</v>
      </c>
      <c r="B609" s="92"/>
      <c r="C609" s="21"/>
      <c r="D609" s="4"/>
      <c r="E609" s="4"/>
      <c r="F609" s="24"/>
      <c r="G609" s="24"/>
      <c r="H609" s="24"/>
      <c r="I609" s="24"/>
      <c r="J609" s="24"/>
    </row>
    <row r="610" spans="1:10" x14ac:dyDescent="0.35">
      <c r="A610" t="s">
        <v>728</v>
      </c>
      <c r="B610" s="92"/>
      <c r="C610" s="21"/>
      <c r="D610" s="4"/>
      <c r="E610" s="4"/>
      <c r="F610" s="24"/>
      <c r="G610" s="24"/>
      <c r="H610" s="24"/>
      <c r="I610" s="24"/>
      <c r="J610" s="24"/>
    </row>
    <row r="611" spans="1:10" x14ac:dyDescent="0.35">
      <c r="A611" t="s">
        <v>729</v>
      </c>
      <c r="B611" s="92"/>
      <c r="C611" s="21"/>
      <c r="D611" s="4"/>
      <c r="E611" s="4"/>
      <c r="F611" s="24"/>
      <c r="G611" s="24"/>
      <c r="H611" s="24"/>
      <c r="I611" s="24"/>
      <c r="J611" s="24"/>
    </row>
    <row r="612" spans="1:10" x14ac:dyDescent="0.35">
      <c r="A612" t="s">
        <v>730</v>
      </c>
      <c r="B612" s="92"/>
      <c r="C612" s="21"/>
      <c r="D612" s="4"/>
      <c r="E612" s="4"/>
      <c r="F612" s="24"/>
      <c r="G612" s="24"/>
      <c r="H612" s="24"/>
      <c r="I612" s="24"/>
      <c r="J612" s="24"/>
    </row>
    <row r="613" spans="1:10" x14ac:dyDescent="0.35">
      <c r="A613" t="s">
        <v>731</v>
      </c>
      <c r="B613" s="92"/>
      <c r="C613" s="21"/>
      <c r="D613" s="4"/>
      <c r="E613" s="4"/>
      <c r="F613" s="24"/>
      <c r="G613" s="24"/>
      <c r="H613" s="24"/>
      <c r="I613" s="24"/>
      <c r="J613" s="24"/>
    </row>
    <row r="614" spans="1:10" x14ac:dyDescent="0.35">
      <c r="A614" t="s">
        <v>732</v>
      </c>
      <c r="B614" s="92"/>
      <c r="C614" s="21"/>
      <c r="D614" s="4"/>
      <c r="E614" s="4"/>
      <c r="F614" s="24"/>
      <c r="G614" s="24"/>
      <c r="H614" s="24"/>
      <c r="I614" s="24"/>
      <c r="J614" s="24"/>
    </row>
    <row r="615" spans="1:10" x14ac:dyDescent="0.35">
      <c r="A615" t="s">
        <v>733</v>
      </c>
      <c r="B615" s="92"/>
      <c r="C615" s="21"/>
      <c r="D615" s="4"/>
      <c r="E615" s="4"/>
      <c r="F615" s="24"/>
      <c r="G615" s="24"/>
      <c r="H615" s="24"/>
      <c r="I615" s="24"/>
      <c r="J615" s="24"/>
    </row>
    <row r="616" spans="1:10" x14ac:dyDescent="0.35">
      <c r="A616" t="s">
        <v>734</v>
      </c>
      <c r="B616" s="92"/>
      <c r="C616" s="21"/>
      <c r="D616" s="4"/>
      <c r="E616" s="4"/>
      <c r="F616" s="24"/>
      <c r="G616" s="24"/>
      <c r="H616" s="24"/>
      <c r="I616" s="24"/>
      <c r="J616" s="24"/>
    </row>
    <row r="617" spans="1:10" x14ac:dyDescent="0.35">
      <c r="A617" t="s">
        <v>735</v>
      </c>
      <c r="B617" s="92"/>
      <c r="C617" s="21"/>
      <c r="D617" s="4"/>
      <c r="E617" s="4"/>
      <c r="F617" s="24"/>
      <c r="G617" s="24"/>
      <c r="H617" s="24"/>
      <c r="I617" s="24"/>
      <c r="J617" s="24"/>
    </row>
    <row r="618" spans="1:10" x14ac:dyDescent="0.35">
      <c r="A618" t="s">
        <v>736</v>
      </c>
      <c r="B618" s="92"/>
      <c r="C618" s="21"/>
      <c r="D618" s="4"/>
      <c r="E618" s="4"/>
      <c r="F618" s="24"/>
      <c r="G618" s="24"/>
      <c r="H618" s="24"/>
      <c r="I618" s="24"/>
      <c r="J618" s="24"/>
    </row>
    <row r="619" spans="1:10" x14ac:dyDescent="0.35">
      <c r="A619" t="s">
        <v>737</v>
      </c>
      <c r="B619" s="92"/>
      <c r="C619" s="21"/>
      <c r="D619" s="4"/>
      <c r="E619" s="4"/>
      <c r="F619" s="24"/>
      <c r="G619" s="24"/>
      <c r="H619" s="24"/>
      <c r="I619" s="24"/>
      <c r="J619" s="24"/>
    </row>
    <row r="620" spans="1:10" x14ac:dyDescent="0.35">
      <c r="A620" t="s">
        <v>738</v>
      </c>
      <c r="B620" s="92"/>
      <c r="C620" s="21"/>
      <c r="D620" s="4"/>
      <c r="E620" s="4"/>
      <c r="F620" s="24"/>
      <c r="G620" s="24"/>
      <c r="H620" s="24"/>
      <c r="I620" s="24"/>
      <c r="J620" s="24"/>
    </row>
    <row r="621" spans="1:10" x14ac:dyDescent="0.35">
      <c r="A621" t="s">
        <v>739</v>
      </c>
      <c r="B621" s="92"/>
      <c r="C621" s="21"/>
      <c r="D621" s="4"/>
      <c r="E621" s="4"/>
      <c r="F621" s="24"/>
      <c r="G621" s="24"/>
      <c r="H621" s="24"/>
      <c r="I621" s="24"/>
      <c r="J621" s="24"/>
    </row>
    <row r="622" spans="1:10" x14ac:dyDescent="0.35">
      <c r="A622" t="s">
        <v>740</v>
      </c>
      <c r="B622" s="92"/>
      <c r="C622" s="21"/>
      <c r="D622" s="4"/>
      <c r="E622" s="4"/>
      <c r="F622" s="24"/>
      <c r="G622" s="24"/>
      <c r="H622" s="24"/>
      <c r="I622" s="24"/>
      <c r="J622" s="24"/>
    </row>
    <row r="623" spans="1:10" x14ac:dyDescent="0.35">
      <c r="A623" t="s">
        <v>741</v>
      </c>
      <c r="B623" s="92"/>
      <c r="C623" s="21"/>
      <c r="D623" s="4"/>
      <c r="E623" s="4"/>
      <c r="F623" s="24"/>
      <c r="G623" s="24"/>
      <c r="H623" s="24"/>
      <c r="I623" s="24"/>
      <c r="J623" s="24"/>
    </row>
    <row r="624" spans="1:10" x14ac:dyDescent="0.35">
      <c r="A624" t="s">
        <v>742</v>
      </c>
      <c r="B624" s="92"/>
      <c r="C624" s="21"/>
      <c r="D624" s="4"/>
      <c r="E624" s="4"/>
      <c r="F624" s="24"/>
      <c r="G624" s="24"/>
      <c r="H624" s="24"/>
      <c r="I624" s="24"/>
      <c r="J624" s="24"/>
    </row>
    <row r="625" spans="1:10" x14ac:dyDescent="0.35">
      <c r="A625" t="s">
        <v>743</v>
      </c>
      <c r="B625" s="92"/>
      <c r="C625" s="21"/>
      <c r="D625" s="4"/>
      <c r="E625" s="4"/>
      <c r="F625" s="24"/>
      <c r="G625" s="24"/>
      <c r="H625" s="24"/>
      <c r="I625" s="24"/>
      <c r="J625" s="24"/>
    </row>
    <row r="626" spans="1:10" x14ac:dyDescent="0.35">
      <c r="A626" t="s">
        <v>744</v>
      </c>
      <c r="B626" s="92"/>
      <c r="C626" s="21"/>
      <c r="D626" s="4"/>
      <c r="E626" s="4"/>
      <c r="F626" s="24"/>
      <c r="G626" s="24"/>
      <c r="H626" s="24"/>
      <c r="I626" s="24"/>
      <c r="J626" s="24"/>
    </row>
    <row r="627" spans="1:10" x14ac:dyDescent="0.35">
      <c r="A627" t="s">
        <v>745</v>
      </c>
      <c r="B627" s="92"/>
      <c r="C627" s="21"/>
      <c r="D627" s="4"/>
      <c r="E627" s="4"/>
      <c r="F627" s="24"/>
      <c r="G627" s="24"/>
      <c r="H627" s="24"/>
      <c r="I627" s="24"/>
      <c r="J627" s="24"/>
    </row>
    <row r="628" spans="1:10" x14ac:dyDescent="0.35">
      <c r="A628" t="s">
        <v>746</v>
      </c>
      <c r="B628" s="92"/>
      <c r="C628" s="21"/>
      <c r="D628" s="4"/>
      <c r="E628" s="4"/>
      <c r="F628" s="24"/>
      <c r="G628" s="24"/>
      <c r="H628" s="24"/>
      <c r="I628" s="24"/>
      <c r="J628" s="24"/>
    </row>
    <row r="629" spans="1:10" x14ac:dyDescent="0.35">
      <c r="A629" t="s">
        <v>747</v>
      </c>
      <c r="B629" s="92"/>
      <c r="C629" s="21"/>
      <c r="D629" s="4"/>
      <c r="E629" s="4"/>
      <c r="F629" s="24"/>
      <c r="G629" s="24"/>
      <c r="H629" s="24"/>
      <c r="I629" s="24"/>
      <c r="J629" s="24"/>
    </row>
    <row r="630" spans="1:10" x14ac:dyDescent="0.35">
      <c r="A630" t="s">
        <v>748</v>
      </c>
      <c r="B630" s="92"/>
      <c r="C630" s="21"/>
      <c r="D630" s="4"/>
      <c r="E630" s="4"/>
      <c r="F630" s="24"/>
      <c r="G630" s="24"/>
      <c r="H630" s="24"/>
      <c r="I630" s="24"/>
      <c r="J630" s="24"/>
    </row>
    <row r="631" spans="1:10" x14ac:dyDescent="0.35">
      <c r="A631" t="s">
        <v>749</v>
      </c>
      <c r="B631" s="92"/>
      <c r="C631" s="21"/>
      <c r="D631" s="4"/>
      <c r="E631" s="4"/>
      <c r="F631" s="24"/>
      <c r="G631" s="24"/>
      <c r="H631" s="24"/>
      <c r="I631" s="24"/>
      <c r="J631" s="24"/>
    </row>
    <row r="632" spans="1:10" x14ac:dyDescent="0.35">
      <c r="A632" t="s">
        <v>750</v>
      </c>
      <c r="B632" s="92"/>
      <c r="C632" s="21"/>
      <c r="D632" s="4"/>
      <c r="E632" s="4"/>
      <c r="F632" s="24"/>
      <c r="G632" s="24"/>
      <c r="H632" s="24"/>
      <c r="I632" s="24"/>
      <c r="J632" s="24"/>
    </row>
    <row r="633" spans="1:10" x14ac:dyDescent="0.35">
      <c r="A633" t="s">
        <v>751</v>
      </c>
      <c r="B633" s="92"/>
      <c r="C633" s="21"/>
      <c r="D633" s="4"/>
      <c r="E633" s="4"/>
      <c r="F633" s="24"/>
      <c r="G633" s="24"/>
      <c r="H633" s="24"/>
      <c r="I633" s="24"/>
      <c r="J633" s="24"/>
    </row>
    <row r="634" spans="1:10" x14ac:dyDescent="0.35">
      <c r="A634" t="s">
        <v>752</v>
      </c>
      <c r="B634" s="92"/>
      <c r="C634" s="21"/>
      <c r="D634" s="4"/>
      <c r="E634" s="4"/>
      <c r="F634" s="24"/>
      <c r="G634" s="24"/>
      <c r="H634" s="24"/>
      <c r="I634" s="24"/>
      <c r="J634" s="24"/>
    </row>
    <row r="635" spans="1:10" x14ac:dyDescent="0.35">
      <c r="A635" t="s">
        <v>753</v>
      </c>
      <c r="B635" s="92"/>
      <c r="C635" s="21"/>
      <c r="D635" s="4"/>
      <c r="E635" s="4"/>
      <c r="F635" s="24"/>
      <c r="G635" s="24"/>
      <c r="H635" s="24"/>
      <c r="I635" s="24"/>
      <c r="J635" s="24"/>
    </row>
    <row r="636" spans="1:10" x14ac:dyDescent="0.35">
      <c r="A636" t="s">
        <v>754</v>
      </c>
      <c r="B636" s="92"/>
      <c r="C636" s="21"/>
      <c r="D636" s="4"/>
      <c r="E636" s="4"/>
      <c r="F636" s="24"/>
      <c r="G636" s="24"/>
      <c r="H636" s="24"/>
      <c r="I636" s="24"/>
      <c r="J636" s="24"/>
    </row>
    <row r="637" spans="1:10" x14ac:dyDescent="0.35">
      <c r="A637" t="s">
        <v>755</v>
      </c>
      <c r="B637" s="92"/>
      <c r="C637" s="21"/>
      <c r="D637" s="4"/>
      <c r="E637" s="4"/>
      <c r="F637" s="24"/>
      <c r="G637" s="24"/>
      <c r="H637" s="24"/>
      <c r="I637" s="24"/>
      <c r="J637" s="24"/>
    </row>
    <row r="638" spans="1:10" x14ac:dyDescent="0.35">
      <c r="A638" t="s">
        <v>756</v>
      </c>
      <c r="B638" s="92"/>
      <c r="C638" s="21"/>
      <c r="D638" s="4"/>
      <c r="E638" s="4"/>
      <c r="F638" s="24"/>
      <c r="G638" s="24"/>
      <c r="H638" s="24"/>
      <c r="I638" s="24"/>
      <c r="J638" s="24"/>
    </row>
    <row r="639" spans="1:10" x14ac:dyDescent="0.35">
      <c r="A639" t="s">
        <v>757</v>
      </c>
      <c r="B639" s="92"/>
      <c r="C639" s="21"/>
      <c r="D639" s="4"/>
      <c r="E639" s="4"/>
      <c r="F639" s="24"/>
      <c r="G639" s="24"/>
      <c r="H639" s="24"/>
      <c r="I639" s="24"/>
      <c r="J639" s="24"/>
    </row>
    <row r="640" spans="1:10" x14ac:dyDescent="0.35">
      <c r="A640" t="s">
        <v>758</v>
      </c>
      <c r="B640" s="92"/>
      <c r="C640" s="21"/>
      <c r="D640" s="4"/>
      <c r="E640" s="4"/>
      <c r="F640" s="24"/>
      <c r="G640" s="24"/>
      <c r="H640" s="24"/>
      <c r="I640" s="24"/>
      <c r="J640" s="24"/>
    </row>
    <row r="641" spans="1:10" x14ac:dyDescent="0.35">
      <c r="A641" t="s">
        <v>759</v>
      </c>
      <c r="B641" s="92"/>
      <c r="C641" s="21"/>
      <c r="D641" s="4"/>
      <c r="E641" s="4"/>
      <c r="F641" s="24"/>
      <c r="G641" s="24"/>
      <c r="H641" s="24"/>
      <c r="I641" s="24"/>
      <c r="J641" s="24"/>
    </row>
    <row r="642" spans="1:10" x14ac:dyDescent="0.35">
      <c r="A642" t="s">
        <v>760</v>
      </c>
      <c r="B642" s="92"/>
      <c r="C642" s="21"/>
      <c r="D642" s="4"/>
      <c r="E642" s="4"/>
      <c r="F642" s="24"/>
      <c r="G642" s="24"/>
      <c r="H642" s="24"/>
      <c r="I642" s="24"/>
      <c r="J642" s="24"/>
    </row>
    <row r="643" spans="1:10" x14ac:dyDescent="0.35">
      <c r="A643" t="s">
        <v>761</v>
      </c>
      <c r="B643" s="92"/>
      <c r="C643" s="21"/>
      <c r="D643" s="4"/>
      <c r="E643" s="4"/>
      <c r="F643" s="24"/>
      <c r="G643" s="24"/>
      <c r="H643" s="24"/>
      <c r="I643" s="24"/>
      <c r="J643" s="24"/>
    </row>
    <row r="644" spans="1:10" x14ac:dyDescent="0.35">
      <c r="A644" t="s">
        <v>762</v>
      </c>
      <c r="B644" s="92"/>
      <c r="C644" s="21"/>
      <c r="D644" s="4"/>
      <c r="E644" s="4"/>
      <c r="F644" s="24"/>
      <c r="G644" s="24"/>
      <c r="H644" s="24"/>
      <c r="I644" s="24"/>
      <c r="J644" s="24"/>
    </row>
    <row r="645" spans="1:10" x14ac:dyDescent="0.35">
      <c r="A645" t="s">
        <v>763</v>
      </c>
      <c r="B645" s="92"/>
      <c r="C645" s="21"/>
      <c r="D645" s="4"/>
      <c r="E645" s="4"/>
      <c r="F645" s="24"/>
      <c r="G645" s="24"/>
      <c r="H645" s="24"/>
      <c r="I645" s="24"/>
      <c r="J645" s="24"/>
    </row>
    <row r="646" spans="1:10" x14ac:dyDescent="0.35">
      <c r="A646" t="s">
        <v>764</v>
      </c>
      <c r="B646" s="92"/>
      <c r="C646" s="21"/>
      <c r="D646" s="4"/>
      <c r="E646" s="4"/>
      <c r="F646" s="24"/>
      <c r="G646" s="24"/>
      <c r="H646" s="24"/>
      <c r="I646" s="24"/>
      <c r="J646" s="24"/>
    </row>
    <row r="647" spans="1:10" x14ac:dyDescent="0.35">
      <c r="A647" t="s">
        <v>765</v>
      </c>
      <c r="B647" s="92"/>
      <c r="C647" s="21"/>
      <c r="D647" s="4"/>
      <c r="E647" s="4"/>
      <c r="F647" s="24"/>
      <c r="G647" s="24"/>
      <c r="H647" s="24"/>
      <c r="I647" s="24"/>
      <c r="J647" s="24"/>
    </row>
    <row r="648" spans="1:10" x14ac:dyDescent="0.35">
      <c r="A648" t="s">
        <v>766</v>
      </c>
      <c r="B648" s="92"/>
      <c r="C648" s="21"/>
      <c r="D648" s="4"/>
      <c r="E648" s="4"/>
      <c r="F648" s="24"/>
      <c r="G648" s="24"/>
      <c r="H648" s="24"/>
      <c r="I648" s="24"/>
      <c r="J648" s="24"/>
    </row>
    <row r="649" spans="1:10" x14ac:dyDescent="0.35">
      <c r="A649" t="s">
        <v>767</v>
      </c>
      <c r="B649" s="92"/>
      <c r="C649" s="21"/>
      <c r="D649" s="4"/>
      <c r="E649" s="4"/>
      <c r="F649" s="24"/>
      <c r="G649" s="24"/>
      <c r="H649" s="24"/>
      <c r="I649" s="24"/>
      <c r="J649" s="24"/>
    </row>
    <row r="650" spans="1:10" x14ac:dyDescent="0.35">
      <c r="A650" t="s">
        <v>768</v>
      </c>
      <c r="B650" s="92"/>
      <c r="C650" s="21"/>
      <c r="D650" s="4"/>
      <c r="E650" s="4"/>
      <c r="F650" s="24"/>
      <c r="G650" s="24"/>
      <c r="H650" s="24"/>
      <c r="I650" s="24"/>
      <c r="J650" s="24"/>
    </row>
    <row r="651" spans="1:10" x14ac:dyDescent="0.35">
      <c r="A651" t="s">
        <v>769</v>
      </c>
      <c r="B651" s="92"/>
      <c r="C651" s="21"/>
      <c r="D651" s="4"/>
      <c r="E651" s="4"/>
      <c r="F651" s="24"/>
      <c r="G651" s="24"/>
      <c r="H651" s="24"/>
      <c r="I651" s="24"/>
      <c r="J651" s="24"/>
    </row>
    <row r="652" spans="1:10" x14ac:dyDescent="0.35">
      <c r="A652" t="s">
        <v>770</v>
      </c>
      <c r="B652" s="92"/>
      <c r="C652" s="21"/>
      <c r="D652" s="4"/>
      <c r="E652" s="4"/>
      <c r="F652" s="24"/>
      <c r="G652" s="24"/>
      <c r="H652" s="24"/>
      <c r="I652" s="24"/>
      <c r="J652" s="24"/>
    </row>
    <row r="653" spans="1:10" x14ac:dyDescent="0.35">
      <c r="A653" t="s">
        <v>771</v>
      </c>
      <c r="B653" s="92"/>
      <c r="C653" s="21"/>
      <c r="D653" s="4"/>
      <c r="E653" s="4"/>
      <c r="F653" s="24"/>
      <c r="G653" s="24"/>
      <c r="H653" s="24"/>
      <c r="I653" s="24"/>
      <c r="J653" s="24"/>
    </row>
    <row r="654" spans="1:10" x14ac:dyDescent="0.35">
      <c r="A654" t="s">
        <v>772</v>
      </c>
      <c r="B654" s="92"/>
      <c r="C654" s="21"/>
      <c r="D654" s="4"/>
      <c r="E654" s="4"/>
      <c r="F654" s="24"/>
      <c r="G654" s="24"/>
      <c r="H654" s="24"/>
      <c r="I654" s="24"/>
      <c r="J654" s="24"/>
    </row>
    <row r="655" spans="1:10" x14ac:dyDescent="0.35">
      <c r="A655" t="s">
        <v>773</v>
      </c>
      <c r="B655" s="92"/>
      <c r="C655" s="21"/>
      <c r="D655" s="4"/>
      <c r="E655" s="4"/>
      <c r="F655" s="24"/>
      <c r="G655" s="24"/>
      <c r="H655" s="24"/>
      <c r="I655" s="24"/>
      <c r="J655" s="24"/>
    </row>
    <row r="656" spans="1:10" x14ac:dyDescent="0.35">
      <c r="A656" t="s">
        <v>774</v>
      </c>
      <c r="B656" s="92"/>
      <c r="C656" s="21"/>
      <c r="D656" s="4"/>
      <c r="E656" s="4"/>
      <c r="F656" s="24"/>
      <c r="G656" s="24"/>
      <c r="H656" s="24"/>
      <c r="I656" s="24"/>
      <c r="J656" s="24"/>
    </row>
    <row r="657" spans="1:10" x14ac:dyDescent="0.35">
      <c r="A657" t="s">
        <v>775</v>
      </c>
      <c r="B657" s="92"/>
      <c r="C657" s="21"/>
      <c r="D657" s="4"/>
      <c r="E657" s="4"/>
      <c r="F657" s="24"/>
      <c r="G657" s="24"/>
      <c r="H657" s="24"/>
      <c r="I657" s="24"/>
      <c r="J657" s="24"/>
    </row>
    <row r="658" spans="1:10" x14ac:dyDescent="0.35">
      <c r="A658" t="s">
        <v>776</v>
      </c>
      <c r="B658" s="92"/>
      <c r="C658" s="21"/>
      <c r="D658" s="4"/>
      <c r="E658" s="4"/>
      <c r="F658" s="24"/>
      <c r="G658" s="24"/>
      <c r="H658" s="24"/>
      <c r="I658" s="24"/>
      <c r="J658" s="24"/>
    </row>
    <row r="659" spans="1:10" x14ac:dyDescent="0.35">
      <c r="A659" t="s">
        <v>777</v>
      </c>
      <c r="B659" s="92"/>
      <c r="C659" s="21"/>
      <c r="D659" s="4"/>
      <c r="E659" s="4"/>
      <c r="F659" s="24"/>
      <c r="G659" s="24"/>
      <c r="H659" s="24"/>
      <c r="I659" s="24"/>
      <c r="J659" s="24"/>
    </row>
    <row r="660" spans="1:10" x14ac:dyDescent="0.35">
      <c r="A660" t="s">
        <v>778</v>
      </c>
      <c r="B660" s="92"/>
      <c r="C660" s="21"/>
      <c r="D660" s="4"/>
      <c r="E660" s="4"/>
      <c r="F660" s="24"/>
      <c r="G660" s="24"/>
      <c r="H660" s="24"/>
      <c r="I660" s="24"/>
      <c r="J660" s="24"/>
    </row>
    <row r="661" spans="1:10" x14ac:dyDescent="0.35">
      <c r="A661" t="s">
        <v>779</v>
      </c>
      <c r="B661" s="92"/>
      <c r="C661" s="21"/>
      <c r="D661" s="4"/>
      <c r="E661" s="4"/>
      <c r="F661" s="24"/>
      <c r="G661" s="24"/>
      <c r="H661" s="24"/>
      <c r="I661" s="24"/>
      <c r="J661" s="24"/>
    </row>
    <row r="662" spans="1:10" x14ac:dyDescent="0.35">
      <c r="A662" t="s">
        <v>780</v>
      </c>
      <c r="B662" s="92"/>
      <c r="C662" s="21"/>
      <c r="D662" s="4"/>
      <c r="E662" s="4"/>
      <c r="F662" s="24"/>
      <c r="G662" s="24"/>
      <c r="H662" s="24"/>
      <c r="I662" s="24"/>
      <c r="J662" s="24"/>
    </row>
    <row r="663" spans="1:10" x14ac:dyDescent="0.35">
      <c r="A663" t="s">
        <v>781</v>
      </c>
      <c r="B663" s="92"/>
      <c r="C663" s="21"/>
      <c r="D663" s="4"/>
      <c r="E663" s="4"/>
      <c r="F663" s="24"/>
      <c r="G663" s="24"/>
      <c r="H663" s="24"/>
      <c r="I663" s="24"/>
      <c r="J663" s="24"/>
    </row>
    <row r="664" spans="1:10" x14ac:dyDescent="0.35">
      <c r="A664" t="s">
        <v>782</v>
      </c>
      <c r="B664" s="92"/>
      <c r="C664" s="21"/>
      <c r="D664" s="4"/>
      <c r="E664" s="4"/>
      <c r="F664" s="24"/>
      <c r="G664" s="24"/>
      <c r="H664" s="24"/>
      <c r="I664" s="24"/>
      <c r="J664" s="24"/>
    </row>
    <row r="665" spans="1:10" x14ac:dyDescent="0.35">
      <c r="A665" t="s">
        <v>783</v>
      </c>
      <c r="B665" s="92"/>
      <c r="C665" s="21"/>
      <c r="D665" s="4"/>
      <c r="E665" s="4"/>
      <c r="F665" s="24"/>
      <c r="G665" s="24"/>
      <c r="H665" s="24"/>
      <c r="I665" s="24"/>
      <c r="J665" s="24"/>
    </row>
    <row r="666" spans="1:10" x14ac:dyDescent="0.35">
      <c r="A666" t="s">
        <v>784</v>
      </c>
      <c r="B666" s="92"/>
      <c r="C666" s="21"/>
      <c r="D666" s="4"/>
      <c r="E666" s="4"/>
      <c r="F666" s="24"/>
      <c r="G666" s="24"/>
      <c r="H666" s="24"/>
      <c r="I666" s="24"/>
      <c r="J666" s="24"/>
    </row>
    <row r="667" spans="1:10" x14ac:dyDescent="0.35">
      <c r="A667" t="s">
        <v>785</v>
      </c>
      <c r="B667" s="92"/>
      <c r="C667" s="21"/>
      <c r="D667" s="4"/>
      <c r="E667" s="4"/>
      <c r="F667" s="24"/>
      <c r="G667" s="24"/>
      <c r="H667" s="24"/>
      <c r="I667" s="24"/>
      <c r="J667" s="24"/>
    </row>
    <row r="668" spans="1:10" x14ac:dyDescent="0.35">
      <c r="A668" t="s">
        <v>786</v>
      </c>
      <c r="B668" s="92"/>
      <c r="C668" s="21"/>
      <c r="D668" s="4"/>
      <c r="E668" s="4"/>
      <c r="F668" s="24"/>
      <c r="G668" s="24"/>
      <c r="H668" s="24"/>
      <c r="I668" s="24"/>
      <c r="J668" s="24"/>
    </row>
    <row r="669" spans="1:10" x14ac:dyDescent="0.35">
      <c r="A669" t="s">
        <v>787</v>
      </c>
      <c r="B669" s="92"/>
      <c r="C669" s="21"/>
      <c r="D669" s="4"/>
      <c r="E669" s="4"/>
      <c r="F669" s="24"/>
      <c r="G669" s="24"/>
      <c r="H669" s="24"/>
      <c r="I669" s="24"/>
      <c r="J669" s="24"/>
    </row>
    <row r="670" spans="1:10" x14ac:dyDescent="0.35">
      <c r="A670" t="s">
        <v>788</v>
      </c>
      <c r="B670" s="92"/>
      <c r="C670" s="21"/>
      <c r="D670" s="4"/>
      <c r="E670" s="4"/>
      <c r="F670" s="24"/>
      <c r="G670" s="24"/>
      <c r="H670" s="24"/>
      <c r="I670" s="24"/>
      <c r="J670" s="24"/>
    </row>
    <row r="671" spans="1:10" x14ac:dyDescent="0.35">
      <c r="A671" t="s">
        <v>789</v>
      </c>
      <c r="B671" s="92"/>
      <c r="C671" s="21"/>
      <c r="D671" s="4"/>
      <c r="E671" s="4"/>
      <c r="F671" s="24"/>
      <c r="G671" s="24"/>
      <c r="H671" s="24"/>
      <c r="I671" s="24"/>
      <c r="J671" s="24"/>
    </row>
    <row r="672" spans="1:10" x14ac:dyDescent="0.35">
      <c r="A672" t="s">
        <v>790</v>
      </c>
      <c r="B672" s="92"/>
      <c r="C672" s="21"/>
      <c r="D672" s="4"/>
      <c r="E672" s="4"/>
      <c r="F672" s="24"/>
      <c r="G672" s="24"/>
      <c r="H672" s="24"/>
      <c r="I672" s="24"/>
      <c r="J672" s="24"/>
    </row>
    <row r="673" spans="1:10" x14ac:dyDescent="0.35">
      <c r="A673" t="s">
        <v>791</v>
      </c>
      <c r="B673" s="92"/>
      <c r="C673" s="21"/>
      <c r="D673" s="4"/>
      <c r="E673" s="4"/>
      <c r="F673" s="24"/>
      <c r="G673" s="24"/>
      <c r="H673" s="24"/>
      <c r="I673" s="24"/>
      <c r="J673" s="24"/>
    </row>
    <row r="674" spans="1:10" x14ac:dyDescent="0.35">
      <c r="A674" t="s">
        <v>792</v>
      </c>
      <c r="B674" s="92"/>
      <c r="C674" s="21"/>
      <c r="D674" s="4"/>
      <c r="E674" s="4"/>
      <c r="F674" s="24"/>
      <c r="G674" s="24"/>
      <c r="H674" s="24"/>
      <c r="I674" s="24"/>
      <c r="J674" s="24"/>
    </row>
    <row r="675" spans="1:10" x14ac:dyDescent="0.35">
      <c r="A675" t="s">
        <v>793</v>
      </c>
      <c r="B675" s="92"/>
      <c r="C675" s="21"/>
      <c r="D675" s="4"/>
      <c r="E675" s="4"/>
      <c r="F675" s="24"/>
      <c r="G675" s="24"/>
      <c r="H675" s="24"/>
      <c r="I675" s="24"/>
      <c r="J675" s="24"/>
    </row>
    <row r="676" spans="1:10" x14ac:dyDescent="0.35">
      <c r="A676" t="s">
        <v>794</v>
      </c>
      <c r="B676" s="92"/>
      <c r="C676" s="21"/>
      <c r="D676" s="4"/>
      <c r="E676" s="4"/>
      <c r="F676" s="24"/>
      <c r="G676" s="24"/>
      <c r="H676" s="24"/>
      <c r="I676" s="24"/>
      <c r="J676" s="24"/>
    </row>
    <row r="677" spans="1:10" x14ac:dyDescent="0.35">
      <c r="A677" t="s">
        <v>795</v>
      </c>
      <c r="B677" s="92"/>
      <c r="C677" s="21"/>
      <c r="D677" s="4"/>
      <c r="E677" s="4"/>
      <c r="F677" s="24"/>
      <c r="G677" s="24"/>
      <c r="H677" s="24"/>
      <c r="I677" s="24"/>
      <c r="J677" s="24"/>
    </row>
    <row r="678" spans="1:10" x14ac:dyDescent="0.35">
      <c r="A678" t="s">
        <v>796</v>
      </c>
      <c r="B678" s="92"/>
      <c r="C678" s="21"/>
      <c r="D678" s="4"/>
      <c r="E678" s="4"/>
      <c r="F678" s="24"/>
      <c r="G678" s="24"/>
      <c r="H678" s="24"/>
      <c r="I678" s="24"/>
      <c r="J678" s="24"/>
    </row>
    <row r="679" spans="1:10" x14ac:dyDescent="0.35">
      <c r="A679" t="s">
        <v>797</v>
      </c>
      <c r="B679" s="92"/>
      <c r="C679" s="21"/>
      <c r="D679" s="4"/>
      <c r="E679" s="4"/>
      <c r="F679" s="24"/>
      <c r="G679" s="24"/>
      <c r="H679" s="24"/>
      <c r="I679" s="24"/>
      <c r="J679" s="24"/>
    </row>
    <row r="680" spans="1:10" x14ac:dyDescent="0.35">
      <c r="A680" t="s">
        <v>798</v>
      </c>
      <c r="B680" s="92"/>
      <c r="C680" s="21"/>
      <c r="D680" s="4"/>
      <c r="E680" s="4"/>
      <c r="F680" s="24"/>
      <c r="G680" s="24"/>
      <c r="H680" s="24"/>
      <c r="I680" s="24"/>
      <c r="J680" s="24"/>
    </row>
    <row r="681" spans="1:10" x14ac:dyDescent="0.35">
      <c r="A681" t="s">
        <v>799</v>
      </c>
      <c r="B681" s="92"/>
      <c r="C681" s="21"/>
      <c r="D681" s="4"/>
      <c r="E681" s="4"/>
      <c r="F681" s="24"/>
      <c r="G681" s="24"/>
      <c r="H681" s="24"/>
      <c r="I681" s="24"/>
      <c r="J681" s="24"/>
    </row>
    <row r="682" spans="1:10" x14ac:dyDescent="0.35">
      <c r="A682" t="s">
        <v>800</v>
      </c>
      <c r="B682" s="92"/>
      <c r="C682" s="21"/>
      <c r="D682" s="4"/>
      <c r="E682" s="4"/>
      <c r="F682" s="24"/>
      <c r="G682" s="24"/>
      <c r="H682" s="24"/>
      <c r="I682" s="24"/>
      <c r="J682" s="24"/>
    </row>
    <row r="683" spans="1:10" x14ac:dyDescent="0.35">
      <c r="A683" t="s">
        <v>801</v>
      </c>
      <c r="B683" s="92"/>
      <c r="C683" s="21"/>
      <c r="D683" s="4"/>
      <c r="E683" s="4"/>
      <c r="F683" s="24"/>
      <c r="G683" s="24"/>
      <c r="H683" s="24"/>
      <c r="I683" s="24"/>
      <c r="J683" s="24"/>
    </row>
    <row r="684" spans="1:10" x14ac:dyDescent="0.35">
      <c r="A684" t="s">
        <v>802</v>
      </c>
      <c r="B684" s="92"/>
      <c r="C684" s="21"/>
      <c r="D684" s="4"/>
      <c r="E684" s="4"/>
      <c r="F684" s="24"/>
      <c r="G684" s="24"/>
      <c r="H684" s="24"/>
      <c r="I684" s="24"/>
      <c r="J684" s="24"/>
    </row>
    <row r="685" spans="1:10" x14ac:dyDescent="0.35">
      <c r="A685" t="s">
        <v>803</v>
      </c>
      <c r="B685" s="92"/>
      <c r="C685" s="21"/>
      <c r="D685" s="4"/>
      <c r="E685" s="4"/>
      <c r="F685" s="24"/>
      <c r="G685" s="24"/>
      <c r="H685" s="24"/>
      <c r="I685" s="24"/>
      <c r="J685" s="24"/>
    </row>
    <row r="686" spans="1:10" x14ac:dyDescent="0.35">
      <c r="A686" t="s">
        <v>804</v>
      </c>
      <c r="B686" s="92"/>
      <c r="C686" s="21"/>
      <c r="D686" s="4"/>
      <c r="E686" s="4"/>
      <c r="F686" s="24"/>
      <c r="G686" s="24"/>
      <c r="H686" s="24"/>
      <c r="I686" s="24"/>
      <c r="J686" s="24"/>
    </row>
    <row r="687" spans="1:10" x14ac:dyDescent="0.35">
      <c r="A687" t="s">
        <v>805</v>
      </c>
      <c r="B687" s="92"/>
      <c r="C687" s="21"/>
      <c r="D687" s="4"/>
      <c r="E687" s="4"/>
      <c r="F687" s="24"/>
      <c r="G687" s="24"/>
      <c r="H687" s="24"/>
      <c r="I687" s="24"/>
      <c r="J687" s="24"/>
    </row>
    <row r="688" spans="1:10" x14ac:dyDescent="0.35">
      <c r="A688" t="s">
        <v>806</v>
      </c>
      <c r="B688" s="92"/>
      <c r="C688" s="21"/>
      <c r="D688" s="4"/>
      <c r="E688" s="4"/>
      <c r="F688" s="24"/>
      <c r="G688" s="24"/>
      <c r="H688" s="24"/>
      <c r="I688" s="24"/>
      <c r="J688" s="24"/>
    </row>
    <row r="689" spans="1:10" x14ac:dyDescent="0.35">
      <c r="A689" t="s">
        <v>807</v>
      </c>
      <c r="B689" s="92"/>
      <c r="C689" s="21"/>
      <c r="D689" s="4"/>
      <c r="E689" s="4"/>
      <c r="F689" s="24"/>
      <c r="G689" s="24"/>
      <c r="H689" s="24"/>
      <c r="I689" s="24"/>
      <c r="J689" s="24"/>
    </row>
    <row r="690" spans="1:10" x14ac:dyDescent="0.35">
      <c r="A690" t="s">
        <v>808</v>
      </c>
      <c r="B690" s="92"/>
      <c r="C690" s="21"/>
      <c r="D690" s="4"/>
      <c r="E690" s="4"/>
      <c r="F690" s="24"/>
      <c r="G690" s="24"/>
      <c r="H690" s="24"/>
      <c r="I690" s="24"/>
      <c r="J690" s="24"/>
    </row>
    <row r="691" spans="1:10" x14ac:dyDescent="0.35">
      <c r="A691" t="s">
        <v>809</v>
      </c>
      <c r="B691" s="92"/>
      <c r="C691" s="21"/>
      <c r="D691" s="4"/>
      <c r="E691" s="4"/>
      <c r="F691" s="24"/>
      <c r="G691" s="24"/>
      <c r="H691" s="24"/>
      <c r="I691" s="24"/>
      <c r="J691" s="24"/>
    </row>
    <row r="692" spans="1:10" x14ac:dyDescent="0.35">
      <c r="A692" t="s">
        <v>810</v>
      </c>
      <c r="B692" s="92"/>
      <c r="C692" s="21"/>
      <c r="D692" s="4"/>
      <c r="E692" s="4"/>
      <c r="F692" s="24"/>
      <c r="G692" s="24"/>
      <c r="H692" s="24"/>
      <c r="I692" s="24"/>
      <c r="J692" s="24"/>
    </row>
    <row r="693" spans="1:10" x14ac:dyDescent="0.35">
      <c r="A693" t="s">
        <v>811</v>
      </c>
      <c r="B693" s="92"/>
      <c r="C693" s="21"/>
      <c r="D693" s="4"/>
      <c r="E693" s="4"/>
      <c r="F693" s="24"/>
      <c r="G693" s="24"/>
      <c r="H693" s="24"/>
      <c r="I693" s="24"/>
      <c r="J693" s="24"/>
    </row>
    <row r="694" spans="1:10" x14ac:dyDescent="0.35">
      <c r="A694" t="s">
        <v>812</v>
      </c>
      <c r="B694" s="92"/>
      <c r="C694" s="21"/>
      <c r="D694" s="4"/>
      <c r="E694" s="4"/>
      <c r="F694" s="24"/>
      <c r="G694" s="24"/>
      <c r="H694" s="24"/>
      <c r="I694" s="24"/>
      <c r="J694" s="24"/>
    </row>
    <row r="695" spans="1:10" x14ac:dyDescent="0.35">
      <c r="A695" t="s">
        <v>813</v>
      </c>
      <c r="B695" s="92"/>
      <c r="C695" s="21"/>
      <c r="D695" s="4"/>
      <c r="E695" s="4"/>
      <c r="F695" s="24"/>
      <c r="G695" s="24"/>
      <c r="H695" s="24"/>
      <c r="I695" s="24"/>
      <c r="J695" s="24"/>
    </row>
    <row r="696" spans="1:10" x14ac:dyDescent="0.35">
      <c r="A696" t="s">
        <v>814</v>
      </c>
      <c r="B696" s="92"/>
      <c r="C696" s="21"/>
      <c r="D696" s="4"/>
      <c r="E696" s="4"/>
      <c r="F696" s="24"/>
      <c r="G696" s="24"/>
      <c r="H696" s="24"/>
      <c r="I696" s="24"/>
      <c r="J696" s="24"/>
    </row>
    <row r="697" spans="1:10" x14ac:dyDescent="0.35">
      <c r="A697" t="s">
        <v>815</v>
      </c>
      <c r="B697" s="92"/>
      <c r="C697" s="21"/>
      <c r="D697" s="4"/>
      <c r="E697" s="4"/>
      <c r="F697" s="24"/>
      <c r="G697" s="24"/>
      <c r="H697" s="24"/>
      <c r="I697" s="24"/>
      <c r="J697" s="24"/>
    </row>
    <row r="698" spans="1:10" x14ac:dyDescent="0.35">
      <c r="A698" t="s">
        <v>816</v>
      </c>
      <c r="B698" s="92"/>
      <c r="C698" s="21"/>
      <c r="D698" s="4"/>
      <c r="E698" s="4"/>
      <c r="F698" s="24"/>
      <c r="G698" s="24"/>
      <c r="H698" s="24"/>
      <c r="I698" s="24"/>
      <c r="J698" s="24"/>
    </row>
    <row r="699" spans="1:10" x14ac:dyDescent="0.35">
      <c r="A699" t="s">
        <v>817</v>
      </c>
      <c r="B699" s="92"/>
      <c r="C699" s="21"/>
      <c r="D699" s="4"/>
      <c r="E699" s="4"/>
      <c r="F699" s="24"/>
      <c r="G699" s="24"/>
      <c r="H699" s="24"/>
      <c r="I699" s="24"/>
      <c r="J699" s="24"/>
    </row>
    <row r="700" spans="1:10" x14ac:dyDescent="0.35">
      <c r="A700" t="s">
        <v>818</v>
      </c>
      <c r="B700" s="92"/>
      <c r="C700" s="21"/>
      <c r="D700" s="4"/>
      <c r="E700" s="4"/>
      <c r="F700" s="24"/>
      <c r="G700" s="24"/>
      <c r="H700" s="24"/>
      <c r="I700" s="24"/>
      <c r="J700" s="24"/>
    </row>
    <row r="701" spans="1:10" x14ac:dyDescent="0.35">
      <c r="A701" t="s">
        <v>819</v>
      </c>
      <c r="B701" s="92"/>
      <c r="C701" s="21"/>
      <c r="D701" s="4"/>
      <c r="E701" s="4"/>
      <c r="F701" s="24"/>
      <c r="G701" s="24"/>
      <c r="H701" s="24"/>
      <c r="I701" s="24"/>
      <c r="J701" s="24"/>
    </row>
    <row r="702" spans="1:10" x14ac:dyDescent="0.35">
      <c r="A702" t="s">
        <v>820</v>
      </c>
      <c r="B702" s="92"/>
      <c r="C702" s="21"/>
      <c r="D702" s="4"/>
      <c r="E702" s="4"/>
      <c r="F702" s="24"/>
      <c r="G702" s="24"/>
      <c r="H702" s="24"/>
      <c r="I702" s="24"/>
      <c r="J702" s="24"/>
    </row>
    <row r="703" spans="1:10" x14ac:dyDescent="0.35">
      <c r="A703" t="s">
        <v>821</v>
      </c>
      <c r="B703" s="92"/>
      <c r="C703" s="21"/>
      <c r="D703" s="4"/>
      <c r="E703" s="4"/>
      <c r="F703" s="24"/>
      <c r="G703" s="24"/>
      <c r="H703" s="24"/>
      <c r="I703" s="24"/>
      <c r="J703" s="24"/>
    </row>
    <row r="704" spans="1:10" x14ac:dyDescent="0.35">
      <c r="A704" t="s">
        <v>822</v>
      </c>
      <c r="B704" s="92"/>
      <c r="C704" s="21"/>
      <c r="D704" s="4"/>
      <c r="E704" s="4"/>
      <c r="F704" s="24"/>
      <c r="G704" s="24"/>
      <c r="H704" s="24"/>
      <c r="I704" s="24"/>
      <c r="J704" s="24"/>
    </row>
    <row r="705" spans="1:10" x14ac:dyDescent="0.35">
      <c r="A705" t="s">
        <v>823</v>
      </c>
      <c r="B705" s="92"/>
      <c r="C705" s="21"/>
      <c r="D705" s="4"/>
      <c r="E705" s="4"/>
      <c r="F705" s="24"/>
      <c r="G705" s="24"/>
      <c r="H705" s="24"/>
      <c r="I705" s="24"/>
      <c r="J705" s="24"/>
    </row>
    <row r="706" spans="1:10" x14ac:dyDescent="0.35">
      <c r="A706" t="s">
        <v>824</v>
      </c>
      <c r="B706" s="92"/>
      <c r="C706" s="21"/>
      <c r="D706" s="4"/>
      <c r="E706" s="4"/>
      <c r="F706" s="24"/>
      <c r="G706" s="24"/>
      <c r="H706" s="24"/>
      <c r="I706" s="24"/>
      <c r="J706" s="24"/>
    </row>
    <row r="707" spans="1:10" x14ac:dyDescent="0.35">
      <c r="A707" t="s">
        <v>825</v>
      </c>
      <c r="B707" s="92"/>
      <c r="C707" s="21"/>
      <c r="D707" s="4"/>
      <c r="E707" s="4"/>
      <c r="F707" s="24"/>
      <c r="G707" s="24"/>
      <c r="H707" s="24"/>
      <c r="I707" s="24"/>
      <c r="J707" s="24"/>
    </row>
    <row r="708" spans="1:10" x14ac:dyDescent="0.35">
      <c r="A708" t="s">
        <v>826</v>
      </c>
      <c r="B708" s="92"/>
      <c r="C708" s="21"/>
      <c r="D708" s="4"/>
      <c r="E708" s="4"/>
      <c r="F708" s="24"/>
      <c r="G708" s="24"/>
      <c r="H708" s="24"/>
      <c r="I708" s="24"/>
      <c r="J708" s="24"/>
    </row>
    <row r="709" spans="1:10" x14ac:dyDescent="0.35">
      <c r="A709" t="s">
        <v>827</v>
      </c>
      <c r="B709" s="92"/>
      <c r="C709" s="21"/>
      <c r="D709" s="4"/>
      <c r="E709" s="4"/>
      <c r="F709" s="24"/>
      <c r="G709" s="24"/>
      <c r="H709" s="24"/>
      <c r="I709" s="24"/>
      <c r="J709" s="24"/>
    </row>
    <row r="710" spans="1:10" x14ac:dyDescent="0.35">
      <c r="A710" t="s">
        <v>828</v>
      </c>
      <c r="B710" s="92"/>
      <c r="C710" s="21"/>
      <c r="D710" s="4"/>
      <c r="E710" s="4"/>
      <c r="F710" s="24"/>
      <c r="G710" s="24"/>
      <c r="H710" s="24"/>
      <c r="I710" s="24"/>
      <c r="J710" s="24"/>
    </row>
    <row r="711" spans="1:10" x14ac:dyDescent="0.35">
      <c r="A711" t="s">
        <v>829</v>
      </c>
      <c r="B711" s="92"/>
      <c r="C711" s="21"/>
      <c r="D711" s="4"/>
      <c r="E711" s="4"/>
      <c r="F711" s="24"/>
      <c r="G711" s="24"/>
      <c r="H711" s="24"/>
      <c r="I711" s="24"/>
      <c r="J711" s="24"/>
    </row>
    <row r="712" spans="1:10" x14ac:dyDescent="0.35">
      <c r="A712" t="s">
        <v>830</v>
      </c>
      <c r="B712" s="92"/>
      <c r="C712" s="21"/>
      <c r="D712" s="4"/>
      <c r="E712" s="4"/>
      <c r="F712" s="24"/>
      <c r="G712" s="24"/>
      <c r="H712" s="24"/>
      <c r="I712" s="24"/>
      <c r="J712" s="24"/>
    </row>
    <row r="713" spans="1:10" x14ac:dyDescent="0.35">
      <c r="A713" t="s">
        <v>831</v>
      </c>
      <c r="B713" s="92"/>
      <c r="C713" s="21"/>
      <c r="D713" s="4"/>
      <c r="E713" s="4"/>
      <c r="F713" s="24"/>
      <c r="G713" s="24"/>
      <c r="H713" s="24"/>
      <c r="I713" s="24"/>
      <c r="J713" s="24"/>
    </row>
    <row r="714" spans="1:10" x14ac:dyDescent="0.35">
      <c r="A714" t="s">
        <v>832</v>
      </c>
      <c r="B714" s="92"/>
      <c r="C714" s="21"/>
      <c r="D714" s="4"/>
      <c r="E714" s="4"/>
      <c r="F714" s="24"/>
      <c r="G714" s="24"/>
      <c r="H714" s="24"/>
      <c r="I714" s="24"/>
      <c r="J714" s="24"/>
    </row>
    <row r="715" spans="1:10" x14ac:dyDescent="0.35">
      <c r="A715" t="s">
        <v>833</v>
      </c>
      <c r="B715" s="92"/>
      <c r="C715" s="21"/>
      <c r="D715" s="4"/>
      <c r="E715" s="4"/>
      <c r="F715" s="24"/>
      <c r="G715" s="24"/>
      <c r="H715" s="24"/>
      <c r="I715" s="24"/>
      <c r="J715" s="24"/>
    </row>
    <row r="716" spans="1:10" x14ac:dyDescent="0.35">
      <c r="A716" t="s">
        <v>834</v>
      </c>
      <c r="B716" s="92"/>
      <c r="C716" s="21"/>
      <c r="D716" s="4"/>
      <c r="E716" s="4"/>
      <c r="F716" s="24"/>
      <c r="G716" s="24"/>
      <c r="H716" s="24"/>
      <c r="I716" s="24"/>
      <c r="J716" s="24"/>
    </row>
    <row r="717" spans="1:10" x14ac:dyDescent="0.35">
      <c r="A717" t="s">
        <v>835</v>
      </c>
      <c r="B717" s="92"/>
      <c r="C717" s="21"/>
      <c r="D717" s="4"/>
      <c r="E717" s="4"/>
      <c r="F717" s="24"/>
      <c r="G717" s="24"/>
      <c r="H717" s="24"/>
      <c r="I717" s="24"/>
      <c r="J717" s="24"/>
    </row>
    <row r="718" spans="1:10" x14ac:dyDescent="0.35">
      <c r="A718" t="s">
        <v>836</v>
      </c>
      <c r="B718" s="92"/>
      <c r="C718" s="21"/>
      <c r="D718" s="4"/>
      <c r="E718" s="4"/>
      <c r="F718" s="24"/>
      <c r="G718" s="24"/>
      <c r="H718" s="24"/>
      <c r="I718" s="24"/>
      <c r="J718" s="24"/>
    </row>
    <row r="719" spans="1:10" x14ac:dyDescent="0.35">
      <c r="A719" t="s">
        <v>837</v>
      </c>
      <c r="B719" s="92"/>
      <c r="C719" s="21"/>
      <c r="D719" s="4"/>
      <c r="E719" s="4"/>
      <c r="F719" s="24"/>
      <c r="G719" s="24"/>
      <c r="H719" s="24"/>
      <c r="I719" s="24"/>
      <c r="J719" s="24"/>
    </row>
    <row r="720" spans="1:10" x14ac:dyDescent="0.35">
      <c r="A720" t="s">
        <v>838</v>
      </c>
      <c r="B720" s="92"/>
      <c r="C720" s="21"/>
      <c r="D720" s="4"/>
      <c r="E720" s="4"/>
      <c r="F720" s="24"/>
      <c r="G720" s="24"/>
      <c r="H720" s="24"/>
      <c r="I720" s="24"/>
      <c r="J720" s="24"/>
    </row>
    <row r="721" spans="1:10" x14ac:dyDescent="0.35">
      <c r="A721" t="s">
        <v>839</v>
      </c>
      <c r="B721" s="92"/>
      <c r="C721" s="21"/>
      <c r="D721" s="4"/>
      <c r="E721" s="4"/>
      <c r="F721" s="24"/>
      <c r="G721" s="24"/>
      <c r="H721" s="24"/>
      <c r="I721" s="24"/>
      <c r="J721" s="24"/>
    </row>
    <row r="722" spans="1:10" x14ac:dyDescent="0.35">
      <c r="A722" t="s">
        <v>840</v>
      </c>
      <c r="B722" s="92"/>
      <c r="C722" s="21"/>
      <c r="D722" s="4"/>
      <c r="E722" s="4"/>
      <c r="F722" s="24"/>
      <c r="G722" s="24"/>
      <c r="H722" s="24"/>
      <c r="I722" s="24"/>
      <c r="J722" s="24"/>
    </row>
    <row r="723" spans="1:10" x14ac:dyDescent="0.35">
      <c r="A723" t="s">
        <v>841</v>
      </c>
      <c r="B723" s="92"/>
      <c r="C723" s="21"/>
      <c r="D723" s="4"/>
      <c r="E723" s="4"/>
      <c r="F723" s="24"/>
      <c r="G723" s="24"/>
      <c r="H723" s="24"/>
      <c r="I723" s="24"/>
      <c r="J723" s="24"/>
    </row>
    <row r="724" spans="1:10" x14ac:dyDescent="0.35">
      <c r="A724" t="s">
        <v>842</v>
      </c>
      <c r="B724" s="92"/>
      <c r="C724" s="21"/>
      <c r="D724" s="4"/>
      <c r="E724" s="4"/>
      <c r="F724" s="24"/>
      <c r="G724" s="24"/>
      <c r="H724" s="24"/>
      <c r="I724" s="24"/>
      <c r="J724" s="24"/>
    </row>
    <row r="725" spans="1:10" x14ac:dyDescent="0.35">
      <c r="A725" t="s">
        <v>843</v>
      </c>
      <c r="B725" s="92"/>
      <c r="C725" s="21"/>
      <c r="D725" s="4"/>
      <c r="E725" s="4"/>
      <c r="F725" s="24"/>
      <c r="G725" s="24"/>
      <c r="H725" s="24"/>
      <c r="I725" s="24"/>
      <c r="J725" s="24"/>
    </row>
    <row r="726" spans="1:10" x14ac:dyDescent="0.35">
      <c r="A726" t="s">
        <v>844</v>
      </c>
      <c r="B726" s="92"/>
      <c r="C726" s="21"/>
      <c r="D726" s="4"/>
      <c r="E726" s="4"/>
      <c r="F726" s="24"/>
      <c r="G726" s="24"/>
      <c r="H726" s="24"/>
      <c r="I726" s="24"/>
      <c r="J726" s="24"/>
    </row>
    <row r="727" spans="1:10" x14ac:dyDescent="0.35">
      <c r="A727" t="s">
        <v>845</v>
      </c>
      <c r="B727" s="92"/>
      <c r="C727" s="21"/>
      <c r="D727" s="4"/>
      <c r="E727" s="4"/>
      <c r="F727" s="24"/>
      <c r="G727" s="24"/>
      <c r="H727" s="24"/>
      <c r="I727" s="24"/>
      <c r="J727" s="24"/>
    </row>
    <row r="728" spans="1:10" x14ac:dyDescent="0.35">
      <c r="A728" t="s">
        <v>846</v>
      </c>
      <c r="B728" s="92"/>
      <c r="C728" s="21"/>
      <c r="D728" s="4"/>
      <c r="E728" s="4"/>
      <c r="F728" s="24"/>
      <c r="G728" s="24"/>
      <c r="H728" s="24"/>
      <c r="I728" s="24"/>
      <c r="J728" s="24"/>
    </row>
    <row r="729" spans="1:10" x14ac:dyDescent="0.35">
      <c r="A729" t="s">
        <v>847</v>
      </c>
      <c r="B729" s="92"/>
      <c r="C729" s="21"/>
      <c r="D729" s="4"/>
      <c r="E729" s="4"/>
      <c r="F729" s="24"/>
      <c r="G729" s="24"/>
      <c r="H729" s="24"/>
      <c r="I729" s="24"/>
      <c r="J729" s="24"/>
    </row>
    <row r="730" spans="1:10" x14ac:dyDescent="0.35">
      <c r="A730" t="s">
        <v>848</v>
      </c>
      <c r="B730" s="92"/>
      <c r="C730" s="21"/>
      <c r="D730" s="4"/>
      <c r="E730" s="4"/>
      <c r="F730" s="24"/>
      <c r="G730" s="24"/>
      <c r="H730" s="24"/>
      <c r="I730" s="24"/>
      <c r="J730" s="24"/>
    </row>
    <row r="731" spans="1:10" x14ac:dyDescent="0.35">
      <c r="A731" t="s">
        <v>849</v>
      </c>
      <c r="B731" s="92"/>
      <c r="C731" s="21"/>
      <c r="D731" s="4"/>
      <c r="E731" s="4"/>
      <c r="F731" s="24"/>
      <c r="G731" s="24"/>
      <c r="H731" s="24"/>
      <c r="I731" s="24"/>
      <c r="J731" s="24"/>
    </row>
    <row r="732" spans="1:10" x14ac:dyDescent="0.35">
      <c r="A732" t="s">
        <v>850</v>
      </c>
      <c r="B732" s="92"/>
      <c r="C732" s="21"/>
      <c r="D732" s="4"/>
      <c r="E732" s="4"/>
      <c r="F732" s="24"/>
      <c r="G732" s="24"/>
      <c r="H732" s="24"/>
      <c r="I732" s="24"/>
      <c r="J732" s="24"/>
    </row>
    <row r="733" spans="1:10" x14ac:dyDescent="0.35">
      <c r="A733" t="s">
        <v>851</v>
      </c>
      <c r="B733" s="92"/>
      <c r="C733" s="21"/>
      <c r="D733" s="4"/>
      <c r="E733" s="4"/>
      <c r="F733" s="24"/>
      <c r="G733" s="24"/>
      <c r="H733" s="24"/>
      <c r="I733" s="24"/>
      <c r="J733" s="24"/>
    </row>
    <row r="734" spans="1:10" x14ac:dyDescent="0.35">
      <c r="A734" t="s">
        <v>852</v>
      </c>
      <c r="B734" s="92"/>
      <c r="C734" s="21"/>
      <c r="D734" s="4"/>
      <c r="E734" s="4"/>
      <c r="F734" s="24"/>
      <c r="G734" s="24"/>
      <c r="H734" s="24"/>
      <c r="I734" s="24"/>
      <c r="J734" s="24"/>
    </row>
    <row r="735" spans="1:10" x14ac:dyDescent="0.35">
      <c r="A735" t="s">
        <v>853</v>
      </c>
      <c r="B735" s="92"/>
      <c r="C735" s="21"/>
      <c r="D735" s="4"/>
      <c r="E735" s="4"/>
      <c r="F735" s="24"/>
      <c r="G735" s="24"/>
      <c r="H735" s="24"/>
      <c r="I735" s="24"/>
      <c r="J735" s="24"/>
    </row>
    <row r="736" spans="1:10" x14ac:dyDescent="0.35">
      <c r="A736" t="s">
        <v>854</v>
      </c>
      <c r="B736" s="92"/>
      <c r="C736" s="21"/>
      <c r="D736" s="4"/>
      <c r="E736" s="4"/>
      <c r="F736" s="24"/>
      <c r="G736" s="24"/>
      <c r="H736" s="24"/>
      <c r="I736" s="24"/>
      <c r="J736" s="24"/>
    </row>
    <row r="737" spans="1:10" x14ac:dyDescent="0.35">
      <c r="A737" t="s">
        <v>855</v>
      </c>
      <c r="B737" s="92"/>
      <c r="C737" s="21"/>
      <c r="D737" s="4"/>
      <c r="E737" s="4"/>
      <c r="F737" s="24"/>
      <c r="G737" s="24"/>
      <c r="H737" s="24"/>
      <c r="I737" s="24"/>
      <c r="J737" s="24"/>
    </row>
    <row r="738" spans="1:10" x14ac:dyDescent="0.35">
      <c r="A738" t="s">
        <v>856</v>
      </c>
      <c r="B738" s="92"/>
      <c r="C738" s="21"/>
      <c r="D738" s="4"/>
      <c r="E738" s="4"/>
      <c r="F738" s="24"/>
      <c r="G738" s="24"/>
      <c r="H738" s="24"/>
      <c r="I738" s="24"/>
      <c r="J738" s="24"/>
    </row>
    <row r="739" spans="1:10" x14ac:dyDescent="0.35">
      <c r="A739" t="s">
        <v>857</v>
      </c>
      <c r="B739" s="92"/>
      <c r="C739" s="21"/>
      <c r="D739" s="4"/>
      <c r="E739" s="4"/>
      <c r="F739" s="24"/>
      <c r="G739" s="24"/>
      <c r="H739" s="24"/>
      <c r="I739" s="24"/>
      <c r="J739" s="24"/>
    </row>
    <row r="740" spans="1:10" x14ac:dyDescent="0.35">
      <c r="A740" t="s">
        <v>858</v>
      </c>
      <c r="B740" s="92"/>
      <c r="C740" s="21"/>
      <c r="D740" s="4"/>
      <c r="E740" s="4"/>
      <c r="F740" s="24"/>
      <c r="G740" s="24"/>
      <c r="H740" s="24"/>
      <c r="I740" s="24"/>
      <c r="J740" s="24"/>
    </row>
    <row r="741" spans="1:10" x14ac:dyDescent="0.35">
      <c r="A741" t="s">
        <v>859</v>
      </c>
      <c r="B741" s="92"/>
      <c r="C741" s="21"/>
      <c r="D741" s="4"/>
      <c r="E741" s="4"/>
      <c r="F741" s="24"/>
      <c r="G741" s="24"/>
      <c r="H741" s="24"/>
      <c r="I741" s="24"/>
      <c r="J741" s="24"/>
    </row>
    <row r="742" spans="1:10" x14ac:dyDescent="0.35">
      <c r="A742" t="s">
        <v>860</v>
      </c>
      <c r="B742" s="92"/>
      <c r="C742" s="21"/>
      <c r="D742" s="4"/>
      <c r="E742" s="4"/>
      <c r="F742" s="24"/>
      <c r="G742" s="24"/>
      <c r="H742" s="24"/>
      <c r="I742" s="24"/>
      <c r="J742" s="24"/>
    </row>
    <row r="743" spans="1:10" x14ac:dyDescent="0.35">
      <c r="A743" t="s">
        <v>861</v>
      </c>
      <c r="B743" s="92"/>
      <c r="C743" s="21"/>
      <c r="D743" s="4"/>
      <c r="E743" s="4"/>
      <c r="F743" s="24"/>
      <c r="G743" s="24"/>
      <c r="H743" s="24"/>
      <c r="I743" s="24"/>
      <c r="J743" s="24"/>
    </row>
    <row r="744" spans="1:10" x14ac:dyDescent="0.35">
      <c r="A744" t="s">
        <v>862</v>
      </c>
      <c r="B744" s="92"/>
      <c r="C744" s="21"/>
      <c r="D744" s="4"/>
      <c r="E744" s="4"/>
      <c r="F744" s="24"/>
      <c r="G744" s="24"/>
      <c r="H744" s="24"/>
      <c r="I744" s="24"/>
      <c r="J744" s="24"/>
    </row>
    <row r="745" spans="1:10" x14ac:dyDescent="0.35">
      <c r="A745" t="s">
        <v>863</v>
      </c>
      <c r="B745" s="92"/>
      <c r="C745" s="21"/>
      <c r="D745" s="4"/>
      <c r="E745" s="4"/>
      <c r="F745" s="24"/>
      <c r="G745" s="24"/>
      <c r="H745" s="24"/>
      <c r="I745" s="24"/>
      <c r="J745" s="24"/>
    </row>
    <row r="746" spans="1:10" x14ac:dyDescent="0.35">
      <c r="A746" t="s">
        <v>864</v>
      </c>
      <c r="B746" s="92"/>
      <c r="C746" s="21"/>
      <c r="D746" s="4"/>
      <c r="E746" s="4"/>
      <c r="F746" s="24"/>
      <c r="G746" s="24"/>
      <c r="H746" s="24"/>
      <c r="I746" s="24"/>
      <c r="J746" s="24"/>
    </row>
    <row r="747" spans="1:10" x14ac:dyDescent="0.35">
      <c r="A747" t="s">
        <v>865</v>
      </c>
      <c r="B747" s="92"/>
      <c r="C747" s="21"/>
      <c r="D747" s="4"/>
      <c r="E747" s="4"/>
      <c r="F747" s="24"/>
      <c r="G747" s="24"/>
      <c r="H747" s="24"/>
      <c r="I747" s="24"/>
      <c r="J747" s="24"/>
    </row>
    <row r="748" spans="1:10" x14ac:dyDescent="0.35">
      <c r="A748" t="s">
        <v>866</v>
      </c>
      <c r="B748" s="92"/>
      <c r="C748" s="21"/>
      <c r="D748" s="4"/>
      <c r="E748" s="4"/>
      <c r="F748" s="24"/>
      <c r="G748" s="24"/>
      <c r="H748" s="24"/>
      <c r="I748" s="24"/>
      <c r="J748" s="24"/>
    </row>
    <row r="749" spans="1:10" x14ac:dyDescent="0.35">
      <c r="A749" t="s">
        <v>867</v>
      </c>
      <c r="B749" s="92"/>
      <c r="C749" s="21"/>
      <c r="D749" s="4"/>
      <c r="E749" s="4"/>
      <c r="F749" s="24"/>
      <c r="G749" s="24"/>
      <c r="H749" s="24"/>
      <c r="I749" s="24"/>
      <c r="J749" s="24"/>
    </row>
    <row r="750" spans="1:10" x14ac:dyDescent="0.35">
      <c r="A750" t="s">
        <v>868</v>
      </c>
      <c r="B750" s="92"/>
      <c r="C750" s="21"/>
      <c r="D750" s="4"/>
      <c r="E750" s="4"/>
      <c r="F750" s="24"/>
      <c r="G750" s="24"/>
      <c r="H750" s="24"/>
      <c r="I750" s="24"/>
      <c r="J750" s="24"/>
    </row>
    <row r="751" spans="1:10" x14ac:dyDescent="0.35">
      <c r="A751" t="s">
        <v>869</v>
      </c>
      <c r="B751" s="92"/>
      <c r="C751" s="21"/>
      <c r="D751" s="4"/>
      <c r="E751" s="4"/>
      <c r="F751" s="24"/>
      <c r="G751" s="24"/>
      <c r="H751" s="24"/>
      <c r="I751" s="24"/>
      <c r="J751" s="24"/>
    </row>
    <row r="752" spans="1:10" x14ac:dyDescent="0.35">
      <c r="A752" t="s">
        <v>870</v>
      </c>
      <c r="B752" s="92"/>
      <c r="C752" s="21"/>
      <c r="D752" s="4"/>
      <c r="E752" s="4"/>
      <c r="F752" s="24"/>
      <c r="G752" s="24"/>
      <c r="H752" s="24"/>
      <c r="I752" s="24"/>
      <c r="J752" s="24"/>
    </row>
    <row r="753" spans="1:10" x14ac:dyDescent="0.35">
      <c r="A753" t="s">
        <v>871</v>
      </c>
      <c r="B753" s="92"/>
      <c r="C753" s="21"/>
      <c r="D753" s="4"/>
      <c r="E753" s="4"/>
      <c r="F753" s="24"/>
      <c r="G753" s="24"/>
      <c r="H753" s="24"/>
      <c r="I753" s="24"/>
      <c r="J753" s="24"/>
    </row>
    <row r="754" spans="1:10" x14ac:dyDescent="0.35">
      <c r="A754" t="s">
        <v>872</v>
      </c>
      <c r="B754" s="92"/>
      <c r="C754" s="21"/>
      <c r="D754" s="4"/>
      <c r="E754" s="4"/>
      <c r="F754" s="24"/>
      <c r="G754" s="24"/>
      <c r="H754" s="24"/>
      <c r="I754" s="24"/>
      <c r="J754" s="24"/>
    </row>
    <row r="755" spans="1:10" x14ac:dyDescent="0.35">
      <c r="A755" t="s">
        <v>873</v>
      </c>
      <c r="B755" s="92"/>
      <c r="C755" s="21"/>
      <c r="D755" s="4"/>
      <c r="E755" s="4"/>
      <c r="F755" s="24"/>
      <c r="G755" s="24"/>
      <c r="H755" s="24"/>
      <c r="I755" s="24"/>
      <c r="J755" s="24"/>
    </row>
    <row r="756" spans="1:10" x14ac:dyDescent="0.35">
      <c r="A756" t="s">
        <v>874</v>
      </c>
      <c r="B756" s="92"/>
      <c r="C756" s="21"/>
      <c r="D756" s="4"/>
      <c r="E756" s="4"/>
      <c r="F756" s="24"/>
      <c r="G756" s="24"/>
      <c r="H756" s="24"/>
      <c r="I756" s="24"/>
      <c r="J756" s="24"/>
    </row>
    <row r="757" spans="1:10" x14ac:dyDescent="0.35">
      <c r="A757" t="s">
        <v>875</v>
      </c>
      <c r="B757" s="92"/>
      <c r="C757" s="21"/>
      <c r="D757" s="4"/>
      <c r="E757" s="4"/>
      <c r="F757" s="24"/>
      <c r="G757" s="24"/>
      <c r="H757" s="24"/>
      <c r="I757" s="24"/>
      <c r="J757" s="24"/>
    </row>
    <row r="758" spans="1:10" x14ac:dyDescent="0.35">
      <c r="A758" t="s">
        <v>876</v>
      </c>
      <c r="B758" s="92"/>
      <c r="C758" s="21"/>
      <c r="D758" s="4"/>
      <c r="E758" s="4"/>
      <c r="F758" s="24"/>
      <c r="G758" s="24"/>
      <c r="H758" s="24"/>
      <c r="I758" s="24"/>
      <c r="J758" s="24"/>
    </row>
    <row r="759" spans="1:10" x14ac:dyDescent="0.35">
      <c r="A759" t="s">
        <v>877</v>
      </c>
      <c r="B759" s="92"/>
      <c r="C759" s="21"/>
      <c r="D759" s="4"/>
      <c r="E759" s="4"/>
      <c r="F759" s="24"/>
      <c r="G759" s="24"/>
      <c r="H759" s="24"/>
      <c r="I759" s="24"/>
      <c r="J759" s="24"/>
    </row>
    <row r="760" spans="1:10" x14ac:dyDescent="0.35">
      <c r="A760" t="s">
        <v>878</v>
      </c>
      <c r="B760" s="92"/>
      <c r="C760" s="21"/>
      <c r="D760" s="4"/>
      <c r="E760" s="4"/>
      <c r="F760" s="24"/>
      <c r="G760" s="24"/>
      <c r="H760" s="24"/>
      <c r="I760" s="24"/>
      <c r="J760" s="24"/>
    </row>
    <row r="761" spans="1:10" x14ac:dyDescent="0.35">
      <c r="A761" t="s">
        <v>879</v>
      </c>
      <c r="B761" s="92"/>
      <c r="C761" s="21"/>
      <c r="D761" s="4"/>
      <c r="E761" s="4"/>
      <c r="F761" s="24"/>
      <c r="G761" s="24"/>
      <c r="H761" s="24"/>
      <c r="I761" s="24"/>
      <c r="J761" s="24"/>
    </row>
    <row r="762" spans="1:10" x14ac:dyDescent="0.35">
      <c r="A762" t="s">
        <v>880</v>
      </c>
      <c r="B762" s="92"/>
      <c r="C762" s="21"/>
      <c r="D762" s="4"/>
      <c r="E762" s="4"/>
      <c r="F762" s="24"/>
      <c r="G762" s="24"/>
      <c r="H762" s="24"/>
      <c r="I762" s="24"/>
      <c r="J762" s="24"/>
    </row>
    <row r="763" spans="1:10" x14ac:dyDescent="0.35">
      <c r="A763" t="s">
        <v>881</v>
      </c>
      <c r="B763" s="92"/>
      <c r="C763" s="21"/>
      <c r="D763" s="4"/>
      <c r="E763" s="4"/>
      <c r="F763" s="24"/>
      <c r="G763" s="24"/>
      <c r="H763" s="24"/>
      <c r="I763" s="24"/>
      <c r="J763" s="24"/>
    </row>
    <row r="764" spans="1:10" x14ac:dyDescent="0.35">
      <c r="A764" t="s">
        <v>882</v>
      </c>
      <c r="B764" s="92"/>
      <c r="C764" s="21"/>
      <c r="D764" s="4"/>
      <c r="E764" s="4"/>
      <c r="F764" s="24"/>
      <c r="G764" s="24"/>
      <c r="H764" s="24"/>
      <c r="I764" s="24"/>
      <c r="J764" s="24"/>
    </row>
    <row r="765" spans="1:10" x14ac:dyDescent="0.35">
      <c r="A765" t="s">
        <v>883</v>
      </c>
      <c r="B765" s="92"/>
      <c r="C765" s="21"/>
      <c r="D765" s="4"/>
      <c r="E765" s="4"/>
      <c r="F765" s="24"/>
      <c r="G765" s="24"/>
      <c r="H765" s="24"/>
      <c r="I765" s="24"/>
      <c r="J765" s="24"/>
    </row>
    <row r="766" spans="1:10" x14ac:dyDescent="0.35">
      <c r="A766" t="s">
        <v>884</v>
      </c>
      <c r="B766" s="92"/>
      <c r="C766" s="21"/>
      <c r="D766" s="4"/>
      <c r="E766" s="4"/>
      <c r="F766" s="24"/>
      <c r="G766" s="24"/>
      <c r="H766" s="24"/>
      <c r="I766" s="24"/>
      <c r="J766" s="24"/>
    </row>
    <row r="767" spans="1:10" x14ac:dyDescent="0.35">
      <c r="A767" t="s">
        <v>885</v>
      </c>
      <c r="B767" s="92"/>
      <c r="C767" s="21"/>
      <c r="D767" s="4"/>
      <c r="E767" s="4"/>
      <c r="F767" s="24"/>
      <c r="G767" s="24"/>
      <c r="H767" s="24"/>
      <c r="I767" s="24"/>
      <c r="J767" s="24"/>
    </row>
    <row r="768" spans="1:10" x14ac:dyDescent="0.35">
      <c r="A768" t="s">
        <v>886</v>
      </c>
      <c r="B768" s="92"/>
      <c r="C768" s="21"/>
      <c r="D768" s="4"/>
      <c r="E768" s="4"/>
      <c r="F768" s="24"/>
      <c r="G768" s="24"/>
      <c r="H768" s="24"/>
      <c r="I768" s="24"/>
      <c r="J768" s="24"/>
    </row>
    <row r="769" spans="1:10" x14ac:dyDescent="0.35">
      <c r="A769" t="s">
        <v>887</v>
      </c>
      <c r="B769" s="92"/>
      <c r="C769" s="21"/>
      <c r="D769" s="4"/>
      <c r="E769" s="4"/>
      <c r="F769" s="24"/>
      <c r="G769" s="24"/>
      <c r="H769" s="24"/>
      <c r="I769" s="24"/>
      <c r="J769" s="24"/>
    </row>
    <row r="770" spans="1:10" x14ac:dyDescent="0.35">
      <c r="A770" t="s">
        <v>888</v>
      </c>
      <c r="B770" s="92"/>
      <c r="C770" s="21"/>
      <c r="D770" s="4"/>
      <c r="E770" s="4"/>
      <c r="F770" s="24"/>
      <c r="G770" s="24"/>
      <c r="H770" s="24"/>
      <c r="I770" s="24"/>
      <c r="J770" s="24"/>
    </row>
    <row r="771" spans="1:10" x14ac:dyDescent="0.35">
      <c r="A771" t="s">
        <v>889</v>
      </c>
      <c r="B771" s="92"/>
      <c r="C771" s="21"/>
      <c r="D771" s="4"/>
      <c r="E771" s="4"/>
      <c r="F771" s="24"/>
      <c r="G771" s="24"/>
      <c r="H771" s="24"/>
      <c r="I771" s="24"/>
      <c r="J771" s="24"/>
    </row>
    <row r="772" spans="1:10" x14ac:dyDescent="0.35">
      <c r="A772" t="s">
        <v>890</v>
      </c>
      <c r="B772" s="92"/>
      <c r="C772" s="21"/>
      <c r="D772" s="4"/>
      <c r="E772" s="4"/>
      <c r="F772" s="24"/>
      <c r="G772" s="24"/>
      <c r="H772" s="24"/>
      <c r="I772" s="24"/>
      <c r="J772" s="24"/>
    </row>
    <row r="773" spans="1:10" x14ac:dyDescent="0.35">
      <c r="A773" t="s">
        <v>891</v>
      </c>
      <c r="B773" s="92"/>
      <c r="C773" s="21"/>
      <c r="D773" s="4"/>
      <c r="E773" s="4"/>
      <c r="F773" s="24"/>
      <c r="G773" s="24"/>
      <c r="H773" s="24"/>
      <c r="I773" s="24"/>
      <c r="J773" s="24"/>
    </row>
    <row r="774" spans="1:10" x14ac:dyDescent="0.35">
      <c r="A774" t="s">
        <v>892</v>
      </c>
      <c r="B774" s="92"/>
      <c r="C774" s="21"/>
      <c r="D774" s="4"/>
      <c r="E774" s="4"/>
      <c r="F774" s="24"/>
      <c r="G774" s="24"/>
      <c r="H774" s="24"/>
      <c r="I774" s="24"/>
      <c r="J774" s="24"/>
    </row>
    <row r="775" spans="1:10" x14ac:dyDescent="0.35">
      <c r="A775" t="s">
        <v>893</v>
      </c>
      <c r="B775" s="92"/>
      <c r="C775" s="21"/>
      <c r="D775" s="4"/>
      <c r="E775" s="4"/>
      <c r="F775" s="24"/>
      <c r="G775" s="24"/>
      <c r="H775" s="24"/>
      <c r="I775" s="24"/>
      <c r="J775" s="24"/>
    </row>
    <row r="776" spans="1:10" x14ac:dyDescent="0.35">
      <c r="A776" t="s">
        <v>894</v>
      </c>
      <c r="B776" s="92"/>
      <c r="C776" s="21"/>
      <c r="D776" s="4"/>
      <c r="E776" s="4"/>
      <c r="F776" s="24"/>
      <c r="G776" s="24"/>
      <c r="H776" s="24"/>
      <c r="I776" s="24"/>
      <c r="J776" s="24"/>
    </row>
    <row r="777" spans="1:10" x14ac:dyDescent="0.35">
      <c r="A777" t="s">
        <v>895</v>
      </c>
      <c r="B777" s="92"/>
      <c r="C777" s="21"/>
      <c r="D777" s="4"/>
      <c r="E777" s="4"/>
      <c r="F777" s="24"/>
      <c r="G777" s="24"/>
      <c r="H777" s="24"/>
      <c r="I777" s="24"/>
      <c r="J777" s="24"/>
    </row>
    <row r="778" spans="1:10" x14ac:dyDescent="0.35">
      <c r="A778" t="s">
        <v>896</v>
      </c>
      <c r="B778" s="92"/>
      <c r="C778" s="21"/>
      <c r="D778" s="4"/>
      <c r="E778" s="4"/>
      <c r="F778" s="24"/>
      <c r="G778" s="24"/>
      <c r="H778" s="24"/>
      <c r="I778" s="24"/>
      <c r="J778" s="24"/>
    </row>
    <row r="779" spans="1:10" x14ac:dyDescent="0.35">
      <c r="A779" t="s">
        <v>897</v>
      </c>
      <c r="B779" s="92"/>
      <c r="C779" s="21"/>
      <c r="D779" s="4"/>
      <c r="E779" s="4"/>
      <c r="F779" s="24"/>
      <c r="G779" s="24"/>
      <c r="H779" s="24"/>
      <c r="I779" s="24"/>
      <c r="J779" s="24"/>
    </row>
    <row r="780" spans="1:10" x14ac:dyDescent="0.35">
      <c r="A780" t="s">
        <v>898</v>
      </c>
      <c r="B780" s="92"/>
      <c r="C780" s="21"/>
      <c r="D780" s="4"/>
      <c r="E780" s="4"/>
      <c r="F780" s="24"/>
      <c r="G780" s="24"/>
      <c r="H780" s="24"/>
      <c r="I780" s="24"/>
      <c r="J780" s="24"/>
    </row>
    <row r="781" spans="1:10" x14ac:dyDescent="0.35">
      <c r="A781" t="s">
        <v>899</v>
      </c>
      <c r="B781" s="92"/>
      <c r="C781" s="21"/>
      <c r="D781" s="4"/>
      <c r="E781" s="4"/>
      <c r="F781" s="24"/>
      <c r="G781" s="24"/>
      <c r="H781" s="24"/>
      <c r="I781" s="24"/>
      <c r="J781" s="24"/>
    </row>
    <row r="782" spans="1:10" x14ac:dyDescent="0.35">
      <c r="A782" t="s">
        <v>900</v>
      </c>
      <c r="B782" s="92"/>
      <c r="C782" s="21"/>
      <c r="D782" s="4"/>
      <c r="E782" s="4"/>
      <c r="F782" s="24"/>
      <c r="G782" s="24"/>
      <c r="H782" s="24"/>
      <c r="I782" s="24"/>
      <c r="J782" s="24"/>
    </row>
    <row r="783" spans="1:10" x14ac:dyDescent="0.35">
      <c r="A783" t="s">
        <v>901</v>
      </c>
      <c r="B783" s="92"/>
      <c r="C783" s="21"/>
      <c r="D783" s="4"/>
      <c r="E783" s="4"/>
      <c r="F783" s="24"/>
      <c r="G783" s="24"/>
      <c r="H783" s="24"/>
      <c r="I783" s="24"/>
      <c r="J783" s="24"/>
    </row>
    <row r="784" spans="1:10" x14ac:dyDescent="0.35">
      <c r="A784" t="s">
        <v>902</v>
      </c>
      <c r="B784" s="92"/>
      <c r="C784" s="21"/>
      <c r="D784" s="4"/>
      <c r="E784" s="4"/>
      <c r="F784" s="24"/>
      <c r="G784" s="24"/>
      <c r="H784" s="24"/>
      <c r="I784" s="24"/>
      <c r="J784" s="24"/>
    </row>
    <row r="785" spans="1:10" x14ac:dyDescent="0.35">
      <c r="A785" t="s">
        <v>903</v>
      </c>
      <c r="B785" s="92"/>
      <c r="C785" s="21"/>
      <c r="D785" s="4"/>
      <c r="E785" s="4"/>
      <c r="F785" s="24"/>
      <c r="G785" s="24"/>
      <c r="H785" s="24"/>
      <c r="I785" s="24"/>
      <c r="J785" s="24"/>
    </row>
    <row r="786" spans="1:10" x14ac:dyDescent="0.35">
      <c r="A786" t="s">
        <v>904</v>
      </c>
      <c r="B786" s="92"/>
      <c r="C786" s="21"/>
      <c r="D786" s="4"/>
      <c r="E786" s="4"/>
      <c r="F786" s="24"/>
      <c r="G786" s="24"/>
      <c r="H786" s="24"/>
      <c r="I786" s="24"/>
      <c r="J786" s="24"/>
    </row>
    <row r="787" spans="1:10" x14ac:dyDescent="0.35">
      <c r="A787" t="s">
        <v>905</v>
      </c>
      <c r="B787" s="92"/>
      <c r="C787" s="21"/>
      <c r="D787" s="4"/>
      <c r="E787" s="4"/>
      <c r="F787" s="24"/>
      <c r="G787" s="24"/>
      <c r="H787" s="24"/>
      <c r="I787" s="24"/>
      <c r="J787" s="24"/>
    </row>
    <row r="788" spans="1:10" x14ac:dyDescent="0.35">
      <c r="A788" t="s">
        <v>906</v>
      </c>
      <c r="B788" s="92"/>
      <c r="C788" s="21"/>
      <c r="D788" s="4"/>
      <c r="E788" s="4"/>
      <c r="F788" s="24"/>
      <c r="G788" s="24"/>
      <c r="H788" s="24"/>
      <c r="I788" s="24"/>
      <c r="J788" s="24"/>
    </row>
    <row r="789" spans="1:10" x14ac:dyDescent="0.35">
      <c r="A789" t="s">
        <v>907</v>
      </c>
      <c r="B789" s="92"/>
      <c r="C789" s="21"/>
      <c r="D789" s="4"/>
      <c r="E789" s="4"/>
      <c r="F789" s="24"/>
      <c r="G789" s="24"/>
      <c r="H789" s="24"/>
      <c r="I789" s="24"/>
      <c r="J789" s="24"/>
    </row>
    <row r="790" spans="1:10" x14ac:dyDescent="0.35">
      <c r="A790" t="s">
        <v>908</v>
      </c>
      <c r="B790" s="92"/>
      <c r="C790" s="21"/>
      <c r="D790" s="4"/>
      <c r="E790" s="4"/>
      <c r="F790" s="24"/>
      <c r="G790" s="24"/>
      <c r="H790" s="24"/>
      <c r="I790" s="24"/>
      <c r="J790" s="24"/>
    </row>
    <row r="791" spans="1:10" x14ac:dyDescent="0.35">
      <c r="A791" t="s">
        <v>909</v>
      </c>
      <c r="B791" s="92"/>
      <c r="C791" s="21"/>
      <c r="D791" s="4"/>
      <c r="E791" s="4"/>
      <c r="F791" s="24"/>
      <c r="G791" s="24"/>
      <c r="H791" s="24"/>
      <c r="I791" s="24"/>
      <c r="J791" s="24"/>
    </row>
    <row r="792" spans="1:10" x14ac:dyDescent="0.35">
      <c r="A792" t="s">
        <v>910</v>
      </c>
      <c r="B792" s="92"/>
      <c r="C792" s="21"/>
      <c r="D792" s="4"/>
      <c r="E792" s="4"/>
      <c r="F792" s="24"/>
      <c r="G792" s="24"/>
      <c r="H792" s="24"/>
      <c r="I792" s="24"/>
      <c r="J792" s="24"/>
    </row>
    <row r="793" spans="1:10" x14ac:dyDescent="0.35">
      <c r="A793" t="s">
        <v>911</v>
      </c>
      <c r="B793" s="92"/>
      <c r="C793" s="21"/>
      <c r="D793" s="4"/>
      <c r="E793" s="4"/>
      <c r="F793" s="24"/>
      <c r="G793" s="24"/>
      <c r="H793" s="24"/>
      <c r="I793" s="24"/>
      <c r="J793" s="24"/>
    </row>
    <row r="794" spans="1:10" x14ac:dyDescent="0.35">
      <c r="A794" t="s">
        <v>912</v>
      </c>
      <c r="B794" s="92"/>
      <c r="C794" s="21"/>
      <c r="D794" s="4"/>
      <c r="E794" s="4"/>
      <c r="F794" s="24"/>
      <c r="G794" s="24"/>
      <c r="H794" s="24"/>
      <c r="I794" s="24"/>
      <c r="J794" s="24"/>
    </row>
    <row r="795" spans="1:10" x14ac:dyDescent="0.35">
      <c r="A795" t="s">
        <v>913</v>
      </c>
      <c r="B795" s="92"/>
      <c r="C795" s="21"/>
      <c r="D795" s="4"/>
      <c r="E795" s="4"/>
      <c r="F795" s="24"/>
      <c r="G795" s="24"/>
      <c r="H795" s="24"/>
      <c r="I795" s="24"/>
      <c r="J795" s="24"/>
    </row>
    <row r="796" spans="1:10" x14ac:dyDescent="0.35">
      <c r="A796" t="s">
        <v>914</v>
      </c>
      <c r="B796" s="92"/>
      <c r="C796" s="21"/>
      <c r="D796" s="4"/>
      <c r="E796" s="4"/>
      <c r="F796" s="24"/>
      <c r="G796" s="24"/>
      <c r="H796" s="24"/>
      <c r="I796" s="24"/>
      <c r="J796" s="24"/>
    </row>
    <row r="797" spans="1:10" x14ac:dyDescent="0.35">
      <c r="A797" t="s">
        <v>915</v>
      </c>
      <c r="B797" s="92"/>
      <c r="C797" s="21"/>
      <c r="D797" s="4"/>
      <c r="E797" s="4"/>
      <c r="F797" s="24"/>
      <c r="G797" s="24"/>
      <c r="H797" s="24"/>
      <c r="I797" s="24"/>
      <c r="J797" s="24"/>
    </row>
    <row r="798" spans="1:10" x14ac:dyDescent="0.35">
      <c r="A798" t="s">
        <v>916</v>
      </c>
      <c r="B798" s="92"/>
      <c r="C798" s="21"/>
      <c r="D798" s="4"/>
      <c r="E798" s="4"/>
      <c r="F798" s="24"/>
      <c r="G798" s="24"/>
      <c r="H798" s="24"/>
      <c r="I798" s="24"/>
      <c r="J798" s="24"/>
    </row>
    <row r="799" spans="1:10" x14ac:dyDescent="0.35">
      <c r="A799" t="s">
        <v>917</v>
      </c>
      <c r="B799" s="92"/>
      <c r="C799" s="21"/>
      <c r="D799" s="4"/>
      <c r="E799" s="4"/>
      <c r="F799" s="24"/>
      <c r="G799" s="24"/>
      <c r="H799" s="24"/>
      <c r="I799" s="24"/>
      <c r="J799" s="24"/>
    </row>
    <row r="800" spans="1:10" x14ac:dyDescent="0.35">
      <c r="A800" t="s">
        <v>918</v>
      </c>
      <c r="B800" s="92"/>
      <c r="C800" s="21"/>
      <c r="D800" s="4"/>
      <c r="E800" s="4"/>
      <c r="F800" s="24"/>
      <c r="G800" s="24"/>
      <c r="H800" s="24"/>
      <c r="I800" s="24"/>
      <c r="J800" s="24"/>
    </row>
    <row r="801" spans="1:10" x14ac:dyDescent="0.35">
      <c r="A801" t="s">
        <v>919</v>
      </c>
      <c r="B801" s="92"/>
      <c r="C801" s="21"/>
      <c r="D801" s="4"/>
      <c r="E801" s="4"/>
      <c r="F801" s="24"/>
      <c r="G801" s="24"/>
      <c r="H801" s="24"/>
      <c r="I801" s="24"/>
      <c r="J801" s="24"/>
    </row>
    <row r="802" spans="1:10" x14ac:dyDescent="0.35">
      <c r="A802" t="s">
        <v>920</v>
      </c>
      <c r="B802" s="92"/>
      <c r="C802" s="21"/>
      <c r="D802" s="4"/>
      <c r="E802" s="4"/>
      <c r="F802" s="24"/>
      <c r="G802" s="24"/>
      <c r="H802" s="24"/>
      <c r="I802" s="24"/>
      <c r="J802" s="24"/>
    </row>
    <row r="803" spans="1:10" x14ac:dyDescent="0.35">
      <c r="A803" t="s">
        <v>921</v>
      </c>
      <c r="B803" s="92"/>
      <c r="C803" s="21"/>
      <c r="D803" s="4"/>
      <c r="E803" s="4"/>
      <c r="F803" s="24"/>
      <c r="G803" s="24"/>
      <c r="H803" s="24"/>
      <c r="I803" s="24"/>
      <c r="J803" s="24"/>
    </row>
    <row r="804" spans="1:10" x14ac:dyDescent="0.35">
      <c r="A804" t="s">
        <v>922</v>
      </c>
      <c r="B804" s="92"/>
      <c r="C804" s="21"/>
      <c r="D804" s="4"/>
      <c r="E804" s="4"/>
      <c r="F804" s="24"/>
      <c r="G804" s="24"/>
      <c r="H804" s="24"/>
      <c r="I804" s="24"/>
      <c r="J804" s="24"/>
    </row>
    <row r="805" spans="1:10" x14ac:dyDescent="0.35">
      <c r="A805" t="s">
        <v>923</v>
      </c>
      <c r="B805" s="92"/>
      <c r="C805" s="21"/>
      <c r="D805" s="4"/>
      <c r="E805" s="4"/>
      <c r="F805" s="24"/>
      <c r="G805" s="24"/>
      <c r="H805" s="24"/>
      <c r="I805" s="24"/>
      <c r="J805" s="24"/>
    </row>
    <row r="806" spans="1:10" x14ac:dyDescent="0.35">
      <c r="A806" t="s">
        <v>924</v>
      </c>
      <c r="B806" s="92"/>
      <c r="C806" s="21"/>
      <c r="D806" s="4"/>
      <c r="E806" s="4"/>
      <c r="F806" s="24"/>
      <c r="G806" s="24"/>
      <c r="H806" s="24"/>
      <c r="I806" s="24"/>
      <c r="J806" s="24"/>
    </row>
    <row r="807" spans="1:10" x14ac:dyDescent="0.35">
      <c r="A807" t="s">
        <v>925</v>
      </c>
      <c r="B807" s="92"/>
      <c r="C807" s="21"/>
      <c r="D807" s="4"/>
      <c r="E807" s="4"/>
      <c r="F807" s="24"/>
      <c r="G807" s="24"/>
      <c r="H807" s="24"/>
      <c r="I807" s="24"/>
      <c r="J807" s="24"/>
    </row>
    <row r="808" spans="1:10" x14ac:dyDescent="0.35">
      <c r="A808" t="s">
        <v>926</v>
      </c>
      <c r="B808" s="92"/>
      <c r="C808" s="21"/>
      <c r="D808" s="4"/>
      <c r="E808" s="4"/>
      <c r="F808" s="24"/>
      <c r="G808" s="24"/>
      <c r="H808" s="24"/>
      <c r="I808" s="24"/>
      <c r="J808" s="24"/>
    </row>
    <row r="809" spans="1:10" x14ac:dyDescent="0.35">
      <c r="A809" t="s">
        <v>927</v>
      </c>
      <c r="B809" s="92"/>
      <c r="C809" s="21"/>
      <c r="D809" s="4"/>
      <c r="E809" s="4"/>
      <c r="F809" s="24"/>
      <c r="G809" s="24"/>
      <c r="H809" s="24"/>
      <c r="I809" s="24"/>
      <c r="J809" s="24"/>
    </row>
    <row r="810" spans="1:10" x14ac:dyDescent="0.35">
      <c r="A810" t="s">
        <v>928</v>
      </c>
      <c r="B810" s="92"/>
      <c r="C810" s="21"/>
      <c r="D810" s="4"/>
      <c r="E810" s="4"/>
      <c r="F810" s="24"/>
      <c r="G810" s="24"/>
      <c r="H810" s="24"/>
      <c r="I810" s="24"/>
      <c r="J810" s="24"/>
    </row>
    <row r="811" spans="1:10" x14ac:dyDescent="0.35">
      <c r="A811" t="s">
        <v>929</v>
      </c>
      <c r="B811" s="92"/>
      <c r="C811" s="21"/>
      <c r="D811" s="4"/>
      <c r="E811" s="4"/>
      <c r="F811" s="24"/>
      <c r="G811" s="24"/>
      <c r="H811" s="24"/>
      <c r="I811" s="24"/>
      <c r="J811" s="24"/>
    </row>
    <row r="812" spans="1:10" x14ac:dyDescent="0.35">
      <c r="A812" t="s">
        <v>930</v>
      </c>
      <c r="B812" s="92"/>
      <c r="C812" s="21"/>
      <c r="D812" s="4"/>
      <c r="E812" s="4"/>
      <c r="F812" s="24"/>
      <c r="G812" s="24"/>
      <c r="H812" s="24"/>
      <c r="I812" s="24"/>
      <c r="J812" s="24"/>
    </row>
    <row r="813" spans="1:10" x14ac:dyDescent="0.35">
      <c r="A813" t="s">
        <v>931</v>
      </c>
      <c r="B813" s="92"/>
      <c r="C813" s="21"/>
      <c r="D813" s="4"/>
      <c r="E813" s="4"/>
      <c r="F813" s="24"/>
      <c r="G813" s="24"/>
      <c r="H813" s="24"/>
      <c r="I813" s="24"/>
      <c r="J813" s="24"/>
    </row>
    <row r="814" spans="1:10" x14ac:dyDescent="0.35">
      <c r="A814" t="s">
        <v>932</v>
      </c>
      <c r="B814" s="92"/>
      <c r="C814" s="21"/>
      <c r="D814" s="4"/>
      <c r="E814" s="4"/>
      <c r="F814" s="24"/>
      <c r="G814" s="24"/>
      <c r="H814" s="24"/>
      <c r="I814" s="24"/>
      <c r="J814" s="24"/>
    </row>
    <row r="815" spans="1:10" x14ac:dyDescent="0.35">
      <c r="A815" t="s">
        <v>933</v>
      </c>
      <c r="B815" s="92"/>
      <c r="C815" s="21"/>
      <c r="D815" s="4"/>
      <c r="E815" s="4"/>
      <c r="F815" s="24"/>
      <c r="G815" s="24"/>
      <c r="H815" s="24"/>
      <c r="I815" s="24"/>
      <c r="J815" s="24"/>
    </row>
    <row r="816" spans="1:10" x14ac:dyDescent="0.35">
      <c r="A816" t="s">
        <v>934</v>
      </c>
      <c r="B816" s="92"/>
      <c r="C816" s="21"/>
      <c r="D816" s="4"/>
      <c r="E816" s="4"/>
      <c r="F816" s="24"/>
      <c r="G816" s="24"/>
      <c r="H816" s="24"/>
      <c r="I816" s="24"/>
      <c r="J816" s="24"/>
    </row>
    <row r="817" spans="1:10" x14ac:dyDescent="0.35">
      <c r="A817" t="s">
        <v>935</v>
      </c>
      <c r="B817" s="92"/>
      <c r="C817" s="21"/>
      <c r="D817" s="4"/>
      <c r="E817" s="4"/>
      <c r="F817" s="24"/>
      <c r="G817" s="24"/>
      <c r="H817" s="24"/>
      <c r="I817" s="24"/>
      <c r="J817" s="24"/>
    </row>
    <row r="818" spans="1:10" x14ac:dyDescent="0.35">
      <c r="A818" t="s">
        <v>936</v>
      </c>
      <c r="B818" s="92"/>
      <c r="C818" s="21"/>
      <c r="D818" s="4"/>
      <c r="E818" s="4"/>
      <c r="F818" s="24"/>
      <c r="G818" s="24"/>
      <c r="H818" s="24"/>
      <c r="I818" s="24"/>
      <c r="J818" s="24"/>
    </row>
    <row r="819" spans="1:10" x14ac:dyDescent="0.35">
      <c r="A819" t="s">
        <v>937</v>
      </c>
      <c r="B819" s="92"/>
      <c r="C819" s="21"/>
      <c r="D819" s="4"/>
      <c r="E819" s="4"/>
      <c r="F819" s="24"/>
      <c r="G819" s="24"/>
      <c r="H819" s="24"/>
      <c r="I819" s="24"/>
      <c r="J819" s="24"/>
    </row>
    <row r="820" spans="1:10" x14ac:dyDescent="0.35">
      <c r="A820" t="s">
        <v>938</v>
      </c>
      <c r="B820" s="92"/>
      <c r="C820" s="21"/>
      <c r="D820" s="4"/>
      <c r="E820" s="4"/>
      <c r="F820" s="24"/>
      <c r="G820" s="24"/>
      <c r="H820" s="24"/>
      <c r="I820" s="24"/>
      <c r="J820" s="24"/>
    </row>
    <row r="821" spans="1:10" x14ac:dyDescent="0.35">
      <c r="A821" t="s">
        <v>939</v>
      </c>
      <c r="B821" s="92"/>
      <c r="C821" s="21"/>
      <c r="D821" s="4"/>
      <c r="E821" s="4"/>
      <c r="F821" s="24"/>
      <c r="G821" s="24"/>
      <c r="H821" s="24"/>
      <c r="I821" s="24"/>
      <c r="J821" s="24"/>
    </row>
    <row r="822" spans="1:10" x14ac:dyDescent="0.35">
      <c r="A822" t="s">
        <v>940</v>
      </c>
      <c r="B822" s="92"/>
      <c r="C822" s="21"/>
      <c r="D822" s="4"/>
      <c r="E822" s="4"/>
      <c r="F822" s="24"/>
      <c r="G822" s="24"/>
      <c r="H822" s="24"/>
      <c r="I822" s="24"/>
      <c r="J822" s="24"/>
    </row>
    <row r="823" spans="1:10" x14ac:dyDescent="0.35">
      <c r="A823" t="s">
        <v>941</v>
      </c>
      <c r="B823" s="92"/>
      <c r="C823" s="21"/>
      <c r="D823" s="4"/>
      <c r="E823" s="4"/>
      <c r="F823" s="24"/>
      <c r="G823" s="24"/>
      <c r="H823" s="24"/>
      <c r="I823" s="24"/>
      <c r="J823" s="24"/>
    </row>
    <row r="824" spans="1:10" x14ac:dyDescent="0.35">
      <c r="A824" t="s">
        <v>942</v>
      </c>
      <c r="B824" s="92"/>
      <c r="C824" s="21"/>
      <c r="D824" s="4"/>
      <c r="E824" s="4"/>
      <c r="F824" s="24"/>
      <c r="G824" s="24"/>
      <c r="H824" s="24"/>
      <c r="I824" s="24"/>
      <c r="J824" s="24"/>
    </row>
    <row r="825" spans="1:10" x14ac:dyDescent="0.35">
      <c r="A825" t="s">
        <v>943</v>
      </c>
      <c r="B825" s="92"/>
      <c r="C825" s="21"/>
      <c r="D825" s="4"/>
      <c r="E825" s="4"/>
      <c r="F825" s="24"/>
      <c r="G825" s="24"/>
      <c r="H825" s="24"/>
      <c r="I825" s="24"/>
      <c r="J825" s="24"/>
    </row>
    <row r="826" spans="1:10" x14ac:dyDescent="0.35">
      <c r="A826" t="s">
        <v>944</v>
      </c>
      <c r="B826" s="92"/>
      <c r="C826" s="21"/>
      <c r="D826" s="4"/>
      <c r="E826" s="4"/>
      <c r="F826" s="24"/>
      <c r="G826" s="24"/>
      <c r="H826" s="24"/>
      <c r="I826" s="24"/>
      <c r="J826" s="24"/>
    </row>
    <row r="827" spans="1:10" x14ac:dyDescent="0.35">
      <c r="A827" t="s">
        <v>945</v>
      </c>
      <c r="B827" s="92"/>
      <c r="C827" s="21"/>
      <c r="D827" s="4"/>
      <c r="E827" s="4"/>
      <c r="F827" s="24"/>
      <c r="G827" s="24"/>
      <c r="H827" s="24"/>
      <c r="I827" s="24"/>
      <c r="J827" s="24"/>
    </row>
    <row r="828" spans="1:10" x14ac:dyDescent="0.35">
      <c r="A828" t="s">
        <v>946</v>
      </c>
      <c r="B828" s="92"/>
      <c r="C828" s="21"/>
      <c r="D828" s="4"/>
      <c r="E828" s="4"/>
      <c r="F828" s="24"/>
      <c r="G828" s="24"/>
      <c r="H828" s="24"/>
      <c r="I828" s="24"/>
      <c r="J828" s="24"/>
    </row>
    <row r="829" spans="1:10" x14ac:dyDescent="0.35">
      <c r="A829" t="s">
        <v>947</v>
      </c>
      <c r="B829" s="92"/>
      <c r="C829" s="21"/>
      <c r="D829" s="4"/>
      <c r="E829" s="4"/>
      <c r="F829" s="24"/>
      <c r="G829" s="24"/>
      <c r="H829" s="24"/>
      <c r="I829" s="24"/>
      <c r="J829" s="24"/>
    </row>
    <row r="830" spans="1:10" x14ac:dyDescent="0.35">
      <c r="A830" t="s">
        <v>948</v>
      </c>
      <c r="B830" s="92"/>
      <c r="C830" s="21"/>
      <c r="D830" s="4"/>
      <c r="E830" s="4"/>
      <c r="F830" s="24"/>
      <c r="G830" s="24"/>
      <c r="H830" s="24"/>
      <c r="I830" s="24"/>
      <c r="J830" s="24"/>
    </row>
    <row r="831" spans="1:10" x14ac:dyDescent="0.35">
      <c r="A831" t="s">
        <v>949</v>
      </c>
      <c r="B831" s="92"/>
      <c r="C831" s="21"/>
      <c r="D831" s="4"/>
      <c r="E831" s="4"/>
      <c r="F831" s="24"/>
      <c r="G831" s="24"/>
      <c r="H831" s="24"/>
      <c r="I831" s="24"/>
      <c r="J831" s="24"/>
    </row>
    <row r="832" spans="1:10" x14ac:dyDescent="0.35">
      <c r="A832" t="s">
        <v>950</v>
      </c>
      <c r="B832" s="92"/>
      <c r="C832" s="21"/>
      <c r="D832" s="4"/>
      <c r="E832" s="4"/>
      <c r="F832" s="24"/>
      <c r="G832" s="24"/>
      <c r="H832" s="24"/>
      <c r="I832" s="24"/>
      <c r="J832" s="24"/>
    </row>
    <row r="833" spans="1:10" x14ac:dyDescent="0.35">
      <c r="A833" t="s">
        <v>951</v>
      </c>
      <c r="B833" s="92"/>
      <c r="C833" s="21"/>
      <c r="D833" s="4"/>
      <c r="E833" s="4"/>
      <c r="F833" s="24"/>
      <c r="G833" s="24"/>
      <c r="H833" s="24"/>
      <c r="I833" s="24"/>
      <c r="J833" s="24"/>
    </row>
    <row r="834" spans="1:10" x14ac:dyDescent="0.35">
      <c r="A834" t="s">
        <v>952</v>
      </c>
      <c r="B834" s="92"/>
      <c r="C834" s="21"/>
      <c r="D834" s="4"/>
      <c r="E834" s="4"/>
      <c r="F834" s="24"/>
      <c r="G834" s="24"/>
      <c r="H834" s="24"/>
      <c r="I834" s="24"/>
      <c r="J834" s="24"/>
    </row>
    <row r="835" spans="1:10" x14ac:dyDescent="0.35">
      <c r="A835" t="s">
        <v>953</v>
      </c>
      <c r="B835" s="92"/>
      <c r="C835" s="21"/>
      <c r="D835" s="4"/>
      <c r="E835" s="4"/>
      <c r="F835" s="24"/>
      <c r="G835" s="24"/>
      <c r="H835" s="24"/>
      <c r="I835" s="24"/>
      <c r="J835" s="24"/>
    </row>
    <row r="836" spans="1:10" x14ac:dyDescent="0.35">
      <c r="A836" t="s">
        <v>954</v>
      </c>
      <c r="B836" s="92"/>
      <c r="C836" s="21"/>
      <c r="D836" s="4"/>
      <c r="E836" s="4"/>
      <c r="F836" s="24"/>
      <c r="G836" s="24"/>
      <c r="H836" s="24"/>
      <c r="I836" s="24"/>
      <c r="J836" s="24"/>
    </row>
    <row r="837" spans="1:10" x14ac:dyDescent="0.35">
      <c r="A837" t="s">
        <v>955</v>
      </c>
      <c r="B837" s="92"/>
      <c r="C837" s="21"/>
      <c r="D837" s="4"/>
      <c r="E837" s="4"/>
      <c r="F837" s="24"/>
      <c r="G837" s="24"/>
      <c r="H837" s="24"/>
      <c r="I837" s="24"/>
      <c r="J837" s="24"/>
    </row>
    <row r="838" spans="1:10" x14ac:dyDescent="0.35">
      <c r="A838" t="s">
        <v>956</v>
      </c>
      <c r="B838" s="92"/>
      <c r="C838" s="21"/>
      <c r="D838" s="4"/>
      <c r="E838" s="4"/>
      <c r="F838" s="24"/>
      <c r="G838" s="24"/>
      <c r="H838" s="24"/>
      <c r="I838" s="24"/>
      <c r="J838" s="24"/>
    </row>
    <row r="839" spans="1:10" x14ac:dyDescent="0.35">
      <c r="A839" t="s">
        <v>957</v>
      </c>
      <c r="B839" s="92"/>
      <c r="C839" s="21"/>
      <c r="D839" s="4"/>
      <c r="E839" s="4"/>
      <c r="F839" s="24"/>
      <c r="G839" s="24"/>
      <c r="H839" s="24"/>
      <c r="I839" s="24"/>
      <c r="J839" s="24"/>
    </row>
    <row r="840" spans="1:10" x14ac:dyDescent="0.35">
      <c r="A840" t="s">
        <v>958</v>
      </c>
      <c r="B840" s="92"/>
      <c r="C840" s="21"/>
      <c r="D840" s="4"/>
      <c r="E840" s="4"/>
      <c r="F840" s="24"/>
      <c r="G840" s="24"/>
      <c r="H840" s="24"/>
      <c r="I840" s="24"/>
      <c r="J840" s="24"/>
    </row>
    <row r="841" spans="1:10" x14ac:dyDescent="0.35">
      <c r="A841" t="s">
        <v>959</v>
      </c>
      <c r="B841" s="92"/>
      <c r="C841" s="21"/>
      <c r="D841" s="4"/>
      <c r="E841" s="4"/>
      <c r="F841" s="24"/>
      <c r="G841" s="24"/>
      <c r="H841" s="24"/>
      <c r="I841" s="24"/>
      <c r="J841" s="24"/>
    </row>
    <row r="842" spans="1:10" x14ac:dyDescent="0.35">
      <c r="A842" t="s">
        <v>960</v>
      </c>
      <c r="B842" s="92"/>
      <c r="C842" s="21"/>
      <c r="D842" s="4"/>
      <c r="E842" s="4"/>
      <c r="F842" s="24"/>
      <c r="G842" s="24"/>
      <c r="H842" s="24"/>
      <c r="I842" s="24"/>
      <c r="J842" s="24"/>
    </row>
    <row r="843" spans="1:10" x14ac:dyDescent="0.35">
      <c r="A843" t="s">
        <v>961</v>
      </c>
      <c r="B843" s="92"/>
      <c r="C843" s="21"/>
      <c r="D843" s="4"/>
      <c r="E843" s="4"/>
      <c r="F843" s="24"/>
      <c r="G843" s="24"/>
      <c r="H843" s="24"/>
      <c r="I843" s="24"/>
      <c r="J843" s="24"/>
    </row>
    <row r="844" spans="1:10" x14ac:dyDescent="0.35">
      <c r="A844" t="s">
        <v>962</v>
      </c>
      <c r="B844" s="92"/>
      <c r="C844" s="21"/>
      <c r="D844" s="4"/>
      <c r="E844" s="4"/>
      <c r="F844" s="24"/>
      <c r="G844" s="24"/>
      <c r="H844" s="24"/>
      <c r="I844" s="24"/>
      <c r="J844" s="24"/>
    </row>
    <row r="845" spans="1:10" x14ac:dyDescent="0.35">
      <c r="A845" t="s">
        <v>963</v>
      </c>
      <c r="B845" s="92"/>
      <c r="C845" s="21"/>
      <c r="D845" s="4"/>
      <c r="E845" s="4"/>
      <c r="F845" s="24"/>
      <c r="G845" s="24"/>
      <c r="H845" s="24"/>
      <c r="I845" s="24"/>
      <c r="J845" s="24"/>
    </row>
    <row r="846" spans="1:10" x14ac:dyDescent="0.35">
      <c r="A846" t="s">
        <v>964</v>
      </c>
      <c r="B846" s="92"/>
      <c r="C846" s="21"/>
      <c r="D846" s="4"/>
      <c r="E846" s="4"/>
      <c r="F846" s="24"/>
      <c r="G846" s="24"/>
      <c r="H846" s="24"/>
      <c r="I846" s="24"/>
      <c r="J846" s="24"/>
    </row>
    <row r="847" spans="1:10" x14ac:dyDescent="0.35">
      <c r="A847" t="s">
        <v>965</v>
      </c>
      <c r="B847" s="92"/>
      <c r="C847" s="21"/>
      <c r="D847" s="4"/>
      <c r="E847" s="4"/>
      <c r="F847" s="24"/>
      <c r="G847" s="24"/>
      <c r="H847" s="24"/>
      <c r="I847" s="24"/>
      <c r="J847" s="24"/>
    </row>
    <row r="848" spans="1:10" x14ac:dyDescent="0.35">
      <c r="A848" t="s">
        <v>966</v>
      </c>
      <c r="B848" s="92"/>
      <c r="C848" s="21"/>
      <c r="D848" s="4"/>
      <c r="E848" s="4"/>
      <c r="F848" s="24"/>
      <c r="G848" s="24"/>
      <c r="H848" s="24"/>
      <c r="I848" s="24"/>
      <c r="J848" s="24"/>
    </row>
    <row r="849" spans="1:10" x14ac:dyDescent="0.35">
      <c r="A849" t="s">
        <v>967</v>
      </c>
      <c r="B849" s="92"/>
      <c r="C849" s="21"/>
      <c r="D849" s="4"/>
      <c r="E849" s="4"/>
      <c r="F849" s="24"/>
      <c r="G849" s="24"/>
      <c r="H849" s="24"/>
      <c r="I849" s="24"/>
      <c r="J849" s="24"/>
    </row>
    <row r="850" spans="1:10" x14ac:dyDescent="0.35">
      <c r="A850" t="s">
        <v>968</v>
      </c>
      <c r="B850" s="92"/>
      <c r="C850" s="21"/>
      <c r="D850" s="4"/>
      <c r="E850" s="4"/>
      <c r="F850" s="24"/>
      <c r="G850" s="24"/>
      <c r="H850" s="24"/>
      <c r="I850" s="24"/>
      <c r="J850" s="24"/>
    </row>
    <row r="851" spans="1:10" x14ac:dyDescent="0.35">
      <c r="A851" t="s">
        <v>969</v>
      </c>
      <c r="B851" s="92"/>
      <c r="C851" s="21"/>
      <c r="D851" s="4"/>
      <c r="E851" s="4"/>
      <c r="F851" s="24"/>
      <c r="G851" s="24"/>
      <c r="H851" s="24"/>
      <c r="I851" s="24"/>
      <c r="J851" s="24"/>
    </row>
    <row r="852" spans="1:10" x14ac:dyDescent="0.35">
      <c r="A852" t="s">
        <v>970</v>
      </c>
      <c r="B852" s="92"/>
      <c r="C852" s="21"/>
      <c r="D852" s="4"/>
      <c r="E852" s="4"/>
      <c r="F852" s="24"/>
      <c r="G852" s="24"/>
      <c r="H852" s="24"/>
      <c r="I852" s="24"/>
      <c r="J852" s="24"/>
    </row>
    <row r="853" spans="1:10" x14ac:dyDescent="0.35">
      <c r="A853" t="s">
        <v>971</v>
      </c>
      <c r="B853" s="92"/>
      <c r="C853" s="21"/>
      <c r="D853" s="4"/>
      <c r="E853" s="4"/>
      <c r="F853" s="24"/>
      <c r="G853" s="24"/>
      <c r="H853" s="24"/>
      <c r="I853" s="24"/>
      <c r="J853" s="24"/>
    </row>
    <row r="854" spans="1:10" x14ac:dyDescent="0.35">
      <c r="A854" t="s">
        <v>972</v>
      </c>
      <c r="B854" s="92"/>
      <c r="C854" s="21"/>
      <c r="D854" s="4"/>
      <c r="E854" s="4"/>
      <c r="F854" s="24"/>
      <c r="G854" s="24"/>
      <c r="H854" s="24"/>
      <c r="I854" s="24"/>
      <c r="J854" s="24"/>
    </row>
    <row r="855" spans="1:10" x14ac:dyDescent="0.35">
      <c r="A855" t="s">
        <v>973</v>
      </c>
      <c r="B855" s="92"/>
      <c r="C855" s="21"/>
      <c r="D855" s="4"/>
      <c r="E855" s="4"/>
      <c r="F855" s="24"/>
      <c r="G855" s="24"/>
      <c r="H855" s="24"/>
      <c r="I855" s="24"/>
      <c r="J855" s="24"/>
    </row>
    <row r="856" spans="1:10" x14ac:dyDescent="0.35">
      <c r="A856" t="s">
        <v>974</v>
      </c>
      <c r="B856" s="92"/>
      <c r="C856" s="21"/>
      <c r="D856" s="4"/>
      <c r="E856" s="4"/>
      <c r="F856" s="24"/>
      <c r="G856" s="24"/>
      <c r="H856" s="24"/>
      <c r="I856" s="24"/>
      <c r="J856" s="24"/>
    </row>
    <row r="857" spans="1:10" x14ac:dyDescent="0.35">
      <c r="A857" t="s">
        <v>975</v>
      </c>
      <c r="B857" s="92"/>
      <c r="C857" s="21"/>
      <c r="D857" s="4"/>
      <c r="E857" s="4"/>
      <c r="F857" s="24"/>
      <c r="G857" s="24"/>
      <c r="H857" s="24"/>
      <c r="I857" s="24"/>
      <c r="J857" s="24"/>
    </row>
    <row r="858" spans="1:10" x14ac:dyDescent="0.35">
      <c r="A858" t="s">
        <v>976</v>
      </c>
      <c r="B858" s="92"/>
      <c r="C858" s="21"/>
      <c r="D858" s="4"/>
      <c r="E858" s="4"/>
      <c r="F858" s="24"/>
      <c r="G858" s="24"/>
      <c r="H858" s="24"/>
      <c r="I858" s="24"/>
      <c r="J858" s="24"/>
    </row>
    <row r="859" spans="1:10" x14ac:dyDescent="0.35">
      <c r="A859" t="s">
        <v>977</v>
      </c>
      <c r="B859" s="92"/>
      <c r="C859" s="21"/>
      <c r="D859" s="4"/>
      <c r="E859" s="4"/>
      <c r="F859" s="24"/>
      <c r="G859" s="24"/>
      <c r="H859" s="24"/>
      <c r="I859" s="24"/>
      <c r="J859" s="24"/>
    </row>
    <row r="860" spans="1:10" x14ac:dyDescent="0.35">
      <c r="A860" t="s">
        <v>978</v>
      </c>
      <c r="B860" s="92"/>
      <c r="C860" s="21"/>
      <c r="D860" s="4"/>
      <c r="E860" s="4"/>
      <c r="F860" s="24"/>
      <c r="G860" s="24"/>
      <c r="H860" s="24"/>
      <c r="I860" s="24"/>
      <c r="J860" s="24"/>
    </row>
    <row r="861" spans="1:10" x14ac:dyDescent="0.35">
      <c r="A861" t="s">
        <v>979</v>
      </c>
      <c r="B861" s="92"/>
      <c r="C861" s="21"/>
      <c r="D861" s="4"/>
      <c r="E861" s="4"/>
      <c r="F861" s="24"/>
      <c r="G861" s="24"/>
      <c r="H861" s="24"/>
      <c r="I861" s="24"/>
      <c r="J861" s="24"/>
    </row>
    <row r="862" spans="1:10" x14ac:dyDescent="0.35">
      <c r="A862" t="s">
        <v>980</v>
      </c>
      <c r="B862" s="92"/>
      <c r="C862" s="21"/>
      <c r="D862" s="4"/>
      <c r="E862" s="4"/>
      <c r="F862" s="24"/>
      <c r="G862" s="24"/>
      <c r="H862" s="24"/>
      <c r="I862" s="24"/>
      <c r="J862" s="24"/>
    </row>
    <row r="863" spans="1:10" x14ac:dyDescent="0.35">
      <c r="A863" t="s">
        <v>981</v>
      </c>
      <c r="B863" s="92"/>
      <c r="C863" s="21"/>
      <c r="D863" s="4"/>
      <c r="E863" s="4"/>
      <c r="F863" s="24"/>
      <c r="G863" s="24"/>
      <c r="H863" s="24"/>
      <c r="I863" s="24"/>
      <c r="J863" s="24"/>
    </row>
    <row r="864" spans="1:10" x14ac:dyDescent="0.35">
      <c r="A864" t="s">
        <v>982</v>
      </c>
      <c r="B864" s="92"/>
      <c r="C864" s="21"/>
      <c r="D864" s="4"/>
      <c r="E864" s="4"/>
      <c r="F864" s="24"/>
      <c r="G864" s="24"/>
      <c r="H864" s="24"/>
      <c r="I864" s="24"/>
      <c r="J864" s="24"/>
    </row>
    <row r="865" spans="1:10" x14ac:dyDescent="0.35">
      <c r="A865" t="s">
        <v>983</v>
      </c>
      <c r="B865" s="92"/>
      <c r="C865" s="21"/>
      <c r="D865" s="4"/>
      <c r="E865" s="4"/>
      <c r="F865" s="24"/>
      <c r="G865" s="24"/>
      <c r="H865" s="24"/>
      <c r="I865" s="24"/>
      <c r="J865" s="24"/>
    </row>
    <row r="866" spans="1:10" x14ac:dyDescent="0.35">
      <c r="A866" t="s">
        <v>984</v>
      </c>
      <c r="B866" s="92"/>
      <c r="C866" s="21"/>
      <c r="D866" s="4"/>
      <c r="E866" s="4"/>
      <c r="F866" s="24"/>
      <c r="G866" s="24"/>
      <c r="H866" s="24"/>
      <c r="I866" s="24"/>
      <c r="J866" s="24"/>
    </row>
    <row r="867" spans="1:10" x14ac:dyDescent="0.35">
      <c r="A867" t="s">
        <v>985</v>
      </c>
      <c r="B867" s="92"/>
      <c r="C867" s="21"/>
      <c r="D867" s="4"/>
      <c r="E867" s="4"/>
      <c r="F867" s="24"/>
      <c r="G867" s="24"/>
      <c r="H867" s="24"/>
      <c r="I867" s="24"/>
      <c r="J867" s="24"/>
    </row>
    <row r="868" spans="1:10" x14ac:dyDescent="0.35">
      <c r="A868" t="s">
        <v>986</v>
      </c>
      <c r="B868" s="92"/>
      <c r="C868" s="21"/>
      <c r="D868" s="4"/>
      <c r="E868" s="4"/>
      <c r="F868" s="24"/>
      <c r="G868" s="24"/>
      <c r="H868" s="24"/>
      <c r="I868" s="24"/>
      <c r="J868" s="24"/>
    </row>
    <row r="869" spans="1:10" x14ac:dyDescent="0.35">
      <c r="A869" t="s">
        <v>987</v>
      </c>
      <c r="B869" s="92"/>
      <c r="C869" s="21"/>
      <c r="D869" s="4"/>
      <c r="E869" s="4"/>
      <c r="F869" s="24"/>
      <c r="G869" s="24"/>
      <c r="H869" s="24"/>
      <c r="I869" s="24"/>
      <c r="J869" s="24"/>
    </row>
    <row r="870" spans="1:10" x14ac:dyDescent="0.35">
      <c r="A870" t="s">
        <v>988</v>
      </c>
      <c r="B870" s="92"/>
      <c r="C870" s="21"/>
      <c r="D870" s="4"/>
      <c r="E870" s="4"/>
      <c r="F870" s="24"/>
      <c r="G870" s="24"/>
      <c r="H870" s="24"/>
      <c r="I870" s="24"/>
      <c r="J870" s="24"/>
    </row>
    <row r="871" spans="1:10" x14ac:dyDescent="0.35">
      <c r="A871" t="s">
        <v>989</v>
      </c>
      <c r="B871" s="92"/>
      <c r="C871" s="21"/>
      <c r="D871" s="4"/>
      <c r="E871" s="4"/>
      <c r="F871" s="24"/>
      <c r="G871" s="24"/>
      <c r="H871" s="24"/>
      <c r="I871" s="24"/>
      <c r="J871" s="24"/>
    </row>
    <row r="872" spans="1:10" x14ac:dyDescent="0.35">
      <c r="A872" t="s">
        <v>990</v>
      </c>
      <c r="B872" s="92"/>
      <c r="C872" s="21"/>
      <c r="D872" s="4"/>
      <c r="E872" s="4"/>
      <c r="F872" s="24"/>
      <c r="G872" s="24"/>
      <c r="H872" s="24"/>
      <c r="I872" s="24"/>
      <c r="J872" s="24"/>
    </row>
    <row r="873" spans="1:10" x14ac:dyDescent="0.35">
      <c r="A873" t="s">
        <v>991</v>
      </c>
      <c r="B873" s="92"/>
      <c r="C873" s="21"/>
      <c r="D873" s="4"/>
      <c r="E873" s="4"/>
      <c r="F873" s="24"/>
      <c r="G873" s="24"/>
      <c r="H873" s="24"/>
      <c r="I873" s="24"/>
      <c r="J873" s="24"/>
    </row>
    <row r="874" spans="1:10" x14ac:dyDescent="0.35">
      <c r="A874" t="s">
        <v>992</v>
      </c>
      <c r="B874" s="92"/>
      <c r="C874" s="21"/>
      <c r="D874" s="4"/>
      <c r="E874" s="4"/>
      <c r="F874" s="24"/>
      <c r="G874" s="24"/>
      <c r="H874" s="24"/>
      <c r="I874" s="24"/>
      <c r="J874" s="24"/>
    </row>
    <row r="875" spans="1:10" x14ac:dyDescent="0.35">
      <c r="A875" t="s">
        <v>993</v>
      </c>
      <c r="B875" s="92"/>
      <c r="C875" s="21"/>
      <c r="D875" s="4"/>
      <c r="E875" s="4"/>
      <c r="F875" s="24"/>
      <c r="G875" s="24"/>
      <c r="H875" s="24"/>
      <c r="I875" s="24"/>
      <c r="J875" s="24"/>
    </row>
    <row r="876" spans="1:10" x14ac:dyDescent="0.35">
      <c r="A876" t="s">
        <v>994</v>
      </c>
      <c r="B876" s="92"/>
      <c r="C876" s="21"/>
      <c r="D876" s="4"/>
      <c r="E876" s="4"/>
      <c r="F876" s="24"/>
      <c r="G876" s="24"/>
      <c r="H876" s="24"/>
      <c r="I876" s="24"/>
      <c r="J876" s="24"/>
    </row>
    <row r="877" spans="1:10" x14ac:dyDescent="0.35">
      <c r="A877" t="s">
        <v>995</v>
      </c>
      <c r="B877" s="92"/>
      <c r="C877" s="21"/>
      <c r="D877" s="4"/>
      <c r="E877" s="4"/>
      <c r="F877" s="24"/>
      <c r="G877" s="24"/>
      <c r="H877" s="24"/>
      <c r="I877" s="24"/>
      <c r="J877" s="24"/>
    </row>
    <row r="878" spans="1:10" x14ac:dyDescent="0.35">
      <c r="A878" t="s">
        <v>996</v>
      </c>
      <c r="B878" s="92"/>
      <c r="C878" s="21"/>
      <c r="D878" s="4"/>
      <c r="E878" s="4"/>
      <c r="F878" s="24"/>
      <c r="G878" s="24"/>
      <c r="H878" s="24"/>
      <c r="I878" s="24"/>
      <c r="J878" s="24"/>
    </row>
    <row r="879" spans="1:10" x14ac:dyDescent="0.35">
      <c r="A879" t="s">
        <v>997</v>
      </c>
      <c r="B879" s="92"/>
      <c r="C879" s="21"/>
      <c r="D879" s="4"/>
      <c r="E879" s="4"/>
      <c r="F879" s="24"/>
      <c r="G879" s="24"/>
      <c r="H879" s="24"/>
      <c r="I879" s="24"/>
      <c r="J879" s="24"/>
    </row>
    <row r="880" spans="1:10" x14ac:dyDescent="0.35">
      <c r="A880" t="s">
        <v>998</v>
      </c>
      <c r="B880" s="92"/>
      <c r="C880" s="21"/>
      <c r="D880" s="4"/>
      <c r="E880" s="4"/>
      <c r="F880" s="24"/>
      <c r="G880" s="24"/>
      <c r="H880" s="24"/>
      <c r="I880" s="24"/>
      <c r="J880" s="24"/>
    </row>
    <row r="881" spans="1:10" x14ac:dyDescent="0.35">
      <c r="A881" t="s">
        <v>999</v>
      </c>
      <c r="B881" s="92"/>
      <c r="C881" s="21"/>
      <c r="D881" s="4"/>
      <c r="E881" s="4"/>
      <c r="F881" s="24"/>
      <c r="G881" s="24"/>
      <c r="H881" s="24"/>
      <c r="I881" s="24"/>
      <c r="J881" s="24"/>
    </row>
    <row r="882" spans="1:10" x14ac:dyDescent="0.35">
      <c r="A882" t="s">
        <v>1000</v>
      </c>
      <c r="B882" s="92"/>
      <c r="C882" s="21"/>
      <c r="D882" s="4"/>
      <c r="E882" s="4"/>
      <c r="F882" s="24"/>
      <c r="G882" s="24"/>
      <c r="H882" s="24"/>
      <c r="I882" s="24"/>
      <c r="J882" s="24"/>
    </row>
    <row r="883" spans="1:10" x14ac:dyDescent="0.35">
      <c r="A883" t="s">
        <v>1001</v>
      </c>
      <c r="B883" s="92"/>
      <c r="C883" s="21"/>
      <c r="D883" s="4"/>
      <c r="E883" s="4"/>
      <c r="F883" s="24"/>
      <c r="G883" s="24"/>
      <c r="H883" s="24"/>
      <c r="I883" s="24"/>
      <c r="J883" s="24"/>
    </row>
    <row r="884" spans="1:10" x14ac:dyDescent="0.35">
      <c r="A884" t="s">
        <v>1002</v>
      </c>
      <c r="B884" s="92"/>
      <c r="C884" s="21"/>
      <c r="D884" s="4"/>
      <c r="E884" s="4"/>
      <c r="F884" s="24"/>
      <c r="G884" s="24"/>
      <c r="H884" s="24"/>
      <c r="I884" s="24"/>
      <c r="J884" s="24"/>
    </row>
    <row r="885" spans="1:10" x14ac:dyDescent="0.35">
      <c r="A885" t="s">
        <v>1003</v>
      </c>
      <c r="B885" s="92"/>
      <c r="C885" s="21"/>
      <c r="D885" s="4"/>
      <c r="E885" s="4"/>
      <c r="F885" s="24"/>
      <c r="G885" s="24"/>
      <c r="H885" s="24"/>
      <c r="I885" s="24"/>
      <c r="J885" s="24"/>
    </row>
    <row r="886" spans="1:10" x14ac:dyDescent="0.35">
      <c r="A886" t="s">
        <v>1004</v>
      </c>
      <c r="B886" s="92"/>
      <c r="C886" s="21"/>
      <c r="D886" s="4"/>
      <c r="E886" s="4"/>
      <c r="F886" s="24"/>
      <c r="G886" s="24"/>
      <c r="H886" s="24"/>
      <c r="I886" s="24"/>
      <c r="J886" s="24"/>
    </row>
    <row r="887" spans="1:10" x14ac:dyDescent="0.35">
      <c r="A887" t="s">
        <v>1005</v>
      </c>
      <c r="B887" s="92"/>
      <c r="C887" s="21"/>
      <c r="D887" s="4"/>
      <c r="E887" s="4"/>
      <c r="F887" s="24"/>
      <c r="G887" s="24"/>
      <c r="H887" s="24"/>
      <c r="I887" s="24"/>
      <c r="J887" s="24"/>
    </row>
    <row r="888" spans="1:10" x14ac:dyDescent="0.35">
      <c r="A888" t="s">
        <v>1006</v>
      </c>
      <c r="B888" s="92"/>
      <c r="C888" s="21"/>
      <c r="D888" s="4"/>
      <c r="E888" s="4"/>
      <c r="F888" s="24"/>
      <c r="G888" s="24"/>
      <c r="H888" s="24"/>
      <c r="I888" s="24"/>
      <c r="J888" s="24"/>
    </row>
    <row r="889" spans="1:10" x14ac:dyDescent="0.35">
      <c r="A889" t="s">
        <v>1007</v>
      </c>
      <c r="B889" s="92"/>
      <c r="C889" s="21"/>
      <c r="D889" s="4"/>
      <c r="E889" s="4"/>
      <c r="F889" s="24"/>
      <c r="G889" s="24"/>
      <c r="H889" s="24"/>
      <c r="I889" s="24"/>
      <c r="J889" s="24"/>
    </row>
    <row r="890" spans="1:10" x14ac:dyDescent="0.35">
      <c r="A890" t="s">
        <v>1008</v>
      </c>
      <c r="B890" s="92"/>
      <c r="C890" s="21"/>
      <c r="D890" s="4"/>
      <c r="E890" s="4"/>
      <c r="F890" s="24"/>
      <c r="G890" s="24"/>
      <c r="H890" s="24"/>
      <c r="I890" s="24"/>
      <c r="J890" s="24"/>
    </row>
    <row r="891" spans="1:10" x14ac:dyDescent="0.35">
      <c r="A891" t="s">
        <v>1009</v>
      </c>
      <c r="B891" s="92"/>
      <c r="C891" s="21"/>
      <c r="D891" s="4"/>
      <c r="E891" s="4"/>
      <c r="F891" s="24"/>
      <c r="G891" s="24"/>
      <c r="H891" s="24"/>
      <c r="I891" s="24"/>
      <c r="J891" s="24"/>
    </row>
    <row r="892" spans="1:10" x14ac:dyDescent="0.35">
      <c r="A892" t="s">
        <v>1010</v>
      </c>
      <c r="B892" s="92"/>
      <c r="C892" s="21"/>
      <c r="D892" s="4"/>
      <c r="E892" s="4"/>
      <c r="F892" s="24"/>
      <c r="G892" s="24"/>
      <c r="H892" s="24"/>
      <c r="I892" s="24"/>
      <c r="J892" s="24"/>
    </row>
    <row r="893" spans="1:10" x14ac:dyDescent="0.35">
      <c r="A893" t="s">
        <v>1011</v>
      </c>
      <c r="B893" s="92"/>
      <c r="C893" s="21"/>
      <c r="D893" s="4"/>
      <c r="E893" s="4"/>
      <c r="F893" s="24"/>
      <c r="G893" s="24"/>
      <c r="H893" s="24"/>
      <c r="I893" s="24"/>
      <c r="J893" s="24"/>
    </row>
    <row r="894" spans="1:10" x14ac:dyDescent="0.35">
      <c r="A894" t="s">
        <v>1012</v>
      </c>
      <c r="B894" s="92"/>
      <c r="C894" s="21"/>
      <c r="D894" s="4"/>
      <c r="E894" s="4"/>
      <c r="F894" s="24"/>
      <c r="G894" s="24"/>
      <c r="H894" s="24"/>
      <c r="I894" s="24"/>
      <c r="J894" s="24"/>
    </row>
    <row r="895" spans="1:10" x14ac:dyDescent="0.35">
      <c r="A895" t="s">
        <v>1013</v>
      </c>
      <c r="B895" s="92"/>
      <c r="C895" s="21"/>
      <c r="D895" s="4"/>
      <c r="E895" s="4"/>
      <c r="F895" s="24"/>
      <c r="G895" s="24"/>
      <c r="H895" s="24"/>
      <c r="I895" s="24"/>
      <c r="J895" s="24"/>
    </row>
    <row r="896" spans="1:10" x14ac:dyDescent="0.35">
      <c r="A896" t="s">
        <v>1014</v>
      </c>
      <c r="B896" s="92"/>
      <c r="C896" s="21"/>
      <c r="D896" s="4"/>
      <c r="E896" s="4"/>
      <c r="F896" s="24"/>
      <c r="G896" s="24"/>
      <c r="H896" s="24"/>
      <c r="I896" s="24"/>
      <c r="J896" s="24"/>
    </row>
    <row r="897" spans="1:10" x14ac:dyDescent="0.35">
      <c r="A897" t="s">
        <v>1015</v>
      </c>
      <c r="B897" s="92"/>
      <c r="C897" s="21"/>
      <c r="D897" s="4"/>
      <c r="E897" s="4"/>
      <c r="F897" s="24"/>
      <c r="G897" s="24"/>
      <c r="H897" s="24"/>
      <c r="I897" s="24"/>
      <c r="J897" s="24"/>
    </row>
    <row r="898" spans="1:10" x14ac:dyDescent="0.35">
      <c r="A898" t="s">
        <v>1016</v>
      </c>
      <c r="B898" s="92"/>
      <c r="C898" s="21"/>
      <c r="D898" s="4"/>
      <c r="E898" s="4"/>
      <c r="F898" s="24"/>
      <c r="G898" s="24"/>
      <c r="H898" s="24"/>
      <c r="I898" s="24"/>
      <c r="J898" s="24"/>
    </row>
    <row r="899" spans="1:10" x14ac:dyDescent="0.35">
      <c r="A899" t="s">
        <v>1017</v>
      </c>
      <c r="B899" s="92"/>
      <c r="C899" s="21"/>
      <c r="D899" s="4"/>
      <c r="E899" s="4"/>
      <c r="F899" s="24"/>
      <c r="G899" s="24"/>
      <c r="H899" s="24"/>
      <c r="I899" s="24"/>
      <c r="J899" s="24"/>
    </row>
    <row r="900" spans="1:10" x14ac:dyDescent="0.35">
      <c r="A900" t="s">
        <v>1018</v>
      </c>
      <c r="B900" s="92"/>
      <c r="C900" s="21"/>
      <c r="D900" s="4"/>
      <c r="E900" s="4"/>
      <c r="F900" s="24"/>
      <c r="G900" s="24"/>
      <c r="H900" s="24"/>
      <c r="I900" s="24"/>
      <c r="J900" s="24"/>
    </row>
    <row r="901" spans="1:10" x14ac:dyDescent="0.35">
      <c r="A901" t="s">
        <v>1019</v>
      </c>
      <c r="B901" s="92"/>
      <c r="C901" s="21"/>
      <c r="D901" s="4"/>
      <c r="E901" s="4"/>
      <c r="F901" s="24"/>
      <c r="G901" s="24"/>
      <c r="H901" s="24"/>
      <c r="I901" s="24"/>
      <c r="J901" s="24"/>
    </row>
    <row r="902" spans="1:10" x14ac:dyDescent="0.35">
      <c r="A902" t="s">
        <v>1020</v>
      </c>
      <c r="B902" s="92"/>
      <c r="C902" s="21"/>
      <c r="D902" s="4"/>
      <c r="E902" s="4"/>
      <c r="F902" s="24"/>
      <c r="G902" s="24"/>
      <c r="H902" s="24"/>
      <c r="I902" s="24"/>
      <c r="J902" s="24"/>
    </row>
    <row r="903" spans="1:10" x14ac:dyDescent="0.35">
      <c r="A903" t="s">
        <v>1021</v>
      </c>
      <c r="B903" s="92"/>
      <c r="C903" s="21"/>
      <c r="D903" s="4"/>
      <c r="E903" s="4"/>
      <c r="F903" s="24"/>
      <c r="G903" s="24"/>
      <c r="H903" s="24"/>
      <c r="I903" s="24"/>
      <c r="J903" s="24"/>
    </row>
    <row r="904" spans="1:10" x14ac:dyDescent="0.35">
      <c r="A904" t="s">
        <v>1022</v>
      </c>
      <c r="B904" s="92"/>
      <c r="C904" s="21"/>
      <c r="D904" s="4"/>
      <c r="E904" s="4"/>
      <c r="F904" s="24"/>
      <c r="G904" s="24"/>
      <c r="H904" s="24"/>
      <c r="I904" s="24"/>
      <c r="J904" s="24"/>
    </row>
    <row r="905" spans="1:10" x14ac:dyDescent="0.35">
      <c r="A905" t="s">
        <v>1023</v>
      </c>
      <c r="B905" s="92"/>
      <c r="C905" s="21"/>
      <c r="D905" s="4"/>
      <c r="E905" s="4"/>
      <c r="F905" s="24"/>
      <c r="G905" s="24"/>
      <c r="H905" s="24"/>
      <c r="I905" s="24"/>
      <c r="J905" s="24"/>
    </row>
    <row r="906" spans="1:10" x14ac:dyDescent="0.35">
      <c r="A906" t="s">
        <v>1024</v>
      </c>
      <c r="B906" s="92"/>
      <c r="C906" s="21"/>
      <c r="D906" s="4"/>
      <c r="E906" s="4"/>
      <c r="F906" s="24"/>
      <c r="G906" s="24"/>
      <c r="H906" s="24"/>
      <c r="I906" s="24"/>
      <c r="J906" s="24"/>
    </row>
    <row r="907" spans="1:10" x14ac:dyDescent="0.35">
      <c r="A907" t="s">
        <v>1025</v>
      </c>
      <c r="B907" s="92"/>
      <c r="C907" s="21"/>
      <c r="D907" s="4"/>
      <c r="E907" s="4"/>
      <c r="F907" s="24"/>
      <c r="G907" s="24"/>
      <c r="H907" s="24"/>
      <c r="I907" s="24"/>
      <c r="J907" s="24"/>
    </row>
    <row r="908" spans="1:10" x14ac:dyDescent="0.35">
      <c r="A908" t="s">
        <v>1026</v>
      </c>
      <c r="B908" s="92"/>
      <c r="C908" s="21"/>
      <c r="D908" s="4"/>
      <c r="E908" s="4"/>
      <c r="F908" s="24"/>
      <c r="G908" s="24"/>
      <c r="H908" s="24"/>
      <c r="I908" s="24"/>
      <c r="J908" s="24"/>
    </row>
    <row r="909" spans="1:10" x14ac:dyDescent="0.35">
      <c r="A909" t="s">
        <v>1027</v>
      </c>
      <c r="B909" s="92"/>
      <c r="C909" s="21"/>
      <c r="D909" s="4"/>
      <c r="E909" s="4"/>
      <c r="F909" s="24"/>
      <c r="G909" s="24"/>
      <c r="H909" s="24"/>
      <c r="I909" s="24"/>
      <c r="J909" s="24"/>
    </row>
    <row r="910" spans="1:10" x14ac:dyDescent="0.35">
      <c r="A910" t="s">
        <v>1028</v>
      </c>
      <c r="B910" s="92"/>
      <c r="C910" s="21"/>
      <c r="D910" s="4"/>
      <c r="E910" s="4"/>
      <c r="F910" s="24"/>
      <c r="G910" s="24"/>
      <c r="H910" s="24"/>
      <c r="I910" s="24"/>
      <c r="J910" s="24"/>
    </row>
    <row r="911" spans="1:10" x14ac:dyDescent="0.35">
      <c r="A911" t="s">
        <v>1029</v>
      </c>
      <c r="B911" s="92"/>
      <c r="C911" s="21"/>
      <c r="D911" s="4"/>
      <c r="E911" s="4"/>
      <c r="F911" s="24"/>
      <c r="G911" s="24"/>
      <c r="H911" s="24"/>
      <c r="I911" s="24"/>
      <c r="J911" s="24"/>
    </row>
    <row r="912" spans="1:10" x14ac:dyDescent="0.35">
      <c r="A912" t="s">
        <v>1030</v>
      </c>
      <c r="B912" s="92"/>
      <c r="C912" s="21"/>
      <c r="D912" s="4"/>
      <c r="E912" s="4"/>
      <c r="F912" s="24"/>
      <c r="G912" s="24"/>
      <c r="H912" s="24"/>
      <c r="I912" s="24"/>
      <c r="J912" s="24"/>
    </row>
    <row r="913" spans="1:10" x14ac:dyDescent="0.35">
      <c r="A913" t="s">
        <v>1031</v>
      </c>
      <c r="B913" s="92"/>
      <c r="C913" s="21"/>
      <c r="D913" s="4"/>
      <c r="E913" s="4"/>
      <c r="F913" s="24"/>
      <c r="G913" s="24"/>
      <c r="H913" s="24"/>
      <c r="I913" s="24"/>
      <c r="J913" s="24"/>
    </row>
    <row r="914" spans="1:10" x14ac:dyDescent="0.35">
      <c r="A914" t="s">
        <v>1032</v>
      </c>
      <c r="B914" s="92"/>
      <c r="C914" s="21"/>
      <c r="D914" s="4"/>
      <c r="E914" s="4"/>
      <c r="F914" s="24"/>
      <c r="G914" s="24"/>
      <c r="H914" s="24"/>
      <c r="I914" s="24"/>
      <c r="J914" s="24"/>
    </row>
    <row r="915" spans="1:10" x14ac:dyDescent="0.35">
      <c r="A915" t="s">
        <v>1033</v>
      </c>
      <c r="B915" s="92"/>
      <c r="C915" s="21"/>
      <c r="D915" s="4"/>
      <c r="E915" s="4"/>
      <c r="F915" s="24"/>
      <c r="G915" s="24"/>
      <c r="H915" s="24"/>
      <c r="I915" s="24"/>
      <c r="J915" s="24"/>
    </row>
    <row r="916" spans="1:10" x14ac:dyDescent="0.35">
      <c r="A916" t="s">
        <v>1034</v>
      </c>
      <c r="B916" s="92"/>
      <c r="C916" s="21"/>
      <c r="D916" s="4"/>
      <c r="E916" s="4"/>
      <c r="F916" s="24"/>
      <c r="G916" s="24"/>
      <c r="H916" s="24"/>
      <c r="I916" s="24"/>
      <c r="J916" s="24"/>
    </row>
    <row r="917" spans="1:10" x14ac:dyDescent="0.35">
      <c r="A917" t="s">
        <v>1035</v>
      </c>
      <c r="B917" s="92"/>
      <c r="C917" s="21"/>
      <c r="D917" s="4"/>
      <c r="E917" s="4"/>
      <c r="F917" s="24"/>
      <c r="G917" s="24"/>
      <c r="H917" s="24"/>
      <c r="I917" s="24"/>
      <c r="J917" s="24"/>
    </row>
    <row r="918" spans="1:10" x14ac:dyDescent="0.35">
      <c r="A918" t="s">
        <v>1036</v>
      </c>
      <c r="B918" s="92"/>
      <c r="C918" s="21"/>
      <c r="D918" s="4"/>
      <c r="E918" s="4"/>
      <c r="F918" s="24"/>
      <c r="G918" s="24"/>
      <c r="H918" s="24"/>
      <c r="I918" s="24"/>
      <c r="J918" s="24"/>
    </row>
    <row r="919" spans="1:10" x14ac:dyDescent="0.35">
      <c r="A919" t="s">
        <v>1037</v>
      </c>
      <c r="B919" s="92"/>
      <c r="C919" s="21"/>
      <c r="D919" s="4"/>
      <c r="E919" s="4"/>
      <c r="F919" s="24"/>
      <c r="G919" s="24"/>
      <c r="H919" s="24"/>
      <c r="I919" s="24"/>
      <c r="J919" s="24"/>
    </row>
    <row r="920" spans="1:10" x14ac:dyDescent="0.35">
      <c r="A920" t="s">
        <v>1038</v>
      </c>
      <c r="B920" s="92"/>
      <c r="C920" s="21"/>
      <c r="D920" s="4"/>
      <c r="E920" s="4"/>
      <c r="F920" s="24"/>
      <c r="G920" s="24"/>
      <c r="H920" s="24"/>
      <c r="I920" s="24"/>
      <c r="J920" s="24"/>
    </row>
    <row r="921" spans="1:10" x14ac:dyDescent="0.35">
      <c r="A921" t="s">
        <v>1039</v>
      </c>
      <c r="B921" s="92"/>
      <c r="C921" s="21"/>
      <c r="D921" s="4"/>
      <c r="E921" s="4"/>
      <c r="F921" s="24"/>
      <c r="G921" s="24"/>
      <c r="H921" s="24"/>
      <c r="I921" s="24"/>
      <c r="J921" s="24"/>
    </row>
    <row r="922" spans="1:10" x14ac:dyDescent="0.35">
      <c r="A922" t="s">
        <v>1040</v>
      </c>
      <c r="B922" s="92"/>
      <c r="C922" s="21"/>
      <c r="D922" s="4"/>
      <c r="E922" s="4"/>
      <c r="F922" s="24"/>
      <c r="G922" s="24"/>
      <c r="H922" s="24"/>
      <c r="I922" s="24"/>
      <c r="J922" s="24"/>
    </row>
    <row r="923" spans="1:10" x14ac:dyDescent="0.35">
      <c r="A923" t="s">
        <v>1041</v>
      </c>
      <c r="B923" s="92"/>
      <c r="C923" s="21"/>
      <c r="D923" s="4"/>
      <c r="E923" s="4"/>
      <c r="F923" s="24"/>
      <c r="G923" s="24"/>
      <c r="H923" s="24"/>
      <c r="I923" s="24"/>
      <c r="J923" s="24"/>
    </row>
    <row r="924" spans="1:10" x14ac:dyDescent="0.35">
      <c r="A924" t="s">
        <v>1042</v>
      </c>
      <c r="B924" s="92"/>
      <c r="C924" s="21"/>
      <c r="D924" s="4"/>
      <c r="E924" s="4"/>
      <c r="F924" s="24"/>
      <c r="G924" s="24"/>
      <c r="H924" s="24"/>
      <c r="I924" s="24"/>
      <c r="J924" s="24"/>
    </row>
    <row r="925" spans="1:10" x14ac:dyDescent="0.35">
      <c r="A925" t="s">
        <v>1043</v>
      </c>
      <c r="B925" s="92"/>
      <c r="C925" s="21"/>
      <c r="D925" s="4"/>
      <c r="E925" s="4"/>
      <c r="F925" s="24"/>
      <c r="G925" s="24"/>
      <c r="H925" s="24"/>
      <c r="I925" s="24"/>
      <c r="J925" s="24"/>
    </row>
    <row r="926" spans="1:10" x14ac:dyDescent="0.35">
      <c r="A926" t="s">
        <v>1044</v>
      </c>
      <c r="B926" s="92"/>
      <c r="C926" s="21"/>
      <c r="D926" s="4"/>
      <c r="E926" s="4"/>
      <c r="F926" s="24"/>
      <c r="G926" s="24"/>
      <c r="H926" s="24"/>
      <c r="I926" s="24"/>
      <c r="J926" s="24"/>
    </row>
    <row r="927" spans="1:10" x14ac:dyDescent="0.35">
      <c r="A927" t="s">
        <v>1045</v>
      </c>
      <c r="B927" s="92"/>
      <c r="C927" s="21"/>
      <c r="D927" s="4"/>
      <c r="E927" s="4"/>
      <c r="F927" s="24"/>
      <c r="G927" s="24"/>
      <c r="H927" s="24"/>
      <c r="I927" s="24"/>
      <c r="J927" s="24"/>
    </row>
    <row r="928" spans="1:10" x14ac:dyDescent="0.35">
      <c r="A928" t="s">
        <v>1046</v>
      </c>
      <c r="B928" s="92"/>
      <c r="C928" s="21"/>
      <c r="D928" s="4"/>
      <c r="E928" s="4"/>
      <c r="F928" s="24"/>
      <c r="G928" s="24"/>
      <c r="H928" s="24"/>
      <c r="I928" s="24"/>
      <c r="J928" s="24"/>
    </row>
    <row r="929" spans="1:10" x14ac:dyDescent="0.35">
      <c r="A929" t="s">
        <v>1047</v>
      </c>
      <c r="B929" s="92"/>
      <c r="C929" s="21"/>
      <c r="D929" s="4"/>
      <c r="E929" s="4"/>
      <c r="F929" s="24"/>
      <c r="G929" s="24"/>
      <c r="H929" s="24"/>
      <c r="I929" s="24"/>
      <c r="J929" s="24"/>
    </row>
    <row r="930" spans="1:10" x14ac:dyDescent="0.35">
      <c r="A930" t="s">
        <v>1048</v>
      </c>
      <c r="B930" s="92"/>
      <c r="C930" s="21"/>
      <c r="D930" s="4"/>
      <c r="E930" s="4"/>
      <c r="F930" s="24"/>
      <c r="G930" s="24"/>
      <c r="H930" s="24"/>
      <c r="I930" s="24"/>
      <c r="J930" s="24"/>
    </row>
    <row r="931" spans="1:10" x14ac:dyDescent="0.35">
      <c r="A931" t="s">
        <v>1049</v>
      </c>
      <c r="B931" s="92"/>
      <c r="C931" s="21"/>
      <c r="D931" s="4"/>
      <c r="E931" s="4"/>
      <c r="F931" s="24"/>
      <c r="G931" s="24"/>
      <c r="H931" s="24"/>
      <c r="I931" s="24"/>
      <c r="J931" s="24"/>
    </row>
    <row r="932" spans="1:10" x14ac:dyDescent="0.35">
      <c r="A932" t="s">
        <v>1050</v>
      </c>
      <c r="B932" s="92"/>
      <c r="C932" s="21"/>
      <c r="D932" s="4"/>
      <c r="E932" s="4"/>
      <c r="F932" s="24"/>
      <c r="G932" s="24"/>
      <c r="H932" s="24"/>
      <c r="I932" s="24"/>
      <c r="J932" s="24"/>
    </row>
    <row r="933" spans="1:10" x14ac:dyDescent="0.35">
      <c r="A933" t="s">
        <v>1051</v>
      </c>
      <c r="B933" s="92"/>
      <c r="C933" s="21"/>
      <c r="D933" s="4"/>
      <c r="E933" s="4"/>
      <c r="F933" s="24"/>
      <c r="G933" s="24"/>
      <c r="H933" s="24"/>
      <c r="I933" s="24"/>
      <c r="J933" s="24"/>
    </row>
    <row r="934" spans="1:10" x14ac:dyDescent="0.35">
      <c r="A934" t="s">
        <v>1052</v>
      </c>
      <c r="B934" s="92"/>
      <c r="C934" s="21"/>
      <c r="D934" s="4"/>
      <c r="E934" s="4"/>
      <c r="F934" s="24"/>
      <c r="G934" s="24"/>
      <c r="H934" s="24"/>
      <c r="I934" s="24"/>
      <c r="J934" s="24"/>
    </row>
    <row r="935" spans="1:10" x14ac:dyDescent="0.35">
      <c r="A935" t="s">
        <v>1053</v>
      </c>
      <c r="B935" s="92"/>
      <c r="C935" s="21"/>
      <c r="D935" s="4"/>
      <c r="E935" s="4"/>
      <c r="F935" s="24"/>
      <c r="G935" s="24"/>
      <c r="H935" s="24"/>
      <c r="I935" s="24"/>
      <c r="J935" s="24"/>
    </row>
    <row r="936" spans="1:10" x14ac:dyDescent="0.35">
      <c r="A936" t="s">
        <v>1054</v>
      </c>
      <c r="B936" s="92"/>
      <c r="C936" s="21"/>
      <c r="D936" s="4"/>
      <c r="E936" s="4"/>
      <c r="F936" s="24"/>
      <c r="G936" s="24"/>
      <c r="H936" s="24"/>
      <c r="I936" s="24"/>
      <c r="J936" s="24"/>
    </row>
    <row r="937" spans="1:10" x14ac:dyDescent="0.35">
      <c r="A937" t="s">
        <v>1055</v>
      </c>
      <c r="B937" s="92"/>
      <c r="C937" s="21"/>
      <c r="D937" s="4"/>
      <c r="E937" s="4"/>
      <c r="F937" s="24"/>
      <c r="G937" s="24"/>
      <c r="H937" s="24"/>
      <c r="I937" s="24"/>
      <c r="J937" s="24"/>
    </row>
    <row r="938" spans="1:10" x14ac:dyDescent="0.35">
      <c r="A938" t="s">
        <v>1056</v>
      </c>
      <c r="B938" s="92"/>
      <c r="C938" s="21"/>
      <c r="D938" s="4"/>
      <c r="E938" s="4"/>
      <c r="F938" s="24"/>
      <c r="G938" s="24"/>
      <c r="H938" s="24"/>
      <c r="I938" s="24"/>
      <c r="J938" s="24"/>
    </row>
    <row r="939" spans="1:10" x14ac:dyDescent="0.35">
      <c r="A939" t="s">
        <v>1057</v>
      </c>
      <c r="B939" s="92"/>
      <c r="C939" s="21"/>
      <c r="D939" s="4"/>
      <c r="E939" s="4"/>
      <c r="F939" s="24"/>
      <c r="G939" s="24"/>
      <c r="H939" s="24"/>
      <c r="I939" s="24"/>
      <c r="J939" s="24"/>
    </row>
    <row r="940" spans="1:10" x14ac:dyDescent="0.35">
      <c r="A940" t="s">
        <v>1058</v>
      </c>
      <c r="B940" s="92"/>
      <c r="C940" s="21"/>
      <c r="D940" s="4"/>
      <c r="E940" s="4"/>
      <c r="F940" s="24"/>
      <c r="G940" s="24"/>
      <c r="H940" s="24"/>
      <c r="I940" s="24"/>
      <c r="J940" s="24"/>
    </row>
    <row r="941" spans="1:10" x14ac:dyDescent="0.35">
      <c r="A941" t="s">
        <v>1059</v>
      </c>
      <c r="B941" s="92"/>
      <c r="C941" s="21"/>
      <c r="D941" s="4"/>
      <c r="E941" s="4"/>
      <c r="F941" s="24"/>
      <c r="G941" s="24"/>
      <c r="H941" s="24"/>
      <c r="I941" s="24"/>
      <c r="J941" s="24"/>
    </row>
    <row r="942" spans="1:10" x14ac:dyDescent="0.35">
      <c r="A942" t="s">
        <v>1060</v>
      </c>
      <c r="B942" s="92"/>
      <c r="C942" s="21"/>
      <c r="D942" s="4"/>
      <c r="E942" s="4"/>
      <c r="F942" s="24"/>
      <c r="G942" s="24"/>
      <c r="H942" s="24"/>
      <c r="I942" s="24"/>
      <c r="J942" s="24"/>
    </row>
    <row r="943" spans="1:10" x14ac:dyDescent="0.35">
      <c r="A943" t="s">
        <v>1061</v>
      </c>
      <c r="B943" s="92"/>
      <c r="C943" s="21"/>
      <c r="D943" s="4"/>
      <c r="E943" s="4"/>
      <c r="F943" s="24"/>
      <c r="G943" s="24"/>
      <c r="H943" s="24"/>
      <c r="I943" s="24"/>
      <c r="J943" s="24"/>
    </row>
    <row r="944" spans="1:10" x14ac:dyDescent="0.35">
      <c r="A944" t="s">
        <v>1062</v>
      </c>
      <c r="B944" s="92"/>
      <c r="C944" s="21"/>
      <c r="D944" s="4"/>
      <c r="E944" s="4"/>
      <c r="F944" s="24"/>
      <c r="G944" s="24"/>
      <c r="H944" s="24"/>
      <c r="I944" s="24"/>
      <c r="J944" s="24"/>
    </row>
    <row r="945" spans="1:10" x14ac:dyDescent="0.35">
      <c r="A945" t="s">
        <v>1063</v>
      </c>
      <c r="B945" s="92"/>
      <c r="C945" s="21"/>
      <c r="D945" s="4"/>
      <c r="E945" s="4"/>
      <c r="F945" s="24"/>
      <c r="G945" s="24"/>
      <c r="H945" s="24"/>
      <c r="I945" s="24"/>
      <c r="J945" s="24"/>
    </row>
    <row r="946" spans="1:10" x14ac:dyDescent="0.35">
      <c r="A946" t="s">
        <v>1064</v>
      </c>
      <c r="B946" s="92"/>
      <c r="C946" s="21"/>
      <c r="D946" s="4"/>
      <c r="E946" s="4"/>
      <c r="F946" s="24"/>
      <c r="G946" s="24"/>
      <c r="H946" s="24"/>
      <c r="I946" s="24"/>
      <c r="J946" s="24"/>
    </row>
    <row r="947" spans="1:10" x14ac:dyDescent="0.35">
      <c r="A947" t="s">
        <v>1065</v>
      </c>
      <c r="B947" s="92"/>
      <c r="C947" s="21"/>
      <c r="D947" s="4"/>
      <c r="E947" s="4"/>
      <c r="F947" s="24"/>
      <c r="G947" s="24"/>
      <c r="H947" s="24"/>
      <c r="I947" s="24"/>
      <c r="J947" s="24"/>
    </row>
    <row r="948" spans="1:10" x14ac:dyDescent="0.35">
      <c r="A948" t="s">
        <v>1066</v>
      </c>
      <c r="B948" s="92"/>
      <c r="C948" s="21"/>
      <c r="D948" s="4"/>
      <c r="E948" s="4"/>
      <c r="F948" s="24"/>
      <c r="G948" s="24"/>
      <c r="H948" s="24"/>
      <c r="I948" s="24"/>
      <c r="J948" s="24"/>
    </row>
    <row r="949" spans="1:10" x14ac:dyDescent="0.35">
      <c r="A949" t="s">
        <v>1067</v>
      </c>
      <c r="B949" s="92"/>
      <c r="C949" s="21"/>
      <c r="D949" s="4"/>
      <c r="E949" s="4"/>
      <c r="F949" s="24"/>
      <c r="G949" s="24"/>
      <c r="H949" s="24"/>
      <c r="I949" s="24"/>
      <c r="J949" s="24"/>
    </row>
    <row r="950" spans="1:10" x14ac:dyDescent="0.35">
      <c r="A950" t="s">
        <v>1068</v>
      </c>
      <c r="B950" s="92"/>
      <c r="C950" s="21"/>
      <c r="D950" s="4"/>
      <c r="E950" s="4"/>
      <c r="F950" s="24"/>
      <c r="G950" s="24"/>
      <c r="H950" s="24"/>
      <c r="I950" s="24"/>
      <c r="J950" s="24"/>
    </row>
    <row r="951" spans="1:10" x14ac:dyDescent="0.35">
      <c r="A951" t="s">
        <v>1069</v>
      </c>
      <c r="B951" s="92"/>
      <c r="C951" s="21"/>
      <c r="D951" s="4"/>
      <c r="E951" s="4"/>
      <c r="F951" s="24"/>
      <c r="G951" s="24"/>
      <c r="H951" s="24"/>
      <c r="I951" s="24"/>
      <c r="J951" s="24"/>
    </row>
    <row r="952" spans="1:10" x14ac:dyDescent="0.35">
      <c r="A952" t="s">
        <v>1070</v>
      </c>
      <c r="B952" s="92"/>
      <c r="C952" s="21"/>
      <c r="D952" s="4"/>
      <c r="E952" s="4"/>
      <c r="F952" s="24"/>
      <c r="G952" s="24"/>
      <c r="H952" s="24"/>
      <c r="I952" s="24"/>
      <c r="J952" s="24"/>
    </row>
    <row r="953" spans="1:10" x14ac:dyDescent="0.35">
      <c r="A953" t="s">
        <v>1071</v>
      </c>
      <c r="B953" s="92"/>
      <c r="C953" s="21"/>
      <c r="D953" s="4"/>
      <c r="E953" s="4"/>
      <c r="F953" s="24"/>
      <c r="G953" s="24"/>
      <c r="H953" s="24"/>
      <c r="I953" s="24"/>
      <c r="J953" s="24"/>
    </row>
    <row r="954" spans="1:10" x14ac:dyDescent="0.35">
      <c r="A954" t="s">
        <v>1072</v>
      </c>
      <c r="B954" s="92"/>
      <c r="C954" s="21"/>
      <c r="D954" s="4"/>
      <c r="E954" s="4"/>
      <c r="F954" s="24"/>
      <c r="G954" s="24"/>
      <c r="H954" s="24"/>
      <c r="I954" s="24"/>
      <c r="J954" s="24"/>
    </row>
    <row r="955" spans="1:10" x14ac:dyDescent="0.35">
      <c r="A955" t="s">
        <v>1073</v>
      </c>
      <c r="B955" s="92"/>
      <c r="C955" s="21"/>
      <c r="D955" s="4"/>
      <c r="E955" s="4"/>
      <c r="F955" s="24"/>
      <c r="G955" s="24"/>
      <c r="H955" s="24"/>
      <c r="I955" s="24"/>
      <c r="J955" s="24"/>
    </row>
    <row r="956" spans="1:10" x14ac:dyDescent="0.35">
      <c r="A956" t="s">
        <v>1074</v>
      </c>
      <c r="B956" s="92"/>
      <c r="C956" s="21"/>
      <c r="D956" s="4"/>
      <c r="E956" s="4"/>
      <c r="F956" s="24"/>
      <c r="G956" s="24"/>
      <c r="H956" s="24"/>
      <c r="I956" s="24"/>
      <c r="J956" s="24"/>
    </row>
    <row r="957" spans="1:10" x14ac:dyDescent="0.35">
      <c r="A957" t="s">
        <v>1075</v>
      </c>
      <c r="B957" s="92"/>
      <c r="C957" s="21"/>
      <c r="D957" s="4"/>
      <c r="E957" s="4"/>
      <c r="F957" s="24"/>
      <c r="G957" s="24"/>
      <c r="H957" s="24"/>
      <c r="I957" s="24"/>
      <c r="J957" s="24"/>
    </row>
    <row r="958" spans="1:10" x14ac:dyDescent="0.35">
      <c r="A958" t="s">
        <v>1076</v>
      </c>
      <c r="B958" s="92"/>
      <c r="C958" s="21"/>
      <c r="D958" s="4"/>
      <c r="E958" s="4"/>
      <c r="F958" s="24"/>
      <c r="G958" s="24"/>
      <c r="H958" s="24"/>
      <c r="I958" s="24"/>
      <c r="J958" s="24"/>
    </row>
    <row r="959" spans="1:10" x14ac:dyDescent="0.35">
      <c r="A959" t="s">
        <v>1077</v>
      </c>
      <c r="B959" s="92"/>
      <c r="C959" s="21"/>
      <c r="D959" s="4"/>
      <c r="E959" s="4"/>
      <c r="F959" s="24"/>
      <c r="G959" s="24"/>
      <c r="H959" s="24"/>
      <c r="I959" s="24"/>
      <c r="J959" s="24"/>
    </row>
    <row r="960" spans="1:10" x14ac:dyDescent="0.35">
      <c r="A960" t="s">
        <v>1078</v>
      </c>
      <c r="B960" s="92"/>
      <c r="C960" s="21"/>
      <c r="D960" s="4"/>
      <c r="E960" s="4"/>
      <c r="F960" s="24"/>
      <c r="G960" s="24"/>
      <c r="H960" s="24"/>
      <c r="I960" s="24"/>
      <c r="J960" s="24"/>
    </row>
    <row r="961" spans="1:10" x14ac:dyDescent="0.35">
      <c r="A961" t="s">
        <v>1079</v>
      </c>
      <c r="B961" s="92"/>
      <c r="C961" s="21"/>
      <c r="D961" s="4"/>
      <c r="E961" s="4"/>
      <c r="F961" s="24"/>
      <c r="G961" s="24"/>
      <c r="H961" s="24"/>
      <c r="I961" s="24"/>
      <c r="J961" s="24"/>
    </row>
    <row r="962" spans="1:10" x14ac:dyDescent="0.35">
      <c r="A962" t="s">
        <v>1080</v>
      </c>
      <c r="B962" s="92"/>
      <c r="C962" s="21"/>
      <c r="D962" s="4"/>
      <c r="E962" s="4"/>
      <c r="F962" s="24"/>
      <c r="G962" s="24"/>
      <c r="H962" s="24"/>
      <c r="I962" s="24"/>
      <c r="J962" s="24"/>
    </row>
    <row r="963" spans="1:10" x14ac:dyDescent="0.35">
      <c r="A963" t="s">
        <v>1081</v>
      </c>
      <c r="B963" s="92"/>
      <c r="C963" s="21"/>
      <c r="D963" s="4"/>
      <c r="E963" s="4"/>
      <c r="F963" s="24"/>
      <c r="G963" s="24"/>
      <c r="H963" s="24"/>
      <c r="I963" s="24"/>
      <c r="J963" s="24"/>
    </row>
    <row r="964" spans="1:10" x14ac:dyDescent="0.35">
      <c r="A964" t="s">
        <v>1082</v>
      </c>
      <c r="B964" s="92"/>
      <c r="C964" s="21"/>
      <c r="D964" s="4"/>
      <c r="E964" s="4"/>
      <c r="F964" s="24"/>
      <c r="G964" s="24"/>
      <c r="H964" s="24"/>
      <c r="I964" s="24"/>
      <c r="J964" s="24"/>
    </row>
    <row r="965" spans="1:10" x14ac:dyDescent="0.35">
      <c r="A965" t="s">
        <v>1083</v>
      </c>
      <c r="B965" s="92"/>
      <c r="C965" s="21"/>
      <c r="D965" s="4"/>
      <c r="E965" s="4"/>
      <c r="F965" s="24"/>
      <c r="G965" s="24"/>
      <c r="H965" s="24"/>
      <c r="I965" s="24"/>
      <c r="J965" s="24"/>
    </row>
    <row r="966" spans="1:10" x14ac:dyDescent="0.35">
      <c r="A966" t="s">
        <v>1084</v>
      </c>
      <c r="B966" s="92"/>
      <c r="C966" s="21"/>
      <c r="D966" s="4"/>
      <c r="E966" s="4"/>
      <c r="F966" s="24"/>
      <c r="G966" s="24"/>
      <c r="H966" s="24"/>
      <c r="I966" s="24"/>
      <c r="J966" s="24"/>
    </row>
    <row r="967" spans="1:10" x14ac:dyDescent="0.35">
      <c r="A967" t="s">
        <v>1085</v>
      </c>
      <c r="B967" s="92"/>
      <c r="C967" s="21"/>
      <c r="D967" s="4"/>
      <c r="E967" s="4"/>
      <c r="F967" s="24"/>
      <c r="G967" s="24"/>
      <c r="H967" s="24"/>
      <c r="I967" s="24"/>
      <c r="J967" s="24"/>
    </row>
    <row r="968" spans="1:10" x14ac:dyDescent="0.35">
      <c r="A968" t="s">
        <v>1086</v>
      </c>
      <c r="B968" s="92"/>
      <c r="C968" s="21"/>
      <c r="D968" s="4"/>
      <c r="E968" s="4"/>
      <c r="F968" s="24"/>
      <c r="G968" s="24"/>
      <c r="H968" s="24"/>
      <c r="I968" s="24"/>
      <c r="J968" s="24"/>
    </row>
    <row r="969" spans="1:10" x14ac:dyDescent="0.35">
      <c r="A969" t="s">
        <v>1087</v>
      </c>
      <c r="B969" s="92"/>
      <c r="C969" s="21"/>
      <c r="D969" s="4"/>
      <c r="E969" s="4"/>
      <c r="F969" s="24"/>
      <c r="G969" s="24"/>
      <c r="H969" s="24"/>
      <c r="I969" s="24"/>
      <c r="J969" s="24"/>
    </row>
    <row r="970" spans="1:10" x14ac:dyDescent="0.35">
      <c r="A970" t="s">
        <v>1088</v>
      </c>
      <c r="B970" s="92"/>
      <c r="C970" s="21"/>
      <c r="D970" s="4"/>
      <c r="E970" s="4"/>
      <c r="F970" s="24"/>
      <c r="G970" s="24"/>
      <c r="H970" s="24"/>
      <c r="I970" s="24"/>
      <c r="J970" s="24"/>
    </row>
    <row r="971" spans="1:10" x14ac:dyDescent="0.35">
      <c r="A971" t="s">
        <v>1089</v>
      </c>
      <c r="B971" s="92"/>
      <c r="C971" s="21"/>
      <c r="D971" s="4"/>
      <c r="E971" s="4"/>
      <c r="F971" s="24"/>
      <c r="G971" s="24"/>
      <c r="H971" s="24"/>
      <c r="I971" s="24"/>
      <c r="J971" s="24"/>
    </row>
    <row r="972" spans="1:10" x14ac:dyDescent="0.35">
      <c r="A972" t="s">
        <v>1090</v>
      </c>
      <c r="B972" s="92"/>
      <c r="C972" s="21"/>
      <c r="D972" s="4"/>
      <c r="E972" s="4"/>
      <c r="F972" s="24"/>
      <c r="G972" s="24"/>
      <c r="H972" s="24"/>
      <c r="I972" s="24"/>
      <c r="J972" s="24"/>
    </row>
    <row r="973" spans="1:10" x14ac:dyDescent="0.35">
      <c r="A973" t="s">
        <v>1091</v>
      </c>
      <c r="B973" s="92"/>
      <c r="C973" s="21"/>
      <c r="D973" s="4"/>
      <c r="E973" s="4"/>
      <c r="F973" s="24"/>
      <c r="G973" s="24"/>
      <c r="H973" s="24"/>
      <c r="I973" s="24"/>
      <c r="J973" s="24"/>
    </row>
    <row r="974" spans="1:10" x14ac:dyDescent="0.35">
      <c r="A974" t="s">
        <v>1092</v>
      </c>
      <c r="B974" s="92"/>
      <c r="C974" s="21"/>
      <c r="D974" s="4"/>
      <c r="E974" s="4"/>
      <c r="F974" s="24"/>
      <c r="G974" s="24"/>
      <c r="H974" s="24"/>
      <c r="I974" s="24"/>
      <c r="J974" s="24"/>
    </row>
    <row r="975" spans="1:10" x14ac:dyDescent="0.35">
      <c r="A975" t="s">
        <v>1093</v>
      </c>
      <c r="B975" s="92"/>
      <c r="C975" s="21"/>
      <c r="D975" s="4"/>
      <c r="E975" s="4"/>
      <c r="F975" s="24"/>
      <c r="G975" s="24"/>
      <c r="H975" s="24"/>
      <c r="I975" s="24"/>
      <c r="J975" s="24"/>
    </row>
    <row r="976" spans="1:10" x14ac:dyDescent="0.35">
      <c r="A976" t="s">
        <v>1094</v>
      </c>
      <c r="B976" s="92"/>
      <c r="C976" s="21"/>
      <c r="D976" s="4"/>
      <c r="E976" s="4"/>
      <c r="F976" s="24"/>
      <c r="G976" s="24"/>
      <c r="H976" s="24"/>
      <c r="I976" s="24"/>
      <c r="J976" s="24"/>
    </row>
    <row r="977" spans="1:10" x14ac:dyDescent="0.35">
      <c r="A977" t="s">
        <v>1095</v>
      </c>
      <c r="B977" s="92"/>
      <c r="C977" s="21"/>
      <c r="D977" s="4"/>
      <c r="E977" s="4"/>
      <c r="F977" s="24"/>
      <c r="G977" s="24"/>
      <c r="H977" s="24"/>
      <c r="I977" s="24"/>
      <c r="J977" s="24"/>
    </row>
    <row r="978" spans="1:10" x14ac:dyDescent="0.35">
      <c r="A978" t="s">
        <v>1096</v>
      </c>
      <c r="B978" s="92"/>
      <c r="C978" s="21"/>
      <c r="D978" s="4"/>
      <c r="E978" s="4"/>
      <c r="F978" s="24"/>
      <c r="G978" s="24"/>
      <c r="H978" s="24"/>
      <c r="I978" s="24"/>
      <c r="J978" s="24"/>
    </row>
    <row r="979" spans="1:10" x14ac:dyDescent="0.35">
      <c r="A979" t="s">
        <v>1097</v>
      </c>
      <c r="B979" s="92"/>
      <c r="C979" s="21"/>
      <c r="D979" s="4"/>
      <c r="E979" s="4"/>
      <c r="F979" s="24"/>
      <c r="G979" s="24"/>
      <c r="H979" s="24"/>
      <c r="I979" s="24"/>
      <c r="J979" s="24"/>
    </row>
    <row r="980" spans="1:10" x14ac:dyDescent="0.35">
      <c r="A980" t="s">
        <v>1098</v>
      </c>
      <c r="B980" s="92"/>
      <c r="C980" s="21"/>
      <c r="D980" s="4"/>
      <c r="E980" s="4"/>
      <c r="F980" s="24"/>
      <c r="G980" s="24"/>
      <c r="H980" s="24"/>
      <c r="I980" s="24"/>
      <c r="J980" s="24"/>
    </row>
    <row r="981" spans="1:10" x14ac:dyDescent="0.35">
      <c r="A981" t="s">
        <v>1099</v>
      </c>
      <c r="B981" s="92"/>
      <c r="C981" s="21"/>
      <c r="D981" s="4"/>
      <c r="E981" s="4"/>
      <c r="F981" s="24"/>
      <c r="G981" s="24"/>
      <c r="H981" s="24"/>
      <c r="I981" s="24"/>
      <c r="J981" s="24"/>
    </row>
    <row r="982" spans="1:10" x14ac:dyDescent="0.35">
      <c r="A982" t="s">
        <v>1100</v>
      </c>
      <c r="B982" s="92"/>
      <c r="C982" s="21"/>
      <c r="D982" s="4"/>
      <c r="E982" s="4"/>
      <c r="F982" s="24"/>
      <c r="G982" s="24"/>
      <c r="H982" s="24"/>
      <c r="I982" s="24"/>
      <c r="J982" s="24"/>
    </row>
    <row r="983" spans="1:10" x14ac:dyDescent="0.35">
      <c r="A983" t="s">
        <v>1101</v>
      </c>
      <c r="B983" s="92"/>
      <c r="C983" s="21"/>
      <c r="D983" s="4"/>
      <c r="E983" s="4"/>
      <c r="F983" s="24"/>
      <c r="G983" s="24"/>
      <c r="H983" s="24"/>
      <c r="I983" s="24"/>
      <c r="J983" s="24"/>
    </row>
    <row r="984" spans="1:10" x14ac:dyDescent="0.35">
      <c r="A984" t="s">
        <v>1102</v>
      </c>
      <c r="B984" s="92"/>
      <c r="C984" s="21"/>
      <c r="D984" s="4"/>
      <c r="E984" s="4"/>
      <c r="F984" s="24"/>
      <c r="G984" s="24"/>
      <c r="H984" s="24"/>
      <c r="I984" s="24"/>
      <c r="J984" s="24"/>
    </row>
    <row r="985" spans="1:10" x14ac:dyDescent="0.35">
      <c r="A985" t="s">
        <v>1103</v>
      </c>
      <c r="B985" s="92"/>
      <c r="C985" s="21"/>
      <c r="D985" s="4"/>
      <c r="E985" s="4"/>
      <c r="F985" s="24"/>
      <c r="G985" s="24"/>
      <c r="H985" s="24"/>
      <c r="I985" s="24"/>
      <c r="J985" s="24"/>
    </row>
    <row r="986" spans="1:10" x14ac:dyDescent="0.35">
      <c r="A986" t="s">
        <v>1104</v>
      </c>
      <c r="B986" s="92"/>
      <c r="C986" s="21"/>
      <c r="D986" s="4"/>
      <c r="E986" s="4"/>
      <c r="F986" s="24"/>
      <c r="G986" s="24"/>
      <c r="H986" s="24"/>
      <c r="I986" s="24"/>
      <c r="J986" s="24"/>
    </row>
    <row r="987" spans="1:10" x14ac:dyDescent="0.35">
      <c r="A987" t="s">
        <v>1105</v>
      </c>
      <c r="B987" s="92"/>
      <c r="C987" s="21"/>
      <c r="D987" s="4"/>
      <c r="E987" s="4"/>
      <c r="F987" s="24"/>
      <c r="G987" s="24"/>
      <c r="H987" s="24"/>
      <c r="I987" s="24"/>
      <c r="J987" s="24"/>
    </row>
    <row r="988" spans="1:10" x14ac:dyDescent="0.35">
      <c r="A988" t="s">
        <v>1106</v>
      </c>
      <c r="B988" s="92"/>
      <c r="C988" s="21"/>
      <c r="D988" s="4"/>
      <c r="E988" s="4"/>
      <c r="F988" s="24"/>
      <c r="G988" s="24"/>
      <c r="H988" s="24"/>
      <c r="I988" s="24"/>
      <c r="J988" s="24"/>
    </row>
    <row r="989" spans="1:10" x14ac:dyDescent="0.35">
      <c r="A989" t="s">
        <v>1107</v>
      </c>
      <c r="B989" s="92"/>
      <c r="C989" s="21"/>
      <c r="D989" s="4"/>
      <c r="E989" s="4"/>
      <c r="F989" s="24"/>
      <c r="G989" s="24"/>
      <c r="H989" s="24"/>
      <c r="I989" s="24"/>
      <c r="J989" s="24"/>
    </row>
    <row r="990" spans="1:10" x14ac:dyDescent="0.35">
      <c r="A990" t="s">
        <v>1108</v>
      </c>
      <c r="B990" s="92"/>
      <c r="C990" s="21"/>
      <c r="D990" s="4"/>
      <c r="E990" s="4"/>
      <c r="F990" s="24"/>
      <c r="G990" s="24"/>
      <c r="H990" s="24"/>
      <c r="I990" s="24"/>
      <c r="J990" s="24"/>
    </row>
    <row r="991" spans="1:10" x14ac:dyDescent="0.35">
      <c r="A991" t="s">
        <v>1109</v>
      </c>
      <c r="B991" s="92"/>
      <c r="C991" s="21"/>
      <c r="D991" s="4"/>
      <c r="E991" s="4"/>
      <c r="F991" s="24"/>
      <c r="G991" s="24"/>
      <c r="H991" s="24"/>
      <c r="I991" s="24"/>
      <c r="J991" s="24"/>
    </row>
    <row r="992" spans="1:10" x14ac:dyDescent="0.35">
      <c r="A992" t="s">
        <v>1110</v>
      </c>
      <c r="B992" s="92"/>
      <c r="C992" s="21"/>
      <c r="D992" s="4"/>
      <c r="E992" s="4"/>
      <c r="F992" s="24"/>
      <c r="G992" s="24"/>
      <c r="H992" s="24"/>
      <c r="I992" s="24"/>
      <c r="J992" s="24"/>
    </row>
    <row r="993" spans="1:10" x14ac:dyDescent="0.35">
      <c r="A993" t="s">
        <v>1111</v>
      </c>
      <c r="B993" s="92"/>
      <c r="C993" s="21"/>
      <c r="D993" s="4"/>
      <c r="E993" s="4"/>
      <c r="F993" s="24"/>
      <c r="G993" s="24"/>
      <c r="H993" s="24"/>
      <c r="I993" s="24"/>
      <c r="J993" s="24"/>
    </row>
    <row r="994" spans="1:10" x14ac:dyDescent="0.35">
      <c r="A994" t="s">
        <v>1112</v>
      </c>
      <c r="B994" s="92"/>
      <c r="C994" s="21"/>
      <c r="D994" s="4"/>
      <c r="E994" s="4"/>
      <c r="F994" s="24"/>
      <c r="G994" s="24"/>
      <c r="H994" s="24"/>
      <c r="I994" s="24"/>
      <c r="J994" s="24"/>
    </row>
    <row r="995" spans="1:10" x14ac:dyDescent="0.35">
      <c r="A995" t="s">
        <v>1113</v>
      </c>
      <c r="B995" s="92"/>
      <c r="C995" s="21"/>
      <c r="D995" s="4"/>
      <c r="E995" s="4"/>
      <c r="F995" s="24"/>
      <c r="G995" s="24"/>
      <c r="H995" s="24"/>
      <c r="I995" s="24"/>
      <c r="J995" s="24"/>
    </row>
    <row r="996" spans="1:10" x14ac:dyDescent="0.35">
      <c r="A996" t="s">
        <v>1114</v>
      </c>
      <c r="B996" s="92"/>
      <c r="C996" s="21"/>
      <c r="D996" s="4"/>
      <c r="E996" s="4"/>
      <c r="F996" s="24"/>
      <c r="G996" s="24"/>
      <c r="H996" s="24"/>
      <c r="I996" s="24"/>
      <c r="J996" s="24"/>
    </row>
    <row r="997" spans="1:10" x14ac:dyDescent="0.35">
      <c r="A997" t="s">
        <v>1115</v>
      </c>
      <c r="B997" s="92"/>
      <c r="C997" s="21"/>
      <c r="D997" s="4"/>
      <c r="E997" s="4"/>
      <c r="F997" s="24"/>
      <c r="G997" s="24"/>
      <c r="H997" s="24"/>
      <c r="I997" s="24"/>
      <c r="J997" s="24"/>
    </row>
    <row r="998" spans="1:10" x14ac:dyDescent="0.35">
      <c r="A998" t="s">
        <v>1116</v>
      </c>
      <c r="B998" s="92"/>
      <c r="C998" s="21"/>
      <c r="D998" s="4"/>
      <c r="E998" s="4"/>
      <c r="F998" s="24"/>
      <c r="G998" s="24"/>
      <c r="H998" s="24"/>
      <c r="I998" s="24"/>
      <c r="J998" s="24"/>
    </row>
    <row r="999" spans="1:10" x14ac:dyDescent="0.35">
      <c r="A999" t="s">
        <v>1117</v>
      </c>
      <c r="B999" s="92"/>
      <c r="C999" s="21"/>
      <c r="D999" s="4"/>
      <c r="E999" s="4"/>
      <c r="F999" s="24"/>
      <c r="G999" s="24"/>
      <c r="H999" s="24"/>
      <c r="I999" s="24"/>
      <c r="J999" s="24"/>
    </row>
    <row r="1000" spans="1:10" x14ac:dyDescent="0.35">
      <c r="A1000" t="s">
        <v>1118</v>
      </c>
      <c r="B1000" s="92"/>
      <c r="C1000" s="21"/>
      <c r="D1000" s="4"/>
      <c r="E1000" s="4"/>
      <c r="F1000" s="24"/>
      <c r="G1000" s="24"/>
      <c r="H1000" s="24"/>
      <c r="I1000" s="24"/>
      <c r="J1000" s="24"/>
    </row>
    <row r="1001" spans="1:10" x14ac:dyDescent="0.35">
      <c r="A1001" t="s">
        <v>1119</v>
      </c>
      <c r="B1001" s="92"/>
      <c r="C1001" s="21"/>
      <c r="D1001" s="4"/>
      <c r="E1001" s="4"/>
      <c r="F1001" s="24"/>
      <c r="G1001" s="24"/>
      <c r="H1001" s="24"/>
      <c r="I1001" s="24"/>
      <c r="J1001" s="24"/>
    </row>
    <row r="1002" spans="1:10" x14ac:dyDescent="0.35">
      <c r="A1002" t="s">
        <v>1120</v>
      </c>
      <c r="B1002" s="93"/>
      <c r="C1002" s="22"/>
    </row>
  </sheetData>
  <autoFilter ref="A1:J1002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Factures"/>
  <dimension ref="A1:Q95"/>
  <sheetViews>
    <sheetView tabSelected="1" zoomScale="82" zoomScaleNormal="82" workbookViewId="0">
      <selection activeCell="J23" sqref="J23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0" max="10" width="10.90625" style="90"/>
    <col min="11" max="11" width="10.90625" style="29"/>
    <col min="12" max="12" width="15.7265625" bestFit="1" customWidth="1"/>
    <col min="13" max="13" width="15.36328125" customWidth="1"/>
    <col min="14" max="14" width="8.81640625" customWidth="1"/>
  </cols>
  <sheetData>
    <row r="1" spans="1:17" s="1" customFormat="1" ht="24" customHeight="1" thickBot="1" x14ac:dyDescent="0.4">
      <c r="A1" s="27" t="s">
        <v>120</v>
      </c>
      <c r="B1" s="27" t="s">
        <v>11</v>
      </c>
      <c r="C1" s="27" t="s">
        <v>49</v>
      </c>
      <c r="D1" s="27" t="s">
        <v>12</v>
      </c>
      <c r="E1" s="27" t="s">
        <v>0</v>
      </c>
      <c r="F1" s="27" t="s">
        <v>1</v>
      </c>
      <c r="G1" s="27" t="s">
        <v>47</v>
      </c>
      <c r="H1" s="27" t="s">
        <v>48</v>
      </c>
      <c r="I1" s="27" t="s">
        <v>15</v>
      </c>
      <c r="J1" s="6" t="s">
        <v>119</v>
      </c>
      <c r="K1" s="28" t="s">
        <v>12</v>
      </c>
      <c r="L1" s="6" t="s">
        <v>2</v>
      </c>
      <c r="M1" s="6" t="s">
        <v>118</v>
      </c>
      <c r="N1" s="6" t="s">
        <v>88</v>
      </c>
      <c r="O1" s="6" t="s">
        <v>13</v>
      </c>
      <c r="P1" s="2" t="s">
        <v>104</v>
      </c>
      <c r="Q1" s="2" t="s">
        <v>105</v>
      </c>
    </row>
    <row r="2" spans="1:17" ht="6.5" customHeight="1" x14ac:dyDescent="0.35">
      <c r="A2" s="26" t="s">
        <v>97</v>
      </c>
      <c r="B2" s="26" t="s">
        <v>97</v>
      </c>
      <c r="C2" s="26" t="s">
        <v>97</v>
      </c>
      <c r="D2" s="26" t="s">
        <v>97</v>
      </c>
      <c r="E2" s="26" t="s">
        <v>97</v>
      </c>
      <c r="F2" s="26" t="s">
        <v>97</v>
      </c>
      <c r="G2" s="26" t="s">
        <v>97</v>
      </c>
      <c r="H2" s="26" t="s">
        <v>97</v>
      </c>
      <c r="I2" s="26" t="s">
        <v>97</v>
      </c>
      <c r="J2" s="89" t="s">
        <v>97</v>
      </c>
      <c r="K2" s="26" t="s">
        <v>97</v>
      </c>
      <c r="L2" s="26" t="s">
        <v>97</v>
      </c>
      <c r="M2" s="26" t="s">
        <v>97</v>
      </c>
      <c r="N2" s="26" t="s">
        <v>97</v>
      </c>
      <c r="O2" s="26" t="s">
        <v>97</v>
      </c>
      <c r="P2" s="26" t="s">
        <v>97</v>
      </c>
      <c r="Q2" s="26" t="s">
        <v>97</v>
      </c>
    </row>
    <row r="3" spans="1:17" x14ac:dyDescent="0.35">
      <c r="A3" t="s">
        <v>34</v>
      </c>
      <c r="B3" t="s">
        <v>35</v>
      </c>
      <c r="E3" t="s">
        <v>46</v>
      </c>
      <c r="F3">
        <v>345</v>
      </c>
      <c r="G3">
        <v>351.19</v>
      </c>
      <c r="H3">
        <v>0</v>
      </c>
      <c r="I3">
        <v>121160.55</v>
      </c>
      <c r="J3" s="90" t="s">
        <v>121</v>
      </c>
      <c r="K3" s="29">
        <v>43844</v>
      </c>
      <c r="L3" t="s">
        <v>16</v>
      </c>
      <c r="M3" t="s">
        <v>2136</v>
      </c>
      <c r="O3">
        <v>0</v>
      </c>
      <c r="P3" t="s">
        <v>107</v>
      </c>
      <c r="Q3" t="s">
        <v>2138</v>
      </c>
    </row>
    <row r="4" spans="1:17" x14ac:dyDescent="0.35">
      <c r="A4" t="s">
        <v>34</v>
      </c>
      <c r="B4" t="s">
        <v>35</v>
      </c>
      <c r="E4" t="s">
        <v>46</v>
      </c>
      <c r="F4">
        <v>345</v>
      </c>
      <c r="G4">
        <v>351.19</v>
      </c>
      <c r="H4">
        <v>0</v>
      </c>
      <c r="I4">
        <v>121160.55</v>
      </c>
      <c r="J4" s="90" t="s">
        <v>121</v>
      </c>
      <c r="K4" s="29">
        <v>43844</v>
      </c>
      <c r="L4" t="s">
        <v>16</v>
      </c>
      <c r="M4" t="s">
        <v>2136</v>
      </c>
      <c r="O4">
        <v>0</v>
      </c>
      <c r="P4" t="s">
        <v>107</v>
      </c>
      <c r="Q4" t="s">
        <v>2138</v>
      </c>
    </row>
    <row r="5" spans="1:17" x14ac:dyDescent="0.35">
      <c r="A5" t="s">
        <v>34</v>
      </c>
      <c r="B5" t="s">
        <v>35</v>
      </c>
      <c r="E5" t="s">
        <v>46</v>
      </c>
      <c r="F5">
        <v>345</v>
      </c>
      <c r="G5">
        <v>351.19</v>
      </c>
      <c r="H5">
        <v>0</v>
      </c>
      <c r="I5">
        <v>121160.55</v>
      </c>
      <c r="J5" s="90" t="s">
        <v>121</v>
      </c>
      <c r="K5" s="29">
        <v>43844</v>
      </c>
      <c r="L5" t="s">
        <v>16</v>
      </c>
      <c r="M5" t="s">
        <v>2136</v>
      </c>
      <c r="O5">
        <v>0</v>
      </c>
      <c r="P5" t="s">
        <v>107</v>
      </c>
      <c r="Q5" t="s">
        <v>2138</v>
      </c>
    </row>
    <row r="6" spans="1:17" x14ac:dyDescent="0.35">
      <c r="A6" t="s">
        <v>34</v>
      </c>
      <c r="B6" t="s">
        <v>35</v>
      </c>
      <c r="E6" t="s">
        <v>46</v>
      </c>
      <c r="F6">
        <v>345</v>
      </c>
      <c r="G6">
        <v>351.19</v>
      </c>
      <c r="H6">
        <v>0</v>
      </c>
      <c r="I6">
        <v>121160.55</v>
      </c>
      <c r="J6" s="90" t="s">
        <v>121</v>
      </c>
      <c r="K6" s="29">
        <v>43844</v>
      </c>
      <c r="L6" t="s">
        <v>16</v>
      </c>
      <c r="M6" t="s">
        <v>2136</v>
      </c>
      <c r="O6">
        <v>0</v>
      </c>
      <c r="P6" t="s">
        <v>107</v>
      </c>
      <c r="Q6" t="s">
        <v>2138</v>
      </c>
    </row>
    <row r="7" spans="1:17" x14ac:dyDescent="0.35">
      <c r="A7" t="s">
        <v>34</v>
      </c>
      <c r="B7" t="s">
        <v>35</v>
      </c>
      <c r="E7" t="s">
        <v>46</v>
      </c>
      <c r="F7">
        <v>345</v>
      </c>
      <c r="G7">
        <v>351.19</v>
      </c>
      <c r="H7">
        <v>0</v>
      </c>
      <c r="I7">
        <v>121160.55</v>
      </c>
      <c r="J7" s="90" t="s">
        <v>121</v>
      </c>
      <c r="K7" s="29">
        <v>43844</v>
      </c>
      <c r="L7" t="s">
        <v>16</v>
      </c>
      <c r="M7" t="s">
        <v>2136</v>
      </c>
      <c r="O7">
        <v>0</v>
      </c>
      <c r="P7" t="s">
        <v>107</v>
      </c>
      <c r="Q7" t="s">
        <v>2138</v>
      </c>
    </row>
    <row r="8" spans="1:17" x14ac:dyDescent="0.35">
      <c r="A8" t="s">
        <v>2141</v>
      </c>
      <c r="B8" t="s">
        <v>55</v>
      </c>
      <c r="F8">
        <v>1</v>
      </c>
      <c r="G8">
        <v>2365.08</v>
      </c>
      <c r="I8">
        <v>2365.08</v>
      </c>
      <c r="J8" s="90" t="s">
        <v>122</v>
      </c>
      <c r="K8" s="29">
        <v>43844</v>
      </c>
      <c r="L8" t="s">
        <v>83</v>
      </c>
      <c r="M8" t="s">
        <v>2139</v>
      </c>
      <c r="O8">
        <v>0</v>
      </c>
      <c r="P8" t="s">
        <v>107</v>
      </c>
      <c r="Q8" t="s">
        <v>2138</v>
      </c>
    </row>
    <row r="9" spans="1:17" x14ac:dyDescent="0.35">
      <c r="A9" t="s">
        <v>2141</v>
      </c>
      <c r="B9" t="s">
        <v>55</v>
      </c>
      <c r="F9">
        <v>1</v>
      </c>
      <c r="G9">
        <v>2365.08</v>
      </c>
      <c r="I9">
        <v>2365.08</v>
      </c>
      <c r="J9" s="90" t="s">
        <v>122</v>
      </c>
      <c r="K9" s="29">
        <v>43844</v>
      </c>
      <c r="L9" t="s">
        <v>83</v>
      </c>
      <c r="M9" t="s">
        <v>2139</v>
      </c>
      <c r="O9">
        <v>0</v>
      </c>
      <c r="P9" t="s">
        <v>107</v>
      </c>
      <c r="Q9" t="s">
        <v>2138</v>
      </c>
    </row>
    <row r="10" spans="1:17" x14ac:dyDescent="0.35">
      <c r="A10" t="s">
        <v>2141</v>
      </c>
      <c r="B10" t="s">
        <v>55</v>
      </c>
      <c r="F10">
        <v>1</v>
      </c>
      <c r="G10">
        <v>2365.08</v>
      </c>
      <c r="I10">
        <v>2365.08</v>
      </c>
      <c r="J10" s="90" t="s">
        <v>122</v>
      </c>
      <c r="K10" s="29">
        <v>43844</v>
      </c>
      <c r="L10" t="s">
        <v>83</v>
      </c>
      <c r="M10" t="s">
        <v>2139</v>
      </c>
      <c r="O10">
        <v>0</v>
      </c>
      <c r="P10" t="s">
        <v>107</v>
      </c>
      <c r="Q10" t="s">
        <v>2138</v>
      </c>
    </row>
    <row r="11" spans="1:17" x14ac:dyDescent="0.35">
      <c r="A11" t="s">
        <v>2141</v>
      </c>
      <c r="B11" t="s">
        <v>55</v>
      </c>
      <c r="F11">
        <v>1</v>
      </c>
      <c r="G11">
        <v>2365.08</v>
      </c>
      <c r="I11">
        <v>2365.08</v>
      </c>
      <c r="J11" s="90" t="s">
        <v>122</v>
      </c>
      <c r="K11" s="29">
        <v>43844</v>
      </c>
      <c r="L11" t="s">
        <v>83</v>
      </c>
      <c r="M11" t="s">
        <v>2139</v>
      </c>
      <c r="O11">
        <v>0</v>
      </c>
      <c r="P11" t="s">
        <v>107</v>
      </c>
      <c r="Q11" t="s">
        <v>2138</v>
      </c>
    </row>
    <row r="12" spans="1:17" x14ac:dyDescent="0.35">
      <c r="A12" t="s">
        <v>100</v>
      </c>
      <c r="B12" t="s">
        <v>61</v>
      </c>
      <c r="E12" t="s">
        <v>46</v>
      </c>
      <c r="F12">
        <v>67</v>
      </c>
      <c r="G12">
        <v>10</v>
      </c>
      <c r="I12">
        <v>670</v>
      </c>
      <c r="J12" s="90" t="s">
        <v>123</v>
      </c>
      <c r="K12" s="29">
        <v>43844</v>
      </c>
      <c r="L12" t="s">
        <v>16</v>
      </c>
      <c r="M12">
        <v>0</v>
      </c>
      <c r="O12">
        <v>0</v>
      </c>
      <c r="P12" t="s">
        <v>107</v>
      </c>
      <c r="Q12" t="s">
        <v>2138</v>
      </c>
    </row>
    <row r="13" spans="1:17" x14ac:dyDescent="0.35">
      <c r="A13" t="s">
        <v>100</v>
      </c>
      <c r="B13" t="s">
        <v>61</v>
      </c>
      <c r="E13" t="s">
        <v>46</v>
      </c>
      <c r="F13">
        <v>67</v>
      </c>
      <c r="G13">
        <v>10</v>
      </c>
      <c r="I13">
        <v>670</v>
      </c>
      <c r="J13" s="90" t="s">
        <v>123</v>
      </c>
      <c r="K13" s="29">
        <v>43844</v>
      </c>
      <c r="L13" t="s">
        <v>16</v>
      </c>
      <c r="M13">
        <v>0</v>
      </c>
      <c r="O13">
        <v>0</v>
      </c>
      <c r="P13" t="s">
        <v>107</v>
      </c>
      <c r="Q13" t="s">
        <v>2138</v>
      </c>
    </row>
    <row r="14" spans="1:17" x14ac:dyDescent="0.35">
      <c r="A14" t="s">
        <v>100</v>
      </c>
      <c r="B14" t="s">
        <v>61</v>
      </c>
      <c r="E14" t="s">
        <v>46</v>
      </c>
      <c r="F14">
        <v>67</v>
      </c>
      <c r="G14">
        <v>10</v>
      </c>
      <c r="I14">
        <v>670</v>
      </c>
      <c r="J14" s="90" t="s">
        <v>123</v>
      </c>
      <c r="K14" s="29">
        <v>43844</v>
      </c>
      <c r="L14" t="s">
        <v>16</v>
      </c>
      <c r="M14">
        <v>0</v>
      </c>
      <c r="O14">
        <v>0</v>
      </c>
      <c r="P14" t="s">
        <v>107</v>
      </c>
      <c r="Q14" t="s">
        <v>2138</v>
      </c>
    </row>
    <row r="15" spans="1:17" x14ac:dyDescent="0.35">
      <c r="A15" t="s">
        <v>100</v>
      </c>
      <c r="B15" t="s">
        <v>61</v>
      </c>
      <c r="E15" t="s">
        <v>46</v>
      </c>
      <c r="F15">
        <v>67</v>
      </c>
      <c r="G15">
        <v>10</v>
      </c>
      <c r="I15">
        <v>670</v>
      </c>
      <c r="J15" s="90" t="s">
        <v>123</v>
      </c>
      <c r="K15" s="29">
        <v>43844</v>
      </c>
      <c r="L15" t="s">
        <v>16</v>
      </c>
      <c r="M15">
        <v>0</v>
      </c>
      <c r="O15">
        <v>0</v>
      </c>
      <c r="P15" t="s">
        <v>107</v>
      </c>
      <c r="Q15" t="s">
        <v>2138</v>
      </c>
    </row>
    <row r="16" spans="1:17" x14ac:dyDescent="0.35">
      <c r="A16" t="s">
        <v>100</v>
      </c>
      <c r="B16" t="s">
        <v>61</v>
      </c>
      <c r="E16" t="s">
        <v>46</v>
      </c>
      <c r="F16">
        <v>67</v>
      </c>
      <c r="G16">
        <v>10</v>
      </c>
      <c r="I16">
        <v>670</v>
      </c>
      <c r="J16" s="90" t="s">
        <v>123</v>
      </c>
      <c r="K16" s="29">
        <v>43844</v>
      </c>
      <c r="L16" t="s">
        <v>16</v>
      </c>
      <c r="M16">
        <v>0</v>
      </c>
      <c r="O16">
        <v>0</v>
      </c>
      <c r="P16" t="s">
        <v>107</v>
      </c>
      <c r="Q16" t="s">
        <v>2138</v>
      </c>
    </row>
    <row r="17" spans="1:17" x14ac:dyDescent="0.35">
      <c r="A17" t="s">
        <v>100</v>
      </c>
      <c r="B17" t="s">
        <v>61</v>
      </c>
      <c r="E17" t="s">
        <v>46</v>
      </c>
      <c r="F17">
        <v>67</v>
      </c>
      <c r="G17">
        <v>10</v>
      </c>
      <c r="I17">
        <v>670</v>
      </c>
      <c r="J17" s="90" t="s">
        <v>123</v>
      </c>
      <c r="K17" s="29">
        <v>43844</v>
      </c>
      <c r="L17" t="s">
        <v>16</v>
      </c>
      <c r="M17">
        <v>0</v>
      </c>
      <c r="O17">
        <v>0</v>
      </c>
      <c r="P17" t="s">
        <v>107</v>
      </c>
      <c r="Q17" t="s">
        <v>2138</v>
      </c>
    </row>
    <row r="18" spans="1:17" x14ac:dyDescent="0.35">
      <c r="A18" t="s">
        <v>100</v>
      </c>
      <c r="B18" t="s">
        <v>61</v>
      </c>
      <c r="E18" t="s">
        <v>46</v>
      </c>
      <c r="F18">
        <v>67</v>
      </c>
      <c r="G18">
        <v>10</v>
      </c>
      <c r="I18">
        <v>670</v>
      </c>
      <c r="J18" s="90" t="s">
        <v>123</v>
      </c>
      <c r="K18" s="29">
        <v>43844</v>
      </c>
      <c r="L18" t="s">
        <v>16</v>
      </c>
      <c r="M18">
        <v>0</v>
      </c>
      <c r="O18">
        <v>0</v>
      </c>
      <c r="P18" t="s">
        <v>107</v>
      </c>
      <c r="Q18" t="s">
        <v>2138</v>
      </c>
    </row>
    <row r="19" spans="1:17" x14ac:dyDescent="0.35">
      <c r="A19" t="s">
        <v>100</v>
      </c>
      <c r="B19" t="s">
        <v>61</v>
      </c>
      <c r="E19" t="s">
        <v>46</v>
      </c>
      <c r="F19">
        <v>67</v>
      </c>
      <c r="G19">
        <v>10</v>
      </c>
      <c r="I19">
        <v>670</v>
      </c>
      <c r="J19" s="90" t="s">
        <v>123</v>
      </c>
      <c r="K19" s="29">
        <v>43844</v>
      </c>
      <c r="L19" t="s">
        <v>16</v>
      </c>
      <c r="M19">
        <v>0</v>
      </c>
      <c r="O19">
        <v>0</v>
      </c>
      <c r="P19" t="s">
        <v>107</v>
      </c>
      <c r="Q19" t="s">
        <v>2138</v>
      </c>
    </row>
    <row r="20" spans="1:17" x14ac:dyDescent="0.35">
      <c r="A20" t="s">
        <v>100</v>
      </c>
      <c r="B20" t="s">
        <v>61</v>
      </c>
      <c r="E20" t="s">
        <v>46</v>
      </c>
      <c r="F20">
        <v>67</v>
      </c>
      <c r="G20">
        <v>10</v>
      </c>
      <c r="I20">
        <v>670</v>
      </c>
      <c r="J20" s="90" t="s">
        <v>123</v>
      </c>
      <c r="K20" s="29">
        <v>43844</v>
      </c>
      <c r="L20" t="s">
        <v>16</v>
      </c>
      <c r="M20">
        <v>0</v>
      </c>
      <c r="O20">
        <v>0</v>
      </c>
      <c r="P20" t="s">
        <v>107</v>
      </c>
      <c r="Q20" t="s">
        <v>2138</v>
      </c>
    </row>
    <row r="21" spans="1:17" x14ac:dyDescent="0.35">
      <c r="A21" t="s">
        <v>100</v>
      </c>
      <c r="B21" t="s">
        <v>61</v>
      </c>
      <c r="E21" t="s">
        <v>46</v>
      </c>
      <c r="F21">
        <v>67</v>
      </c>
      <c r="G21">
        <v>10</v>
      </c>
      <c r="I21">
        <v>670</v>
      </c>
      <c r="J21" s="90" t="s">
        <v>123</v>
      </c>
      <c r="K21" s="29">
        <v>43844</v>
      </c>
      <c r="L21" t="s">
        <v>16</v>
      </c>
      <c r="M21">
        <v>0</v>
      </c>
      <c r="O21">
        <v>0</v>
      </c>
      <c r="P21" t="s">
        <v>107</v>
      </c>
      <c r="Q21" t="s">
        <v>2138</v>
      </c>
    </row>
    <row r="22" spans="1:17" x14ac:dyDescent="0.35">
      <c r="A22" t="s">
        <v>40</v>
      </c>
      <c r="B22" t="s">
        <v>41</v>
      </c>
      <c r="C22" t="s">
        <v>2142</v>
      </c>
      <c r="E22" t="s">
        <v>46</v>
      </c>
      <c r="F22">
        <v>45678</v>
      </c>
      <c r="G22">
        <v>280.58</v>
      </c>
      <c r="H22">
        <v>150.16999999999999</v>
      </c>
      <c r="I22">
        <v>19675798.5</v>
      </c>
      <c r="J22" s="90" t="s">
        <v>124</v>
      </c>
      <c r="K22" s="29">
        <v>43844</v>
      </c>
      <c r="L22" t="s">
        <v>16</v>
      </c>
      <c r="M22" t="s">
        <v>2140</v>
      </c>
      <c r="O22" t="s">
        <v>90</v>
      </c>
      <c r="P22" t="s">
        <v>106</v>
      </c>
      <c r="Q22" t="s">
        <v>2138</v>
      </c>
    </row>
    <row r="23" spans="1:17" x14ac:dyDescent="0.35">
      <c r="A23" t="s">
        <v>38</v>
      </c>
      <c r="B23" t="s">
        <v>39</v>
      </c>
      <c r="C23" t="s">
        <v>2142</v>
      </c>
      <c r="E23" t="s">
        <v>46</v>
      </c>
      <c r="F23">
        <v>67</v>
      </c>
      <c r="G23">
        <v>0</v>
      </c>
      <c r="H23">
        <v>0</v>
      </c>
      <c r="I23">
        <v>0</v>
      </c>
      <c r="J23" s="90" t="s">
        <v>124</v>
      </c>
      <c r="K23" s="29">
        <v>43844</v>
      </c>
      <c r="L23" t="s">
        <v>16</v>
      </c>
      <c r="M23" t="s">
        <v>2140</v>
      </c>
      <c r="O23" t="s">
        <v>90</v>
      </c>
      <c r="P23" t="s">
        <v>106</v>
      </c>
      <c r="Q23" t="s">
        <v>2138</v>
      </c>
    </row>
    <row r="24" spans="1:17" x14ac:dyDescent="0.35">
      <c r="A24" t="s">
        <v>40</v>
      </c>
      <c r="B24" t="s">
        <v>41</v>
      </c>
      <c r="C24" t="s">
        <v>2142</v>
      </c>
      <c r="E24" t="s">
        <v>46</v>
      </c>
      <c r="F24">
        <v>45678</v>
      </c>
      <c r="G24">
        <v>280.58</v>
      </c>
      <c r="H24">
        <v>150.16999999999999</v>
      </c>
      <c r="I24">
        <v>19675798.5</v>
      </c>
      <c r="J24" s="90" t="s">
        <v>124</v>
      </c>
      <c r="K24" s="29">
        <v>43844</v>
      </c>
      <c r="L24" t="s">
        <v>16</v>
      </c>
      <c r="M24" t="s">
        <v>2140</v>
      </c>
      <c r="O24" t="s">
        <v>90</v>
      </c>
      <c r="P24" t="s">
        <v>106</v>
      </c>
      <c r="Q24" t="s">
        <v>2138</v>
      </c>
    </row>
    <row r="25" spans="1:17" x14ac:dyDescent="0.35">
      <c r="A25" t="s">
        <v>40</v>
      </c>
      <c r="B25" t="s">
        <v>41</v>
      </c>
      <c r="C25" t="s">
        <v>2142</v>
      </c>
      <c r="E25" t="s">
        <v>46</v>
      </c>
      <c r="F25">
        <v>45678</v>
      </c>
      <c r="G25">
        <v>280.58</v>
      </c>
      <c r="H25">
        <v>150.16999999999999</v>
      </c>
      <c r="I25">
        <v>19675798.5</v>
      </c>
      <c r="J25" s="90" t="s">
        <v>124</v>
      </c>
      <c r="K25" s="29">
        <v>43844</v>
      </c>
      <c r="L25" t="s">
        <v>16</v>
      </c>
      <c r="M25" t="s">
        <v>2140</v>
      </c>
      <c r="O25" t="s">
        <v>90</v>
      </c>
      <c r="P25" t="s">
        <v>106</v>
      </c>
      <c r="Q25" t="s">
        <v>2138</v>
      </c>
    </row>
    <row r="26" spans="1:17" x14ac:dyDescent="0.35">
      <c r="A26" t="s">
        <v>40</v>
      </c>
      <c r="B26" t="s">
        <v>41</v>
      </c>
      <c r="C26" t="s">
        <v>2142</v>
      </c>
      <c r="E26" t="s">
        <v>46</v>
      </c>
      <c r="F26">
        <v>45678</v>
      </c>
      <c r="G26">
        <v>280.58</v>
      </c>
      <c r="H26">
        <v>150.16999999999999</v>
      </c>
      <c r="I26">
        <v>19675798.5</v>
      </c>
      <c r="J26" s="90" t="s">
        <v>124</v>
      </c>
      <c r="K26" s="29">
        <v>43844</v>
      </c>
      <c r="L26" t="s">
        <v>16</v>
      </c>
      <c r="M26" t="s">
        <v>2140</v>
      </c>
      <c r="O26" t="s">
        <v>90</v>
      </c>
      <c r="P26" t="s">
        <v>106</v>
      </c>
      <c r="Q26" t="s">
        <v>2138</v>
      </c>
    </row>
    <row r="27" spans="1:17" x14ac:dyDescent="0.35">
      <c r="A27" t="s">
        <v>40</v>
      </c>
      <c r="B27" t="s">
        <v>41</v>
      </c>
      <c r="C27" t="s">
        <v>2142</v>
      </c>
      <c r="E27" t="s">
        <v>46</v>
      </c>
      <c r="F27">
        <v>45678</v>
      </c>
      <c r="G27">
        <v>280.58</v>
      </c>
      <c r="H27">
        <v>150.16999999999999</v>
      </c>
      <c r="I27">
        <v>19675798.5</v>
      </c>
      <c r="J27" s="90" t="s">
        <v>124</v>
      </c>
      <c r="K27" s="29">
        <v>43844</v>
      </c>
      <c r="L27" t="s">
        <v>16</v>
      </c>
      <c r="M27" t="s">
        <v>2140</v>
      </c>
      <c r="O27" t="s">
        <v>90</v>
      </c>
      <c r="P27" t="s">
        <v>106</v>
      </c>
      <c r="Q27" t="s">
        <v>2138</v>
      </c>
    </row>
    <row r="28" spans="1:17" x14ac:dyDescent="0.35">
      <c r="A28" t="s">
        <v>40</v>
      </c>
      <c r="B28" t="s">
        <v>41</v>
      </c>
      <c r="C28" t="s">
        <v>2142</v>
      </c>
      <c r="E28" t="s">
        <v>46</v>
      </c>
      <c r="F28">
        <v>45678</v>
      </c>
      <c r="G28">
        <v>280.58</v>
      </c>
      <c r="H28">
        <v>150.16999999999999</v>
      </c>
      <c r="I28">
        <v>19675798.5</v>
      </c>
      <c r="J28" s="90" t="s">
        <v>124</v>
      </c>
      <c r="K28" s="29">
        <v>43844</v>
      </c>
      <c r="L28" t="s">
        <v>16</v>
      </c>
      <c r="M28" t="s">
        <v>2140</v>
      </c>
      <c r="O28" t="s">
        <v>90</v>
      </c>
      <c r="P28" t="s">
        <v>106</v>
      </c>
      <c r="Q28" t="s">
        <v>2138</v>
      </c>
    </row>
    <row r="29" spans="1:17" x14ac:dyDescent="0.35">
      <c r="A29" t="s">
        <v>40</v>
      </c>
      <c r="B29" t="s">
        <v>41</v>
      </c>
      <c r="C29" t="s">
        <v>2142</v>
      </c>
      <c r="E29" t="s">
        <v>46</v>
      </c>
      <c r="F29">
        <v>45678</v>
      </c>
      <c r="G29">
        <v>280.58</v>
      </c>
      <c r="H29">
        <v>150.16999999999999</v>
      </c>
      <c r="I29">
        <v>19675798.5</v>
      </c>
      <c r="J29" s="90" t="s">
        <v>124</v>
      </c>
      <c r="K29" s="29">
        <v>43844</v>
      </c>
      <c r="L29" t="s">
        <v>16</v>
      </c>
      <c r="M29" t="s">
        <v>2140</v>
      </c>
      <c r="O29" t="s">
        <v>90</v>
      </c>
      <c r="P29" t="s">
        <v>106</v>
      </c>
      <c r="Q29" t="s">
        <v>2138</v>
      </c>
    </row>
    <row r="30" spans="1:17" x14ac:dyDescent="0.35">
      <c r="A30" t="s">
        <v>40</v>
      </c>
      <c r="B30" t="s">
        <v>41</v>
      </c>
      <c r="C30" t="s">
        <v>2142</v>
      </c>
      <c r="E30" t="s">
        <v>46</v>
      </c>
      <c r="F30">
        <v>45678</v>
      </c>
      <c r="G30">
        <v>280.58</v>
      </c>
      <c r="H30">
        <v>150.16999999999999</v>
      </c>
      <c r="I30">
        <v>19675798.5</v>
      </c>
      <c r="J30" s="90" t="s">
        <v>124</v>
      </c>
      <c r="K30" s="29">
        <v>43844</v>
      </c>
      <c r="L30" t="s">
        <v>16</v>
      </c>
      <c r="M30" t="s">
        <v>2140</v>
      </c>
      <c r="O30" t="s">
        <v>90</v>
      </c>
      <c r="P30" t="s">
        <v>106</v>
      </c>
      <c r="Q30" t="s">
        <v>2138</v>
      </c>
    </row>
    <row r="31" spans="1:17" x14ac:dyDescent="0.35">
      <c r="A31" t="s">
        <v>40</v>
      </c>
      <c r="B31" t="s">
        <v>41</v>
      </c>
      <c r="C31" t="s">
        <v>2142</v>
      </c>
      <c r="E31" t="s">
        <v>46</v>
      </c>
      <c r="F31">
        <v>45678</v>
      </c>
      <c r="G31">
        <v>280.58</v>
      </c>
      <c r="H31">
        <v>150.16999999999999</v>
      </c>
      <c r="I31">
        <v>19675798.5</v>
      </c>
      <c r="J31" s="90" t="s">
        <v>124</v>
      </c>
      <c r="K31" s="29">
        <v>43844</v>
      </c>
      <c r="L31" t="s">
        <v>16</v>
      </c>
      <c r="M31" t="s">
        <v>2140</v>
      </c>
      <c r="O31" t="s">
        <v>90</v>
      </c>
      <c r="P31" t="s">
        <v>106</v>
      </c>
      <c r="Q31" t="s">
        <v>2138</v>
      </c>
    </row>
    <row r="32" spans="1:17" x14ac:dyDescent="0.35">
      <c r="A32" t="s">
        <v>40</v>
      </c>
      <c r="B32" t="s">
        <v>41</v>
      </c>
      <c r="C32" t="s">
        <v>2142</v>
      </c>
      <c r="E32" t="s">
        <v>46</v>
      </c>
      <c r="F32">
        <v>45678</v>
      </c>
      <c r="G32">
        <v>280.58</v>
      </c>
      <c r="H32">
        <v>150.16999999999999</v>
      </c>
      <c r="I32">
        <v>19675798.5</v>
      </c>
      <c r="J32" s="90" t="s">
        <v>124</v>
      </c>
      <c r="K32" s="29">
        <v>43844</v>
      </c>
      <c r="L32" t="s">
        <v>16</v>
      </c>
      <c r="M32" t="s">
        <v>2140</v>
      </c>
      <c r="O32" t="s">
        <v>90</v>
      </c>
      <c r="P32" t="s">
        <v>106</v>
      </c>
      <c r="Q32" t="s">
        <v>2138</v>
      </c>
    </row>
    <row r="33" spans="1:17" x14ac:dyDescent="0.35">
      <c r="A33" t="s">
        <v>40</v>
      </c>
      <c r="B33" t="s">
        <v>41</v>
      </c>
      <c r="C33" t="s">
        <v>2142</v>
      </c>
      <c r="E33" t="s">
        <v>46</v>
      </c>
      <c r="F33">
        <v>45678</v>
      </c>
      <c r="G33">
        <v>280.58</v>
      </c>
      <c r="H33">
        <v>150.16999999999999</v>
      </c>
      <c r="I33">
        <v>19675798.5</v>
      </c>
      <c r="J33" s="90" t="s">
        <v>124</v>
      </c>
      <c r="K33" s="29">
        <v>43848</v>
      </c>
      <c r="L33" t="s">
        <v>83</v>
      </c>
      <c r="M33" t="s">
        <v>2140</v>
      </c>
      <c r="O33" t="s">
        <v>90</v>
      </c>
      <c r="P33" t="s">
        <v>106</v>
      </c>
      <c r="Q33" t="s">
        <v>2138</v>
      </c>
    </row>
    <row r="34" spans="1:17" x14ac:dyDescent="0.35">
      <c r="A34" t="s">
        <v>40</v>
      </c>
      <c r="B34" t="s">
        <v>41</v>
      </c>
      <c r="C34" t="s">
        <v>2142</v>
      </c>
      <c r="E34" t="s">
        <v>46</v>
      </c>
      <c r="F34">
        <v>45678</v>
      </c>
      <c r="G34">
        <v>280.58</v>
      </c>
      <c r="H34">
        <v>150.16999999999999</v>
      </c>
      <c r="I34">
        <v>19675798.5</v>
      </c>
      <c r="J34" s="90" t="s">
        <v>124</v>
      </c>
      <c r="K34" s="29">
        <v>43844</v>
      </c>
      <c r="L34" t="s">
        <v>16</v>
      </c>
      <c r="M34" t="s">
        <v>2140</v>
      </c>
      <c r="O34" t="s">
        <v>90</v>
      </c>
      <c r="P34" t="s">
        <v>106</v>
      </c>
      <c r="Q34" t="s">
        <v>2138</v>
      </c>
    </row>
    <row r="35" spans="1:17" x14ac:dyDescent="0.35">
      <c r="A35" t="s">
        <v>2141</v>
      </c>
      <c r="B35" t="s">
        <v>59</v>
      </c>
      <c r="F35">
        <v>1</v>
      </c>
      <c r="G35">
        <v>5634.25</v>
      </c>
      <c r="I35">
        <v>5634.25</v>
      </c>
      <c r="J35" s="90" t="s">
        <v>125</v>
      </c>
      <c r="K35" s="29">
        <v>43844</v>
      </c>
      <c r="L35">
        <v>0</v>
      </c>
      <c r="M35">
        <v>0</v>
      </c>
      <c r="O35">
        <v>0</v>
      </c>
      <c r="P35" t="s">
        <v>106</v>
      </c>
      <c r="Q35" t="s">
        <v>2138</v>
      </c>
    </row>
    <row r="36" spans="1:17" x14ac:dyDescent="0.35">
      <c r="A36" t="s">
        <v>2141</v>
      </c>
      <c r="B36" t="s">
        <v>59</v>
      </c>
      <c r="F36">
        <v>1</v>
      </c>
      <c r="G36">
        <v>5634.25</v>
      </c>
      <c r="I36">
        <v>5634.25</v>
      </c>
      <c r="J36" s="90" t="s">
        <v>125</v>
      </c>
      <c r="K36" s="29">
        <v>43844</v>
      </c>
      <c r="L36">
        <v>0</v>
      </c>
      <c r="M36">
        <v>0</v>
      </c>
      <c r="O36">
        <v>0</v>
      </c>
      <c r="P36" t="s">
        <v>106</v>
      </c>
      <c r="Q36" t="s">
        <v>2138</v>
      </c>
    </row>
    <row r="37" spans="1:17" x14ac:dyDescent="0.35">
      <c r="A37" t="s">
        <v>2141</v>
      </c>
      <c r="B37" t="s">
        <v>59</v>
      </c>
      <c r="F37">
        <v>1</v>
      </c>
      <c r="G37">
        <v>5634.25</v>
      </c>
      <c r="I37">
        <v>5634.25</v>
      </c>
      <c r="J37" s="90" t="s">
        <v>125</v>
      </c>
      <c r="K37" s="29">
        <v>43844</v>
      </c>
      <c r="L37">
        <v>0</v>
      </c>
      <c r="M37">
        <v>0</v>
      </c>
      <c r="O37">
        <v>0</v>
      </c>
      <c r="P37" t="s">
        <v>106</v>
      </c>
      <c r="Q37" t="s">
        <v>2138</v>
      </c>
    </row>
    <row r="38" spans="1:17" x14ac:dyDescent="0.35">
      <c r="A38" t="s">
        <v>2141</v>
      </c>
      <c r="B38" t="s">
        <v>59</v>
      </c>
      <c r="F38">
        <v>1</v>
      </c>
      <c r="G38">
        <v>5634.25</v>
      </c>
      <c r="I38">
        <v>5634.25</v>
      </c>
      <c r="J38" s="90" t="s">
        <v>125</v>
      </c>
      <c r="K38" s="29">
        <v>43844</v>
      </c>
      <c r="L38">
        <v>0</v>
      </c>
      <c r="M38">
        <v>0</v>
      </c>
      <c r="O38">
        <v>0</v>
      </c>
      <c r="P38" t="s">
        <v>106</v>
      </c>
      <c r="Q38" t="s">
        <v>2138</v>
      </c>
    </row>
    <row r="39" spans="1:17" x14ac:dyDescent="0.35">
      <c r="A39" t="s">
        <v>2141</v>
      </c>
      <c r="B39" t="s">
        <v>59</v>
      </c>
      <c r="F39">
        <v>1</v>
      </c>
      <c r="G39">
        <v>5634.25</v>
      </c>
      <c r="I39">
        <v>5634.25</v>
      </c>
      <c r="J39" s="90" t="s">
        <v>125</v>
      </c>
      <c r="K39" s="29">
        <v>43844</v>
      </c>
      <c r="L39">
        <v>0</v>
      </c>
      <c r="M39">
        <v>0</v>
      </c>
      <c r="O39">
        <v>0</v>
      </c>
      <c r="P39" t="s">
        <v>106</v>
      </c>
      <c r="Q39" t="s">
        <v>2138</v>
      </c>
    </row>
    <row r="40" spans="1:17" x14ac:dyDescent="0.35">
      <c r="A40" t="s">
        <v>2141</v>
      </c>
      <c r="B40" t="s">
        <v>59</v>
      </c>
      <c r="F40">
        <v>1</v>
      </c>
      <c r="G40">
        <v>5634.25</v>
      </c>
      <c r="I40">
        <v>5634.25</v>
      </c>
      <c r="J40" s="90" t="s">
        <v>125</v>
      </c>
      <c r="K40" s="29">
        <v>43844</v>
      </c>
      <c r="L40">
        <v>0</v>
      </c>
      <c r="M40">
        <v>0</v>
      </c>
      <c r="O40">
        <v>0</v>
      </c>
      <c r="P40" t="s">
        <v>106</v>
      </c>
      <c r="Q40" t="s">
        <v>2138</v>
      </c>
    </row>
    <row r="41" spans="1:17" x14ac:dyDescent="0.35">
      <c r="A41" t="s">
        <v>2141</v>
      </c>
      <c r="B41" t="s">
        <v>59</v>
      </c>
      <c r="F41">
        <v>1</v>
      </c>
      <c r="G41">
        <v>5634.25</v>
      </c>
      <c r="I41">
        <v>5634.25</v>
      </c>
      <c r="J41" s="90" t="s">
        <v>125</v>
      </c>
      <c r="K41" s="29">
        <v>43844</v>
      </c>
      <c r="L41">
        <v>0</v>
      </c>
      <c r="M41">
        <v>0</v>
      </c>
      <c r="O41">
        <v>0</v>
      </c>
      <c r="P41" t="s">
        <v>106</v>
      </c>
      <c r="Q41" t="s">
        <v>2138</v>
      </c>
    </row>
    <row r="42" spans="1:17" x14ac:dyDescent="0.35">
      <c r="A42" t="s">
        <v>2141</v>
      </c>
      <c r="B42" t="s">
        <v>59</v>
      </c>
      <c r="F42">
        <v>1</v>
      </c>
      <c r="G42">
        <v>5634.25</v>
      </c>
      <c r="I42">
        <v>5634.25</v>
      </c>
      <c r="J42" s="90" t="s">
        <v>125</v>
      </c>
      <c r="K42" s="29">
        <v>43844</v>
      </c>
      <c r="L42">
        <v>0</v>
      </c>
      <c r="M42">
        <v>0</v>
      </c>
      <c r="O42">
        <v>0</v>
      </c>
      <c r="P42" t="s">
        <v>106</v>
      </c>
      <c r="Q42" t="s">
        <v>2138</v>
      </c>
    </row>
    <row r="43" spans="1:17" x14ac:dyDescent="0.35">
      <c r="A43" t="s">
        <v>2141</v>
      </c>
      <c r="B43" t="s">
        <v>59</v>
      </c>
      <c r="F43">
        <v>1</v>
      </c>
      <c r="G43">
        <v>5634.25</v>
      </c>
      <c r="I43">
        <v>5634.25</v>
      </c>
      <c r="J43" s="90" t="s">
        <v>125</v>
      </c>
      <c r="K43" s="29">
        <v>43844</v>
      </c>
      <c r="L43">
        <v>0</v>
      </c>
      <c r="M43">
        <v>0</v>
      </c>
      <c r="O43">
        <v>0</v>
      </c>
      <c r="P43" t="s">
        <v>106</v>
      </c>
      <c r="Q43" t="s">
        <v>2138</v>
      </c>
    </row>
    <row r="44" spans="1:17" x14ac:dyDescent="0.35">
      <c r="A44" t="s">
        <v>2141</v>
      </c>
      <c r="B44" t="s">
        <v>59</v>
      </c>
      <c r="F44">
        <v>1</v>
      </c>
      <c r="G44">
        <v>5634.25</v>
      </c>
      <c r="I44">
        <v>5634.25</v>
      </c>
      <c r="J44" s="90" t="s">
        <v>125</v>
      </c>
      <c r="K44" s="29">
        <v>43844</v>
      </c>
      <c r="L44">
        <v>0</v>
      </c>
      <c r="M44">
        <v>0</v>
      </c>
      <c r="O44">
        <v>0</v>
      </c>
      <c r="P44" t="s">
        <v>106</v>
      </c>
      <c r="Q44" t="s">
        <v>2138</v>
      </c>
    </row>
    <row r="45" spans="1:17" x14ac:dyDescent="0.35">
      <c r="A45" t="s">
        <v>2141</v>
      </c>
      <c r="B45" t="s">
        <v>59</v>
      </c>
      <c r="F45">
        <v>1</v>
      </c>
      <c r="G45">
        <v>5634.25</v>
      </c>
      <c r="I45">
        <v>5634.25</v>
      </c>
      <c r="J45" s="90" t="s">
        <v>125</v>
      </c>
      <c r="K45" s="29">
        <v>43844</v>
      </c>
      <c r="L45">
        <v>0</v>
      </c>
      <c r="M45">
        <v>0</v>
      </c>
      <c r="O45">
        <v>0</v>
      </c>
      <c r="P45" t="s">
        <v>106</v>
      </c>
      <c r="Q45" t="s">
        <v>2138</v>
      </c>
    </row>
    <row r="46" spans="1:17" x14ac:dyDescent="0.35">
      <c r="A46" t="s">
        <v>2141</v>
      </c>
      <c r="B46" t="s">
        <v>59</v>
      </c>
      <c r="F46">
        <v>1</v>
      </c>
      <c r="G46">
        <v>5634.25</v>
      </c>
      <c r="I46">
        <v>5634.25</v>
      </c>
      <c r="J46" s="90" t="s">
        <v>125</v>
      </c>
      <c r="K46" s="29">
        <v>43844</v>
      </c>
      <c r="L46">
        <v>0</v>
      </c>
      <c r="M46">
        <v>0</v>
      </c>
      <c r="O46">
        <v>0</v>
      </c>
      <c r="P46" t="s">
        <v>106</v>
      </c>
      <c r="Q46" t="s">
        <v>2138</v>
      </c>
    </row>
    <row r="47" spans="1:17" x14ac:dyDescent="0.35">
      <c r="A47" t="s">
        <v>2141</v>
      </c>
      <c r="B47" t="s">
        <v>59</v>
      </c>
      <c r="F47">
        <v>1</v>
      </c>
      <c r="G47">
        <v>5634.25</v>
      </c>
      <c r="I47">
        <v>5634.25</v>
      </c>
      <c r="J47" s="90" t="s">
        <v>125</v>
      </c>
      <c r="K47" s="29">
        <v>43844</v>
      </c>
      <c r="L47">
        <v>0</v>
      </c>
      <c r="M47">
        <v>0</v>
      </c>
      <c r="O47">
        <v>0</v>
      </c>
      <c r="P47" t="s">
        <v>106</v>
      </c>
      <c r="Q47" t="s">
        <v>2138</v>
      </c>
    </row>
    <row r="48" spans="1:17" x14ac:dyDescent="0.35">
      <c r="A48" t="s">
        <v>2141</v>
      </c>
      <c r="B48" t="s">
        <v>59</v>
      </c>
      <c r="F48">
        <v>1</v>
      </c>
      <c r="G48">
        <v>5634.25</v>
      </c>
      <c r="I48">
        <v>5634.25</v>
      </c>
      <c r="J48" s="90" t="s">
        <v>125</v>
      </c>
      <c r="K48" s="29">
        <v>43844</v>
      </c>
      <c r="L48">
        <v>0</v>
      </c>
      <c r="M48">
        <v>0</v>
      </c>
      <c r="O48">
        <v>0</v>
      </c>
      <c r="P48" t="s">
        <v>106</v>
      </c>
      <c r="Q48" t="s">
        <v>2138</v>
      </c>
    </row>
    <row r="49" spans="1:17" x14ac:dyDescent="0.35">
      <c r="A49" t="s">
        <v>2141</v>
      </c>
      <c r="B49" t="s">
        <v>59</v>
      </c>
      <c r="F49">
        <v>1</v>
      </c>
      <c r="G49">
        <v>5634.25</v>
      </c>
      <c r="I49">
        <v>5634.25</v>
      </c>
      <c r="J49" s="90" t="s">
        <v>125</v>
      </c>
      <c r="K49" s="29">
        <v>43844</v>
      </c>
      <c r="L49">
        <v>0</v>
      </c>
      <c r="M49">
        <v>0</v>
      </c>
      <c r="O49">
        <v>0</v>
      </c>
      <c r="P49" t="s">
        <v>106</v>
      </c>
      <c r="Q49" t="s">
        <v>2138</v>
      </c>
    </row>
    <row r="50" spans="1:17" x14ac:dyDescent="0.35">
      <c r="A50" t="s">
        <v>2141</v>
      </c>
      <c r="B50" t="s">
        <v>59</v>
      </c>
      <c r="F50">
        <v>1</v>
      </c>
      <c r="G50">
        <v>5634.25</v>
      </c>
      <c r="I50">
        <v>5634.25</v>
      </c>
      <c r="J50" s="90" t="s">
        <v>125</v>
      </c>
      <c r="K50" s="29">
        <v>43844</v>
      </c>
      <c r="L50">
        <v>0</v>
      </c>
      <c r="M50">
        <v>0</v>
      </c>
      <c r="O50">
        <v>0</v>
      </c>
      <c r="P50" t="s">
        <v>106</v>
      </c>
      <c r="Q50" t="s">
        <v>2138</v>
      </c>
    </row>
    <row r="51" spans="1:17" x14ac:dyDescent="0.35">
      <c r="A51" t="s">
        <v>2141</v>
      </c>
      <c r="B51" t="s">
        <v>59</v>
      </c>
      <c r="F51">
        <v>1</v>
      </c>
      <c r="G51">
        <v>5634.25</v>
      </c>
      <c r="I51">
        <v>5634.25</v>
      </c>
      <c r="J51" s="90" t="s">
        <v>125</v>
      </c>
      <c r="K51" s="29">
        <v>43844</v>
      </c>
      <c r="L51">
        <v>0</v>
      </c>
      <c r="M51">
        <v>0</v>
      </c>
      <c r="O51">
        <v>0</v>
      </c>
      <c r="P51" t="s">
        <v>106</v>
      </c>
      <c r="Q51" t="s">
        <v>2138</v>
      </c>
    </row>
    <row r="52" spans="1:17" x14ac:dyDescent="0.35">
      <c r="A52" t="s">
        <v>2141</v>
      </c>
      <c r="B52" t="s">
        <v>59</v>
      </c>
      <c r="F52">
        <v>1</v>
      </c>
      <c r="G52">
        <v>5634.25</v>
      </c>
      <c r="I52">
        <v>5634.25</v>
      </c>
      <c r="J52" s="90" t="s">
        <v>125</v>
      </c>
      <c r="K52" s="29">
        <v>43844</v>
      </c>
      <c r="L52">
        <v>0</v>
      </c>
      <c r="M52">
        <v>0</v>
      </c>
      <c r="O52">
        <v>0</v>
      </c>
      <c r="P52" t="s">
        <v>106</v>
      </c>
      <c r="Q52" t="s">
        <v>2138</v>
      </c>
    </row>
    <row r="53" spans="1:17" x14ac:dyDescent="0.35">
      <c r="A53" t="s">
        <v>2141</v>
      </c>
      <c r="B53" t="s">
        <v>59</v>
      </c>
      <c r="F53">
        <v>1</v>
      </c>
      <c r="G53">
        <v>5634.25</v>
      </c>
      <c r="I53">
        <v>5634.25</v>
      </c>
      <c r="J53" s="90" t="s">
        <v>125</v>
      </c>
      <c r="K53" s="29">
        <v>43844</v>
      </c>
      <c r="L53">
        <v>0</v>
      </c>
      <c r="M53">
        <v>0</v>
      </c>
      <c r="O53">
        <v>0</v>
      </c>
      <c r="P53" t="s">
        <v>106</v>
      </c>
      <c r="Q53" t="s">
        <v>2138</v>
      </c>
    </row>
    <row r="54" spans="1:17" x14ac:dyDescent="0.35">
      <c r="A54" t="s">
        <v>2141</v>
      </c>
      <c r="B54" t="s">
        <v>59</v>
      </c>
      <c r="F54">
        <v>1</v>
      </c>
      <c r="G54">
        <v>5634.25</v>
      </c>
      <c r="I54">
        <v>5634.25</v>
      </c>
      <c r="J54" s="90" t="s">
        <v>125</v>
      </c>
      <c r="K54" s="29">
        <v>43844</v>
      </c>
      <c r="L54">
        <v>0</v>
      </c>
      <c r="M54">
        <v>0</v>
      </c>
      <c r="O54">
        <v>0</v>
      </c>
      <c r="P54" t="s">
        <v>106</v>
      </c>
      <c r="Q54" t="s">
        <v>2138</v>
      </c>
    </row>
    <row r="55" spans="1:17" x14ac:dyDescent="0.35">
      <c r="A55" t="s">
        <v>2141</v>
      </c>
      <c r="B55" t="s">
        <v>59</v>
      </c>
      <c r="F55">
        <v>1</v>
      </c>
      <c r="G55">
        <v>5634.25</v>
      </c>
      <c r="I55">
        <v>5634.25</v>
      </c>
      <c r="J55" s="90" t="s">
        <v>125</v>
      </c>
      <c r="K55" s="29">
        <v>43844</v>
      </c>
      <c r="L55">
        <v>0</v>
      </c>
      <c r="M55">
        <v>0</v>
      </c>
      <c r="O55">
        <v>0</v>
      </c>
      <c r="P55" t="s">
        <v>106</v>
      </c>
      <c r="Q55" t="s">
        <v>2138</v>
      </c>
    </row>
    <row r="56" spans="1:17" x14ac:dyDescent="0.35">
      <c r="A56" t="s">
        <v>2141</v>
      </c>
      <c r="B56" t="s">
        <v>59</v>
      </c>
      <c r="F56">
        <v>1</v>
      </c>
      <c r="G56">
        <v>5634.25</v>
      </c>
      <c r="I56">
        <v>5634.25</v>
      </c>
      <c r="J56" s="90" t="s">
        <v>125</v>
      </c>
      <c r="K56" s="29">
        <v>43844</v>
      </c>
      <c r="L56">
        <v>0</v>
      </c>
      <c r="M56">
        <v>0</v>
      </c>
      <c r="O56">
        <v>0</v>
      </c>
      <c r="P56" t="s">
        <v>106</v>
      </c>
      <c r="Q56" t="s">
        <v>2138</v>
      </c>
    </row>
    <row r="57" spans="1:17" x14ac:dyDescent="0.35">
      <c r="A57" t="s">
        <v>2141</v>
      </c>
      <c r="B57" t="s">
        <v>59</v>
      </c>
      <c r="F57">
        <v>1</v>
      </c>
      <c r="G57">
        <v>5634.25</v>
      </c>
      <c r="I57">
        <v>5634.25</v>
      </c>
      <c r="J57" s="90" t="s">
        <v>125</v>
      </c>
      <c r="K57" s="29">
        <v>43844</v>
      </c>
      <c r="L57">
        <v>0</v>
      </c>
      <c r="M57">
        <v>0</v>
      </c>
      <c r="O57">
        <v>0</v>
      </c>
      <c r="P57" t="s">
        <v>106</v>
      </c>
      <c r="Q57" t="s">
        <v>2138</v>
      </c>
    </row>
    <row r="58" spans="1:17" x14ac:dyDescent="0.35">
      <c r="A58" t="s">
        <v>2141</v>
      </c>
      <c r="B58" t="s">
        <v>59</v>
      </c>
      <c r="F58">
        <v>1</v>
      </c>
      <c r="G58">
        <v>5634.25</v>
      </c>
      <c r="I58">
        <v>5634.25</v>
      </c>
      <c r="J58" s="90" t="s">
        <v>125</v>
      </c>
      <c r="K58" s="29">
        <v>43844</v>
      </c>
      <c r="L58">
        <v>0</v>
      </c>
      <c r="M58">
        <v>0</v>
      </c>
      <c r="O58">
        <v>0</v>
      </c>
      <c r="P58" t="s">
        <v>106</v>
      </c>
      <c r="Q58" t="s">
        <v>2138</v>
      </c>
    </row>
    <row r="59" spans="1:17" x14ac:dyDescent="0.35">
      <c r="A59" t="s">
        <v>2141</v>
      </c>
      <c r="B59" t="s">
        <v>59</v>
      </c>
      <c r="F59">
        <v>1</v>
      </c>
      <c r="G59">
        <v>5634.25</v>
      </c>
      <c r="I59">
        <v>5634.25</v>
      </c>
      <c r="J59" s="90" t="s">
        <v>125</v>
      </c>
      <c r="K59" s="29">
        <v>43844</v>
      </c>
      <c r="L59">
        <v>0</v>
      </c>
      <c r="M59">
        <v>0</v>
      </c>
      <c r="O59">
        <v>0</v>
      </c>
      <c r="P59" t="s">
        <v>106</v>
      </c>
      <c r="Q59" t="s">
        <v>2138</v>
      </c>
    </row>
    <row r="60" spans="1:17" x14ac:dyDescent="0.35">
      <c r="A60" t="s">
        <v>2141</v>
      </c>
      <c r="B60" t="s">
        <v>59</v>
      </c>
      <c r="F60">
        <v>1</v>
      </c>
      <c r="G60">
        <v>5634.25</v>
      </c>
      <c r="I60">
        <v>5634.25</v>
      </c>
      <c r="J60" s="90" t="s">
        <v>125</v>
      </c>
      <c r="K60" s="29">
        <v>43844</v>
      </c>
      <c r="L60">
        <v>0</v>
      </c>
      <c r="M60">
        <v>0</v>
      </c>
      <c r="O60">
        <v>0</v>
      </c>
      <c r="P60" t="s">
        <v>106</v>
      </c>
      <c r="Q60" t="s">
        <v>2138</v>
      </c>
    </row>
    <row r="61" spans="1:17" x14ac:dyDescent="0.35">
      <c r="A61" t="s">
        <v>2141</v>
      </c>
      <c r="B61" t="s">
        <v>59</v>
      </c>
      <c r="F61">
        <v>1</v>
      </c>
      <c r="G61">
        <v>5634.25</v>
      </c>
      <c r="I61">
        <v>5634.25</v>
      </c>
      <c r="J61" s="90" t="s">
        <v>125</v>
      </c>
      <c r="K61" s="29">
        <v>43844</v>
      </c>
      <c r="L61">
        <v>0</v>
      </c>
      <c r="M61">
        <v>0</v>
      </c>
      <c r="O61">
        <v>0</v>
      </c>
      <c r="P61" t="s">
        <v>106</v>
      </c>
      <c r="Q61" t="s">
        <v>2138</v>
      </c>
    </row>
    <row r="62" spans="1:17" x14ac:dyDescent="0.35">
      <c r="A62" t="s">
        <v>2141</v>
      </c>
      <c r="B62" t="s">
        <v>59</v>
      </c>
      <c r="F62">
        <v>1</v>
      </c>
      <c r="G62">
        <v>5634.25</v>
      </c>
      <c r="I62">
        <v>5634.25</v>
      </c>
      <c r="J62" s="90" t="s">
        <v>125</v>
      </c>
      <c r="K62" s="29">
        <v>43844</v>
      </c>
      <c r="L62">
        <v>0</v>
      </c>
      <c r="M62">
        <v>0</v>
      </c>
      <c r="O62">
        <v>0</v>
      </c>
      <c r="P62" t="s">
        <v>106</v>
      </c>
      <c r="Q62" t="s">
        <v>2138</v>
      </c>
    </row>
    <row r="63" spans="1:17" x14ac:dyDescent="0.35">
      <c r="A63" t="s">
        <v>2141</v>
      </c>
      <c r="B63" t="s">
        <v>59</v>
      </c>
      <c r="F63">
        <v>1</v>
      </c>
      <c r="G63">
        <v>5634.25</v>
      </c>
      <c r="I63">
        <v>5634.25</v>
      </c>
      <c r="J63" s="90" t="s">
        <v>125</v>
      </c>
      <c r="K63" s="29">
        <v>43844</v>
      </c>
      <c r="L63">
        <v>0</v>
      </c>
      <c r="M63">
        <v>0</v>
      </c>
      <c r="O63">
        <v>0</v>
      </c>
      <c r="P63" t="s">
        <v>106</v>
      </c>
      <c r="Q63" t="s">
        <v>2138</v>
      </c>
    </row>
    <row r="64" spans="1:17" x14ac:dyDescent="0.35">
      <c r="A64" t="s">
        <v>2141</v>
      </c>
      <c r="B64" t="s">
        <v>59</v>
      </c>
      <c r="F64">
        <v>1</v>
      </c>
      <c r="G64">
        <v>5634.25</v>
      </c>
      <c r="I64">
        <v>5634.25</v>
      </c>
      <c r="J64" s="90" t="s">
        <v>125</v>
      </c>
      <c r="K64" s="29">
        <v>43844</v>
      </c>
      <c r="L64">
        <v>0</v>
      </c>
      <c r="M64">
        <v>0</v>
      </c>
      <c r="O64">
        <v>0</v>
      </c>
      <c r="P64" t="s">
        <v>106</v>
      </c>
      <c r="Q64" t="s">
        <v>2138</v>
      </c>
    </row>
    <row r="65" spans="1:17" x14ac:dyDescent="0.35">
      <c r="A65" t="s">
        <v>2141</v>
      </c>
      <c r="B65" t="s">
        <v>59</v>
      </c>
      <c r="F65">
        <v>1</v>
      </c>
      <c r="G65">
        <v>5634.25</v>
      </c>
      <c r="I65">
        <v>5634.25</v>
      </c>
      <c r="J65" s="90" t="s">
        <v>125</v>
      </c>
      <c r="K65" s="29">
        <v>43844</v>
      </c>
      <c r="L65">
        <v>0</v>
      </c>
      <c r="M65">
        <v>0</v>
      </c>
      <c r="O65">
        <v>0</v>
      </c>
      <c r="P65" t="s">
        <v>106</v>
      </c>
      <c r="Q65" t="s">
        <v>2138</v>
      </c>
    </row>
    <row r="66" spans="1:17" x14ac:dyDescent="0.35">
      <c r="A66" t="s">
        <v>2141</v>
      </c>
      <c r="B66" t="s">
        <v>59</v>
      </c>
      <c r="F66">
        <v>1</v>
      </c>
      <c r="G66">
        <v>5634.25</v>
      </c>
      <c r="I66">
        <v>5634.25</v>
      </c>
      <c r="J66" s="90" t="s">
        <v>125</v>
      </c>
      <c r="K66" s="29">
        <v>43844</v>
      </c>
      <c r="L66">
        <v>0</v>
      </c>
      <c r="M66">
        <v>0</v>
      </c>
      <c r="O66">
        <v>0</v>
      </c>
      <c r="P66" t="s">
        <v>106</v>
      </c>
      <c r="Q66" t="s">
        <v>2138</v>
      </c>
    </row>
    <row r="67" spans="1:17" x14ac:dyDescent="0.35">
      <c r="A67" t="s">
        <v>2141</v>
      </c>
      <c r="B67" t="s">
        <v>59</v>
      </c>
      <c r="F67">
        <v>1</v>
      </c>
      <c r="G67">
        <v>5634.25</v>
      </c>
      <c r="I67">
        <v>5634.25</v>
      </c>
      <c r="J67" s="90" t="s">
        <v>125</v>
      </c>
      <c r="K67" s="29">
        <v>43844</v>
      </c>
      <c r="L67">
        <v>0</v>
      </c>
      <c r="M67">
        <v>0</v>
      </c>
      <c r="O67">
        <v>0</v>
      </c>
      <c r="P67" t="s">
        <v>106</v>
      </c>
      <c r="Q67" t="s">
        <v>2138</v>
      </c>
    </row>
    <row r="68" spans="1:17" x14ac:dyDescent="0.35">
      <c r="A68" t="s">
        <v>2141</v>
      </c>
      <c r="B68" t="s">
        <v>59</v>
      </c>
      <c r="F68">
        <v>1</v>
      </c>
      <c r="G68">
        <v>5634.25</v>
      </c>
      <c r="I68">
        <v>5634.25</v>
      </c>
      <c r="J68" s="90" t="s">
        <v>125</v>
      </c>
      <c r="K68" s="29">
        <v>43844</v>
      </c>
      <c r="L68">
        <v>0</v>
      </c>
      <c r="M68">
        <v>0</v>
      </c>
      <c r="O68">
        <v>0</v>
      </c>
      <c r="P68" t="s">
        <v>106</v>
      </c>
      <c r="Q68" t="s">
        <v>2138</v>
      </c>
    </row>
    <row r="69" spans="1:17" x14ac:dyDescent="0.35">
      <c r="A69" t="s">
        <v>2141</v>
      </c>
      <c r="B69" t="s">
        <v>59</v>
      </c>
      <c r="F69">
        <v>1</v>
      </c>
      <c r="G69">
        <v>5634.25</v>
      </c>
      <c r="I69">
        <v>5634.25</v>
      </c>
      <c r="J69" s="90" t="s">
        <v>125</v>
      </c>
      <c r="K69" s="29">
        <v>43844</v>
      </c>
      <c r="L69">
        <v>0</v>
      </c>
      <c r="M69">
        <v>0</v>
      </c>
      <c r="O69">
        <v>0</v>
      </c>
      <c r="P69" t="s">
        <v>106</v>
      </c>
      <c r="Q69" t="s">
        <v>2138</v>
      </c>
    </row>
    <row r="70" spans="1:17" x14ac:dyDescent="0.35">
      <c r="A70" t="s">
        <v>2141</v>
      </c>
      <c r="B70" t="s">
        <v>59</v>
      </c>
      <c r="F70">
        <v>1</v>
      </c>
      <c r="G70">
        <v>5634.25</v>
      </c>
      <c r="I70">
        <v>5634.25</v>
      </c>
      <c r="J70" s="90" t="s">
        <v>125</v>
      </c>
      <c r="K70" s="29">
        <v>43844</v>
      </c>
      <c r="L70">
        <v>0</v>
      </c>
      <c r="M70">
        <v>0</v>
      </c>
      <c r="O70">
        <v>0</v>
      </c>
      <c r="P70" t="s">
        <v>106</v>
      </c>
      <c r="Q70" t="s">
        <v>2138</v>
      </c>
    </row>
    <row r="71" spans="1:17" x14ac:dyDescent="0.35">
      <c r="A71" t="s">
        <v>2141</v>
      </c>
      <c r="B71" t="s">
        <v>59</v>
      </c>
      <c r="F71">
        <v>1</v>
      </c>
      <c r="G71">
        <v>5634.25</v>
      </c>
      <c r="I71">
        <v>5634.25</v>
      </c>
      <c r="J71" s="90" t="s">
        <v>125</v>
      </c>
      <c r="K71" s="29">
        <v>43844</v>
      </c>
      <c r="L71">
        <v>0</v>
      </c>
      <c r="M71">
        <v>0</v>
      </c>
      <c r="O71">
        <v>0</v>
      </c>
      <c r="P71" t="s">
        <v>106</v>
      </c>
      <c r="Q71" t="s">
        <v>2138</v>
      </c>
    </row>
    <row r="72" spans="1:17" x14ac:dyDescent="0.35">
      <c r="A72" t="s">
        <v>2141</v>
      </c>
      <c r="B72" t="s">
        <v>59</v>
      </c>
      <c r="F72">
        <v>1</v>
      </c>
      <c r="G72">
        <v>5634.25</v>
      </c>
      <c r="I72">
        <v>5634.25</v>
      </c>
      <c r="J72" s="90" t="s">
        <v>125</v>
      </c>
      <c r="K72" s="29">
        <v>43844</v>
      </c>
      <c r="L72">
        <v>0</v>
      </c>
      <c r="M72">
        <v>0</v>
      </c>
      <c r="O72">
        <v>0</v>
      </c>
      <c r="P72" t="s">
        <v>106</v>
      </c>
      <c r="Q72" t="s">
        <v>2138</v>
      </c>
    </row>
    <row r="73" spans="1:17" x14ac:dyDescent="0.35">
      <c r="A73" t="s">
        <v>2141</v>
      </c>
      <c r="B73" t="s">
        <v>59</v>
      </c>
      <c r="F73">
        <v>1</v>
      </c>
      <c r="G73">
        <v>5634.25</v>
      </c>
      <c r="I73">
        <v>5634.25</v>
      </c>
      <c r="J73" s="90" t="s">
        <v>125</v>
      </c>
      <c r="K73" s="29">
        <v>43844</v>
      </c>
      <c r="L73">
        <v>0</v>
      </c>
      <c r="M73">
        <v>0</v>
      </c>
      <c r="O73">
        <v>0</v>
      </c>
      <c r="P73" t="s">
        <v>106</v>
      </c>
      <c r="Q73" t="s">
        <v>2138</v>
      </c>
    </row>
    <row r="74" spans="1:17" x14ac:dyDescent="0.35">
      <c r="A74" t="s">
        <v>2141</v>
      </c>
      <c r="B74" t="s">
        <v>59</v>
      </c>
      <c r="F74">
        <v>1</v>
      </c>
      <c r="G74">
        <v>5634.25</v>
      </c>
      <c r="I74">
        <v>5634.25</v>
      </c>
      <c r="J74" s="90" t="s">
        <v>125</v>
      </c>
      <c r="K74" s="29">
        <v>43844</v>
      </c>
      <c r="L74">
        <v>0</v>
      </c>
      <c r="M74">
        <v>0</v>
      </c>
      <c r="O74">
        <v>0</v>
      </c>
      <c r="P74" t="s">
        <v>106</v>
      </c>
      <c r="Q74" t="s">
        <v>2138</v>
      </c>
    </row>
    <row r="75" spans="1:17" x14ac:dyDescent="0.35">
      <c r="A75" t="s">
        <v>2141</v>
      </c>
      <c r="B75" t="s">
        <v>59</v>
      </c>
      <c r="F75">
        <v>1</v>
      </c>
      <c r="G75">
        <v>5634.25</v>
      </c>
      <c r="I75">
        <v>5634.25</v>
      </c>
      <c r="J75" s="90" t="s">
        <v>125</v>
      </c>
      <c r="K75" s="29">
        <v>43844</v>
      </c>
      <c r="L75">
        <v>0</v>
      </c>
      <c r="M75">
        <v>0</v>
      </c>
      <c r="O75">
        <v>0</v>
      </c>
      <c r="P75" t="s">
        <v>106</v>
      </c>
      <c r="Q75" t="s">
        <v>2138</v>
      </c>
    </row>
    <row r="76" spans="1:17" x14ac:dyDescent="0.35">
      <c r="A76" t="s">
        <v>2141</v>
      </c>
      <c r="B76" t="s">
        <v>59</v>
      </c>
      <c r="F76">
        <v>1</v>
      </c>
      <c r="G76">
        <v>5634.25</v>
      </c>
      <c r="I76">
        <v>5634.25</v>
      </c>
      <c r="J76" s="90" t="s">
        <v>125</v>
      </c>
      <c r="K76" s="29">
        <v>43844</v>
      </c>
      <c r="L76">
        <v>0</v>
      </c>
      <c r="M76">
        <v>0</v>
      </c>
      <c r="O76">
        <v>0</v>
      </c>
      <c r="P76" t="s">
        <v>106</v>
      </c>
      <c r="Q76" t="s">
        <v>2138</v>
      </c>
    </row>
    <row r="77" spans="1:17" x14ac:dyDescent="0.35">
      <c r="A77" t="s">
        <v>2141</v>
      </c>
      <c r="B77" t="s">
        <v>59</v>
      </c>
      <c r="F77">
        <v>1</v>
      </c>
      <c r="G77">
        <v>5634.25</v>
      </c>
      <c r="I77">
        <v>5634.25</v>
      </c>
      <c r="J77" s="90" t="s">
        <v>125</v>
      </c>
      <c r="K77" s="29">
        <v>43844</v>
      </c>
      <c r="L77">
        <v>0</v>
      </c>
      <c r="M77">
        <v>0</v>
      </c>
      <c r="O77">
        <v>0</v>
      </c>
      <c r="P77" t="s">
        <v>106</v>
      </c>
      <c r="Q77" t="s">
        <v>2138</v>
      </c>
    </row>
    <row r="78" spans="1:17" x14ac:dyDescent="0.35">
      <c r="A78" t="s">
        <v>2141</v>
      </c>
      <c r="B78" t="s">
        <v>59</v>
      </c>
      <c r="F78">
        <v>1</v>
      </c>
      <c r="G78">
        <v>5634.25</v>
      </c>
      <c r="I78">
        <v>5634.25</v>
      </c>
      <c r="J78" s="90" t="s">
        <v>125</v>
      </c>
      <c r="K78" s="29">
        <v>43844</v>
      </c>
      <c r="L78">
        <v>0</v>
      </c>
      <c r="M78">
        <v>0</v>
      </c>
      <c r="O78">
        <v>0</v>
      </c>
      <c r="P78" t="s">
        <v>106</v>
      </c>
      <c r="Q78" t="s">
        <v>2138</v>
      </c>
    </row>
    <row r="79" spans="1:17" x14ac:dyDescent="0.35">
      <c r="A79" t="s">
        <v>2141</v>
      </c>
      <c r="B79" t="s">
        <v>59</v>
      </c>
      <c r="F79">
        <v>1</v>
      </c>
      <c r="G79">
        <v>5634.25</v>
      </c>
      <c r="I79">
        <v>5634.25</v>
      </c>
      <c r="J79" s="90" t="s">
        <v>125</v>
      </c>
      <c r="K79" s="29">
        <v>43844</v>
      </c>
      <c r="L79">
        <v>0</v>
      </c>
      <c r="M79">
        <v>0</v>
      </c>
      <c r="O79">
        <v>0</v>
      </c>
      <c r="P79" t="s">
        <v>106</v>
      </c>
      <c r="Q79" t="s">
        <v>2138</v>
      </c>
    </row>
    <row r="80" spans="1:17" x14ac:dyDescent="0.35">
      <c r="A80" t="s">
        <v>2141</v>
      </c>
      <c r="B80" t="s">
        <v>59</v>
      </c>
      <c r="F80">
        <v>1</v>
      </c>
      <c r="G80">
        <v>5634.25</v>
      </c>
      <c r="I80">
        <v>5634.25</v>
      </c>
      <c r="J80" s="90" t="s">
        <v>125</v>
      </c>
      <c r="K80" s="29">
        <v>43844</v>
      </c>
      <c r="L80">
        <v>0</v>
      </c>
      <c r="M80">
        <v>0</v>
      </c>
      <c r="O80">
        <v>0</v>
      </c>
      <c r="P80" t="s">
        <v>106</v>
      </c>
      <c r="Q80" t="s">
        <v>2138</v>
      </c>
    </row>
    <row r="81" spans="1:17" x14ac:dyDescent="0.35">
      <c r="A81" t="s">
        <v>2141</v>
      </c>
      <c r="B81" t="s">
        <v>59</v>
      </c>
      <c r="F81">
        <v>1</v>
      </c>
      <c r="G81">
        <v>5634.25</v>
      </c>
      <c r="I81">
        <v>5634.25</v>
      </c>
      <c r="J81" s="90" t="s">
        <v>125</v>
      </c>
      <c r="K81" s="29">
        <v>43844</v>
      </c>
      <c r="L81">
        <v>0</v>
      </c>
      <c r="M81">
        <v>0</v>
      </c>
      <c r="O81">
        <v>0</v>
      </c>
      <c r="P81" t="s">
        <v>106</v>
      </c>
      <c r="Q81" t="s">
        <v>2138</v>
      </c>
    </row>
    <row r="82" spans="1:17" x14ac:dyDescent="0.35">
      <c r="A82" t="s">
        <v>2141</v>
      </c>
      <c r="B82" t="s">
        <v>59</v>
      </c>
      <c r="F82">
        <v>1</v>
      </c>
      <c r="G82">
        <v>5634.25</v>
      </c>
      <c r="I82">
        <v>5634.25</v>
      </c>
      <c r="J82" s="90" t="s">
        <v>125</v>
      </c>
      <c r="K82" s="29">
        <v>43844</v>
      </c>
      <c r="L82">
        <v>0</v>
      </c>
      <c r="M82">
        <v>0</v>
      </c>
      <c r="O82">
        <v>0</v>
      </c>
      <c r="P82" t="s">
        <v>106</v>
      </c>
      <c r="Q82" t="s">
        <v>2138</v>
      </c>
    </row>
    <row r="83" spans="1:17" x14ac:dyDescent="0.35">
      <c r="A83" t="s">
        <v>2141</v>
      </c>
      <c r="B83" t="s">
        <v>59</v>
      </c>
      <c r="F83">
        <v>1</v>
      </c>
      <c r="G83">
        <v>5634.25</v>
      </c>
      <c r="I83">
        <v>5634.25</v>
      </c>
      <c r="J83" s="90" t="s">
        <v>125</v>
      </c>
      <c r="K83" s="29">
        <v>43844</v>
      </c>
      <c r="L83">
        <v>0</v>
      </c>
      <c r="M83">
        <v>0</v>
      </c>
      <c r="O83">
        <v>0</v>
      </c>
      <c r="P83" t="s">
        <v>106</v>
      </c>
      <c r="Q83" t="s">
        <v>2138</v>
      </c>
    </row>
    <row r="84" spans="1:17" x14ac:dyDescent="0.35">
      <c r="A84" t="s">
        <v>40</v>
      </c>
      <c r="B84" t="s">
        <v>41</v>
      </c>
      <c r="C84" t="s">
        <v>2159</v>
      </c>
      <c r="D84">
        <v>43770</v>
      </c>
      <c r="E84" t="s">
        <v>46</v>
      </c>
      <c r="F84">
        <v>500</v>
      </c>
      <c r="G84">
        <v>280.58</v>
      </c>
      <c r="H84">
        <v>0</v>
      </c>
      <c r="I84">
        <v>140290</v>
      </c>
      <c r="J84" s="90" t="s">
        <v>126</v>
      </c>
      <c r="K84" s="29">
        <v>43859</v>
      </c>
      <c r="L84" t="s">
        <v>16</v>
      </c>
      <c r="M84" t="s">
        <v>2160</v>
      </c>
      <c r="O84" t="s">
        <v>90</v>
      </c>
      <c r="P84" t="s">
        <v>106</v>
      </c>
      <c r="Q84" t="s">
        <v>2138</v>
      </c>
    </row>
    <row r="85" spans="1:17" x14ac:dyDescent="0.35">
      <c r="A85" t="s">
        <v>40</v>
      </c>
      <c r="B85" t="s">
        <v>41</v>
      </c>
      <c r="E85" t="s">
        <v>46</v>
      </c>
      <c r="F85">
        <v>1000</v>
      </c>
      <c r="G85">
        <v>280.58</v>
      </c>
      <c r="H85">
        <v>0</v>
      </c>
      <c r="I85">
        <v>280580</v>
      </c>
      <c r="J85" s="90" t="s">
        <v>138</v>
      </c>
      <c r="K85" s="29">
        <v>43861</v>
      </c>
      <c r="L85" t="s">
        <v>83</v>
      </c>
      <c r="M85" t="s">
        <v>2169</v>
      </c>
      <c r="O85">
        <v>0</v>
      </c>
      <c r="P85" t="s">
        <v>107</v>
      </c>
      <c r="Q85" t="s">
        <v>2138</v>
      </c>
    </row>
    <row r="86" spans="1:17" x14ac:dyDescent="0.35">
      <c r="A86" t="s">
        <v>40</v>
      </c>
      <c r="B86" t="s">
        <v>41</v>
      </c>
      <c r="E86" t="s">
        <v>46</v>
      </c>
      <c r="F86">
        <v>1000</v>
      </c>
      <c r="G86">
        <v>280.58</v>
      </c>
      <c r="H86">
        <v>0</v>
      </c>
      <c r="I86">
        <v>280580</v>
      </c>
      <c r="J86" s="90" t="s">
        <v>138</v>
      </c>
      <c r="K86" s="29">
        <v>43861</v>
      </c>
      <c r="L86" t="s">
        <v>83</v>
      </c>
      <c r="M86" t="s">
        <v>2169</v>
      </c>
      <c r="O86">
        <v>0</v>
      </c>
      <c r="P86" t="s">
        <v>107</v>
      </c>
      <c r="Q86" t="s">
        <v>2138</v>
      </c>
    </row>
    <row r="87" spans="1:17" x14ac:dyDescent="0.35">
      <c r="A87" t="s">
        <v>40</v>
      </c>
      <c r="B87" t="s">
        <v>41</v>
      </c>
      <c r="E87" t="s">
        <v>46</v>
      </c>
      <c r="F87">
        <v>1000</v>
      </c>
      <c r="G87">
        <v>280.58</v>
      </c>
      <c r="H87">
        <v>0</v>
      </c>
      <c r="I87">
        <v>280580</v>
      </c>
      <c r="J87" s="90" t="s">
        <v>138</v>
      </c>
      <c r="K87" s="29">
        <v>43861</v>
      </c>
      <c r="L87" t="s">
        <v>83</v>
      </c>
      <c r="M87" t="s">
        <v>2169</v>
      </c>
      <c r="O87">
        <v>0</v>
      </c>
      <c r="P87" t="s">
        <v>107</v>
      </c>
      <c r="Q87" t="s">
        <v>2138</v>
      </c>
    </row>
    <row r="88" spans="1:17" x14ac:dyDescent="0.35">
      <c r="A88" t="s">
        <v>40</v>
      </c>
      <c r="B88" t="s">
        <v>41</v>
      </c>
      <c r="E88" t="s">
        <v>46</v>
      </c>
      <c r="F88">
        <v>1000</v>
      </c>
      <c r="G88">
        <v>280.58</v>
      </c>
      <c r="H88">
        <v>0</v>
      </c>
      <c r="I88">
        <v>280580</v>
      </c>
      <c r="J88" s="90" t="s">
        <v>138</v>
      </c>
      <c r="K88" s="29">
        <v>43861</v>
      </c>
      <c r="L88" t="s">
        <v>83</v>
      </c>
      <c r="M88" t="s">
        <v>2169</v>
      </c>
      <c r="O88">
        <v>0</v>
      </c>
      <c r="P88" t="s">
        <v>107</v>
      </c>
      <c r="Q88" t="s">
        <v>2138</v>
      </c>
    </row>
    <row r="89" spans="1:17" x14ac:dyDescent="0.35">
      <c r="A89" t="s">
        <v>40</v>
      </c>
      <c r="B89" t="s">
        <v>41</v>
      </c>
      <c r="E89" t="s">
        <v>46</v>
      </c>
      <c r="F89">
        <v>1000</v>
      </c>
      <c r="G89">
        <v>280.58</v>
      </c>
      <c r="H89">
        <v>0</v>
      </c>
      <c r="I89">
        <v>280580</v>
      </c>
      <c r="J89" s="90" t="s">
        <v>138</v>
      </c>
      <c r="K89" s="29">
        <v>43861</v>
      </c>
      <c r="L89" t="s">
        <v>83</v>
      </c>
      <c r="M89" t="s">
        <v>2169</v>
      </c>
      <c r="O89">
        <v>0</v>
      </c>
      <c r="P89" t="s">
        <v>107</v>
      </c>
      <c r="Q89" t="s">
        <v>2138</v>
      </c>
    </row>
    <row r="90" spans="1:17" x14ac:dyDescent="0.35">
      <c r="A90" t="s">
        <v>40</v>
      </c>
      <c r="B90" t="s">
        <v>41</v>
      </c>
      <c r="E90" t="s">
        <v>46</v>
      </c>
      <c r="F90">
        <v>1000</v>
      </c>
      <c r="G90">
        <v>280.58</v>
      </c>
      <c r="H90">
        <v>0</v>
      </c>
      <c r="I90">
        <v>280580</v>
      </c>
      <c r="J90" s="90" t="s">
        <v>138</v>
      </c>
      <c r="K90" s="29">
        <v>43861</v>
      </c>
      <c r="L90" t="s">
        <v>83</v>
      </c>
      <c r="M90" t="s">
        <v>2169</v>
      </c>
      <c r="O90">
        <v>0</v>
      </c>
      <c r="P90" t="s">
        <v>107</v>
      </c>
      <c r="Q90" t="s">
        <v>2138</v>
      </c>
    </row>
    <row r="91" spans="1:17" x14ac:dyDescent="0.35">
      <c r="A91" t="s">
        <v>40</v>
      </c>
      <c r="B91" t="s">
        <v>41</v>
      </c>
      <c r="E91" t="s">
        <v>46</v>
      </c>
      <c r="F91">
        <v>1000</v>
      </c>
      <c r="G91">
        <v>280.58</v>
      </c>
      <c r="H91">
        <v>0</v>
      </c>
      <c r="I91">
        <v>280580</v>
      </c>
      <c r="J91" s="90" t="s">
        <v>138</v>
      </c>
      <c r="K91" s="29">
        <v>43861</v>
      </c>
      <c r="L91" t="s">
        <v>83</v>
      </c>
      <c r="M91" t="s">
        <v>2169</v>
      </c>
      <c r="O91">
        <v>0</v>
      </c>
      <c r="P91" t="s">
        <v>107</v>
      </c>
      <c r="Q91" t="s">
        <v>2138</v>
      </c>
    </row>
    <row r="92" spans="1:17" x14ac:dyDescent="0.35">
      <c r="A92" t="s">
        <v>40</v>
      </c>
      <c r="B92" t="s">
        <v>41</v>
      </c>
      <c r="E92" t="s">
        <v>46</v>
      </c>
      <c r="F92">
        <v>1000</v>
      </c>
      <c r="G92">
        <v>280.58</v>
      </c>
      <c r="H92">
        <v>0</v>
      </c>
      <c r="I92">
        <v>280580</v>
      </c>
      <c r="J92" s="90" t="s">
        <v>138</v>
      </c>
      <c r="K92" s="29">
        <v>43861</v>
      </c>
      <c r="L92" t="s">
        <v>83</v>
      </c>
      <c r="M92" t="s">
        <v>2169</v>
      </c>
      <c r="O92">
        <v>0</v>
      </c>
      <c r="P92" t="s">
        <v>107</v>
      </c>
      <c r="Q92" t="s">
        <v>2138</v>
      </c>
    </row>
    <row r="93" spans="1:17" x14ac:dyDescent="0.35">
      <c r="A93" t="s">
        <v>40</v>
      </c>
      <c r="B93" t="s">
        <v>41</v>
      </c>
      <c r="E93" t="s">
        <v>46</v>
      </c>
      <c r="F93">
        <v>1000</v>
      </c>
      <c r="G93">
        <v>280.58</v>
      </c>
      <c r="H93">
        <v>0</v>
      </c>
      <c r="I93">
        <v>280580</v>
      </c>
      <c r="J93" s="90" t="s">
        <v>138</v>
      </c>
      <c r="K93" s="29">
        <v>43861</v>
      </c>
      <c r="L93" t="s">
        <v>83</v>
      </c>
      <c r="M93" t="s">
        <v>2169</v>
      </c>
      <c r="O93">
        <v>0</v>
      </c>
      <c r="P93" t="s">
        <v>107</v>
      </c>
      <c r="Q93" t="s">
        <v>2138</v>
      </c>
    </row>
    <row r="94" spans="1:17" x14ac:dyDescent="0.35">
      <c r="A94" t="s">
        <v>40</v>
      </c>
      <c r="B94" t="s">
        <v>41</v>
      </c>
      <c r="E94" t="s">
        <v>46</v>
      </c>
      <c r="F94">
        <v>1000</v>
      </c>
      <c r="G94">
        <v>280.58</v>
      </c>
      <c r="H94">
        <v>0</v>
      </c>
      <c r="I94">
        <v>280580</v>
      </c>
      <c r="J94" s="90" t="s">
        <v>138</v>
      </c>
      <c r="K94" s="29">
        <v>43861</v>
      </c>
      <c r="L94" t="s">
        <v>83</v>
      </c>
      <c r="M94" t="s">
        <v>2169</v>
      </c>
      <c r="O94">
        <v>0</v>
      </c>
      <c r="P94" t="s">
        <v>107</v>
      </c>
      <c r="Q94" t="s">
        <v>2138</v>
      </c>
    </row>
    <row r="95" spans="1:17" x14ac:dyDescent="0.35">
      <c r="A95" t="s">
        <v>40</v>
      </c>
      <c r="B95" t="s">
        <v>41</v>
      </c>
      <c r="E95" t="s">
        <v>46</v>
      </c>
      <c r="F95">
        <v>1000</v>
      </c>
      <c r="G95">
        <v>280.58</v>
      </c>
      <c r="H95">
        <v>0</v>
      </c>
      <c r="I95">
        <v>280580</v>
      </c>
      <c r="J95" s="90" t="s">
        <v>138</v>
      </c>
      <c r="K95" s="29">
        <v>43861</v>
      </c>
      <c r="L95" t="s">
        <v>83</v>
      </c>
      <c r="M95" t="s">
        <v>2169</v>
      </c>
      <c r="O95">
        <v>0</v>
      </c>
      <c r="P95" t="s">
        <v>107</v>
      </c>
      <c r="Q95" t="s">
        <v>2138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Avoirs"/>
  <dimension ref="A1:J1002"/>
  <sheetViews>
    <sheetView topLeftCell="B1" workbookViewId="0">
      <selection activeCell="B5" sqref="B5:J5"/>
    </sheetView>
  </sheetViews>
  <sheetFormatPr baseColWidth="10" defaultRowHeight="14.5" outlineLevelCol="1" x14ac:dyDescent="0.35"/>
  <cols>
    <col min="1" max="1" width="13.08984375" hidden="1" customWidth="1" outlineLevel="1"/>
    <col min="2" max="2" width="13.453125" customWidth="1" collapsed="1"/>
    <col min="3" max="3" width="13.453125" customWidth="1"/>
    <col min="4" max="4" width="31.81640625" customWidth="1"/>
    <col min="5" max="5" width="11.90625" bestFit="1" customWidth="1"/>
    <col min="6" max="10" width="15" customWidth="1"/>
  </cols>
  <sheetData>
    <row r="1" spans="1:10" ht="15" thickBot="1" x14ac:dyDescent="0.4">
      <c r="A1" s="23" t="s">
        <v>1125</v>
      </c>
      <c r="B1" s="2" t="s">
        <v>1124</v>
      </c>
      <c r="C1" s="2" t="s">
        <v>98</v>
      </c>
      <c r="D1" s="2" t="s">
        <v>2</v>
      </c>
      <c r="E1" s="2" t="s">
        <v>118</v>
      </c>
      <c r="F1" s="2" t="s">
        <v>95</v>
      </c>
      <c r="G1" s="2" t="s">
        <v>88</v>
      </c>
      <c r="H1" s="2" t="s">
        <v>96</v>
      </c>
      <c r="I1" s="2" t="s">
        <v>104</v>
      </c>
      <c r="J1" s="2" t="s">
        <v>105</v>
      </c>
    </row>
    <row r="2" spans="1:10" ht="8" customHeight="1" x14ac:dyDescent="0.35">
      <c r="A2" s="18" t="s">
        <v>97</v>
      </c>
      <c r="B2" s="25" t="s">
        <v>97</v>
      </c>
      <c r="C2" s="25" t="s">
        <v>97</v>
      </c>
      <c r="D2" s="17" t="s">
        <v>97</v>
      </c>
      <c r="E2" s="17" t="s">
        <v>97</v>
      </c>
      <c r="F2" s="20" t="s">
        <v>97</v>
      </c>
      <c r="G2" s="20" t="s">
        <v>97</v>
      </c>
      <c r="H2" s="20" t="s">
        <v>97</v>
      </c>
      <c r="I2" s="20" t="s">
        <v>97</v>
      </c>
      <c r="J2" s="20" t="s">
        <v>97</v>
      </c>
    </row>
    <row r="3" spans="1:10" x14ac:dyDescent="0.35">
      <c r="A3" s="4" t="s">
        <v>1132</v>
      </c>
      <c r="B3" s="21" t="s">
        <v>2143</v>
      </c>
      <c r="C3" s="21">
        <v>43844</v>
      </c>
      <c r="D3" s="4" t="s">
        <v>83</v>
      </c>
      <c r="E3" s="4" t="s">
        <v>2144</v>
      </c>
      <c r="F3" s="24">
        <v>40460</v>
      </c>
      <c r="G3" s="24" t="s">
        <v>2137</v>
      </c>
      <c r="H3" s="24">
        <v>40460</v>
      </c>
      <c r="I3" s="24" t="s">
        <v>107</v>
      </c>
      <c r="J3" s="24" t="s">
        <v>2138</v>
      </c>
    </row>
    <row r="4" spans="1:10" x14ac:dyDescent="0.35">
      <c r="A4" s="4" t="s">
        <v>1133</v>
      </c>
      <c r="B4" s="21" t="s">
        <v>2145</v>
      </c>
      <c r="C4" s="21">
        <v>43844</v>
      </c>
      <c r="D4" s="4" t="s">
        <v>16</v>
      </c>
      <c r="E4" s="4">
        <v>0</v>
      </c>
      <c r="F4" s="24">
        <v>908480</v>
      </c>
      <c r="G4" s="24" t="s">
        <v>2137</v>
      </c>
      <c r="H4" s="24">
        <v>908480</v>
      </c>
      <c r="I4" s="24" t="s">
        <v>107</v>
      </c>
      <c r="J4" s="24" t="s">
        <v>2138</v>
      </c>
    </row>
    <row r="5" spans="1:10" x14ac:dyDescent="0.35">
      <c r="A5" s="4" t="s">
        <v>1134</v>
      </c>
      <c r="B5" s="21" t="s">
        <v>1134</v>
      </c>
      <c r="C5" s="21">
        <v>43861</v>
      </c>
      <c r="D5" s="4" t="s">
        <v>16</v>
      </c>
      <c r="E5" s="4" t="s">
        <v>2170</v>
      </c>
      <c r="F5" s="24">
        <v>1120998.48</v>
      </c>
      <c r="G5" s="24">
        <v>224199.696</v>
      </c>
      <c r="H5" s="24">
        <v>1345198.176</v>
      </c>
      <c r="I5" s="24" t="s">
        <v>106</v>
      </c>
      <c r="J5" s="24" t="s">
        <v>2138</v>
      </c>
    </row>
    <row r="6" spans="1:10" x14ac:dyDescent="0.35">
      <c r="A6" s="4" t="s">
        <v>1135</v>
      </c>
      <c r="B6" s="21"/>
      <c r="C6" s="21"/>
      <c r="D6" s="4"/>
      <c r="E6" s="4"/>
      <c r="F6" s="24"/>
      <c r="G6" s="24"/>
      <c r="H6" s="24"/>
      <c r="I6" s="24"/>
      <c r="J6" s="24"/>
    </row>
    <row r="7" spans="1:10" x14ac:dyDescent="0.35">
      <c r="A7" s="4" t="s">
        <v>1136</v>
      </c>
      <c r="B7" s="21"/>
      <c r="C7" s="21"/>
      <c r="D7" s="4"/>
      <c r="E7" s="4"/>
      <c r="F7" s="24"/>
      <c r="G7" s="24"/>
      <c r="H7" s="24"/>
      <c r="I7" s="24"/>
      <c r="J7" s="24"/>
    </row>
    <row r="8" spans="1:10" x14ac:dyDescent="0.35">
      <c r="A8" s="4" t="s">
        <v>1137</v>
      </c>
      <c r="B8" s="21"/>
      <c r="C8" s="21"/>
      <c r="D8" s="4"/>
      <c r="E8" s="4"/>
      <c r="F8" s="24"/>
      <c r="G8" s="24"/>
      <c r="H8" s="24"/>
      <c r="I8" s="24"/>
      <c r="J8" s="24"/>
    </row>
    <row r="9" spans="1:10" x14ac:dyDescent="0.35">
      <c r="A9" s="4" t="s">
        <v>1138</v>
      </c>
      <c r="B9" s="21"/>
      <c r="C9" s="21"/>
      <c r="D9" s="4"/>
      <c r="E9" s="4"/>
      <c r="F9" s="24"/>
      <c r="G9" s="24"/>
      <c r="H9" s="24"/>
      <c r="I9" s="24"/>
      <c r="J9" s="24"/>
    </row>
    <row r="10" spans="1:10" x14ac:dyDescent="0.35">
      <c r="A10" s="4" t="s">
        <v>1139</v>
      </c>
      <c r="B10" s="21"/>
      <c r="C10" s="21"/>
      <c r="D10" s="4"/>
      <c r="E10" s="4"/>
      <c r="F10" s="24"/>
      <c r="G10" s="24"/>
      <c r="H10" s="24"/>
      <c r="I10" s="24"/>
      <c r="J10" s="24"/>
    </row>
    <row r="11" spans="1:10" x14ac:dyDescent="0.35">
      <c r="A11" s="4" t="s">
        <v>1140</v>
      </c>
      <c r="B11" s="21"/>
      <c r="C11" s="21"/>
      <c r="D11" s="4"/>
      <c r="E11" s="4"/>
      <c r="F11" s="24"/>
      <c r="G11" s="24"/>
      <c r="H11" s="24"/>
      <c r="I11" s="24"/>
      <c r="J11" s="24"/>
    </row>
    <row r="12" spans="1:10" x14ac:dyDescent="0.35">
      <c r="A12" s="4" t="s">
        <v>1141</v>
      </c>
      <c r="B12" s="21"/>
      <c r="C12" s="21"/>
      <c r="D12" s="4"/>
      <c r="E12" s="4"/>
      <c r="F12" s="24"/>
      <c r="G12" s="24"/>
      <c r="H12" s="24"/>
      <c r="I12" s="24"/>
      <c r="J12" s="24"/>
    </row>
    <row r="13" spans="1:10" x14ac:dyDescent="0.35">
      <c r="A13" s="4" t="s">
        <v>1142</v>
      </c>
      <c r="B13" s="21"/>
      <c r="C13" s="21"/>
      <c r="D13" s="4"/>
      <c r="E13" s="4"/>
      <c r="F13" s="24"/>
      <c r="G13" s="24"/>
      <c r="H13" s="24"/>
      <c r="I13" s="24"/>
      <c r="J13" s="24"/>
    </row>
    <row r="14" spans="1:10" x14ac:dyDescent="0.35">
      <c r="A14" s="4" t="s">
        <v>1143</v>
      </c>
      <c r="B14" s="21"/>
      <c r="C14" s="21"/>
      <c r="D14" s="4"/>
      <c r="E14" s="4"/>
      <c r="F14" s="24"/>
      <c r="G14" s="24"/>
      <c r="H14" s="24"/>
      <c r="I14" s="24"/>
      <c r="J14" s="24"/>
    </row>
    <row r="15" spans="1:10" x14ac:dyDescent="0.35">
      <c r="A15" s="4" t="s">
        <v>1144</v>
      </c>
      <c r="B15" s="21"/>
      <c r="C15" s="21"/>
      <c r="D15" s="4"/>
      <c r="E15" s="4"/>
      <c r="F15" s="24"/>
      <c r="G15" s="24"/>
      <c r="H15" s="24"/>
      <c r="I15" s="24"/>
      <c r="J15" s="24"/>
    </row>
    <row r="16" spans="1:10" x14ac:dyDescent="0.35">
      <c r="A16" s="4" t="s">
        <v>1145</v>
      </c>
      <c r="B16" s="21"/>
      <c r="C16" s="21"/>
      <c r="D16" s="4"/>
      <c r="E16" s="4"/>
      <c r="F16" s="24"/>
      <c r="G16" s="24"/>
      <c r="H16" s="24"/>
      <c r="I16" s="24"/>
      <c r="J16" s="24"/>
    </row>
    <row r="17" spans="1:10" x14ac:dyDescent="0.35">
      <c r="A17" s="4" t="s">
        <v>1146</v>
      </c>
      <c r="B17" s="21"/>
      <c r="C17" s="21"/>
      <c r="D17" s="4"/>
      <c r="E17" s="4"/>
      <c r="F17" s="24"/>
      <c r="G17" s="24"/>
      <c r="H17" s="24"/>
      <c r="I17" s="24"/>
      <c r="J17" s="24"/>
    </row>
    <row r="18" spans="1:10" x14ac:dyDescent="0.35">
      <c r="A18" s="4" t="s">
        <v>1147</v>
      </c>
      <c r="B18" s="21"/>
      <c r="C18" s="21"/>
      <c r="D18" s="4"/>
      <c r="E18" s="4"/>
      <c r="F18" s="24"/>
      <c r="G18" s="24"/>
      <c r="H18" s="24"/>
      <c r="I18" s="24"/>
      <c r="J18" s="24"/>
    </row>
    <row r="19" spans="1:10" x14ac:dyDescent="0.35">
      <c r="A19" s="4" t="s">
        <v>1148</v>
      </c>
      <c r="B19" s="21"/>
      <c r="C19" s="21"/>
      <c r="D19" s="4"/>
      <c r="E19" s="4"/>
      <c r="F19" s="24"/>
      <c r="G19" s="24"/>
      <c r="H19" s="24"/>
      <c r="I19" s="24"/>
      <c r="J19" s="24"/>
    </row>
    <row r="20" spans="1:10" x14ac:dyDescent="0.35">
      <c r="A20" s="4" t="s">
        <v>1149</v>
      </c>
      <c r="B20" s="21"/>
      <c r="C20" s="21"/>
      <c r="D20" s="4"/>
      <c r="E20" s="4"/>
      <c r="F20" s="24"/>
      <c r="G20" s="24"/>
      <c r="H20" s="24"/>
      <c r="I20" s="24"/>
      <c r="J20" s="24"/>
    </row>
    <row r="21" spans="1:10" x14ac:dyDescent="0.35">
      <c r="A21" s="4" t="s">
        <v>1150</v>
      </c>
      <c r="B21" s="21"/>
      <c r="C21" s="21"/>
      <c r="D21" s="4"/>
      <c r="E21" s="4"/>
      <c r="F21" s="24"/>
      <c r="G21" s="24"/>
      <c r="H21" s="24"/>
      <c r="I21" s="24"/>
      <c r="J21" s="24"/>
    </row>
    <row r="22" spans="1:10" x14ac:dyDescent="0.35">
      <c r="A22" s="4" t="s">
        <v>1151</v>
      </c>
      <c r="B22" s="21"/>
      <c r="C22" s="21"/>
      <c r="D22" s="4"/>
      <c r="E22" s="4"/>
      <c r="F22" s="24"/>
      <c r="G22" s="24"/>
      <c r="H22" s="24"/>
      <c r="I22" s="24"/>
      <c r="J22" s="24"/>
    </row>
    <row r="23" spans="1:10" x14ac:dyDescent="0.35">
      <c r="A23" s="4" t="s">
        <v>1152</v>
      </c>
      <c r="B23" s="21"/>
      <c r="C23" s="21"/>
      <c r="D23" s="4"/>
      <c r="E23" s="4"/>
      <c r="F23" s="24"/>
      <c r="G23" s="24"/>
      <c r="H23" s="24"/>
      <c r="I23" s="24"/>
      <c r="J23" s="24"/>
    </row>
    <row r="24" spans="1:10" x14ac:dyDescent="0.35">
      <c r="A24" s="4" t="s">
        <v>1153</v>
      </c>
      <c r="B24" s="21"/>
      <c r="C24" s="21"/>
      <c r="D24" s="4"/>
      <c r="E24" s="4"/>
      <c r="F24" s="24"/>
      <c r="G24" s="24"/>
      <c r="H24" s="24"/>
      <c r="I24" s="24"/>
      <c r="J24" s="24"/>
    </row>
    <row r="25" spans="1:10" x14ac:dyDescent="0.35">
      <c r="A25" s="4" t="s">
        <v>1154</v>
      </c>
      <c r="B25" s="21"/>
      <c r="C25" s="21"/>
      <c r="D25" s="4"/>
      <c r="E25" s="4"/>
      <c r="F25" s="24"/>
      <c r="G25" s="24"/>
      <c r="H25" s="24"/>
      <c r="I25" s="24"/>
      <c r="J25" s="24"/>
    </row>
    <row r="26" spans="1:10" x14ac:dyDescent="0.35">
      <c r="A26" s="4" t="s">
        <v>1155</v>
      </c>
      <c r="B26" s="21"/>
      <c r="C26" s="21"/>
      <c r="D26" s="4"/>
      <c r="E26" s="4"/>
      <c r="F26" s="24"/>
      <c r="G26" s="24"/>
      <c r="H26" s="24"/>
      <c r="I26" s="24"/>
      <c r="J26" s="24"/>
    </row>
    <row r="27" spans="1:10" x14ac:dyDescent="0.35">
      <c r="A27" s="4" t="s">
        <v>1156</v>
      </c>
      <c r="B27" s="21"/>
      <c r="C27" s="21"/>
      <c r="D27" s="4"/>
      <c r="E27" s="4"/>
      <c r="F27" s="24"/>
      <c r="G27" s="24"/>
      <c r="H27" s="24"/>
      <c r="I27" s="24"/>
      <c r="J27" s="24"/>
    </row>
    <row r="28" spans="1:10" x14ac:dyDescent="0.35">
      <c r="A28" s="4" t="s">
        <v>1157</v>
      </c>
      <c r="B28" s="21"/>
      <c r="C28" s="21"/>
      <c r="D28" s="4"/>
      <c r="E28" s="4"/>
      <c r="F28" s="24"/>
      <c r="G28" s="24"/>
      <c r="H28" s="24"/>
      <c r="I28" s="24"/>
      <c r="J28" s="24"/>
    </row>
    <row r="29" spans="1:10" x14ac:dyDescent="0.35">
      <c r="A29" s="4" t="s">
        <v>1158</v>
      </c>
      <c r="B29" s="21"/>
      <c r="C29" s="21"/>
      <c r="D29" s="4"/>
      <c r="E29" s="4"/>
      <c r="F29" s="24"/>
      <c r="G29" s="24"/>
      <c r="H29" s="24"/>
      <c r="I29" s="24"/>
      <c r="J29" s="24"/>
    </row>
    <row r="30" spans="1:10" x14ac:dyDescent="0.35">
      <c r="A30" s="4" t="s">
        <v>1159</v>
      </c>
      <c r="B30" s="21"/>
      <c r="C30" s="21"/>
      <c r="D30" s="4"/>
      <c r="E30" s="4"/>
      <c r="F30" s="24"/>
      <c r="G30" s="24"/>
      <c r="H30" s="24"/>
      <c r="I30" s="24"/>
      <c r="J30" s="24"/>
    </row>
    <row r="31" spans="1:10" x14ac:dyDescent="0.35">
      <c r="A31" s="4" t="s">
        <v>1160</v>
      </c>
      <c r="B31" s="21"/>
      <c r="C31" s="21"/>
      <c r="D31" s="4"/>
      <c r="E31" s="4"/>
      <c r="F31" s="24"/>
      <c r="G31" s="24"/>
      <c r="H31" s="24"/>
      <c r="I31" s="24"/>
      <c r="J31" s="24"/>
    </row>
    <row r="32" spans="1:10" x14ac:dyDescent="0.35">
      <c r="A32" s="4" t="s">
        <v>1161</v>
      </c>
      <c r="B32" s="21"/>
      <c r="C32" s="21"/>
      <c r="D32" s="4"/>
      <c r="E32" s="4"/>
      <c r="F32" s="24"/>
      <c r="G32" s="24"/>
      <c r="H32" s="24"/>
      <c r="I32" s="24"/>
      <c r="J32" s="24"/>
    </row>
    <row r="33" spans="1:10" x14ac:dyDescent="0.35">
      <c r="A33" s="4" t="s">
        <v>1162</v>
      </c>
      <c r="B33" s="21"/>
      <c r="C33" s="21"/>
      <c r="D33" s="4"/>
      <c r="E33" s="4"/>
      <c r="F33" s="24"/>
      <c r="G33" s="24"/>
      <c r="H33" s="24"/>
      <c r="I33" s="24"/>
      <c r="J33" s="24"/>
    </row>
    <row r="34" spans="1:10" x14ac:dyDescent="0.35">
      <c r="A34" s="4" t="s">
        <v>1163</v>
      </c>
      <c r="B34" s="21"/>
      <c r="C34" s="21"/>
      <c r="D34" s="4"/>
      <c r="E34" s="4"/>
      <c r="F34" s="24"/>
      <c r="G34" s="24"/>
      <c r="H34" s="24"/>
      <c r="I34" s="24"/>
      <c r="J34" s="24"/>
    </row>
    <row r="35" spans="1:10" x14ac:dyDescent="0.35">
      <c r="A35" s="4" t="s">
        <v>1164</v>
      </c>
      <c r="B35" s="21"/>
      <c r="C35" s="21"/>
      <c r="D35" s="4"/>
      <c r="E35" s="4"/>
      <c r="F35" s="24"/>
      <c r="G35" s="24"/>
      <c r="H35" s="24"/>
      <c r="I35" s="24"/>
      <c r="J35" s="24"/>
    </row>
    <row r="36" spans="1:10" x14ac:dyDescent="0.35">
      <c r="A36" s="4" t="s">
        <v>1165</v>
      </c>
      <c r="B36" s="21"/>
      <c r="C36" s="21"/>
      <c r="D36" s="4"/>
      <c r="E36" s="4"/>
      <c r="F36" s="24"/>
      <c r="G36" s="24"/>
      <c r="H36" s="24"/>
      <c r="I36" s="24"/>
      <c r="J36" s="24"/>
    </row>
    <row r="37" spans="1:10" x14ac:dyDescent="0.35">
      <c r="A37" s="4" t="s">
        <v>1166</v>
      </c>
      <c r="B37" s="21"/>
      <c r="C37" s="21"/>
      <c r="D37" s="4"/>
      <c r="E37" s="4"/>
      <c r="F37" s="24"/>
      <c r="G37" s="24"/>
      <c r="H37" s="24"/>
      <c r="I37" s="24"/>
      <c r="J37" s="24"/>
    </row>
    <row r="38" spans="1:10" x14ac:dyDescent="0.35">
      <c r="A38" s="4" t="s">
        <v>1167</v>
      </c>
      <c r="B38" s="21"/>
      <c r="C38" s="21"/>
      <c r="D38" s="4"/>
      <c r="E38" s="4"/>
      <c r="F38" s="24"/>
      <c r="G38" s="24"/>
      <c r="H38" s="24"/>
      <c r="I38" s="24"/>
      <c r="J38" s="24"/>
    </row>
    <row r="39" spans="1:10" x14ac:dyDescent="0.35">
      <c r="A39" s="4" t="s">
        <v>1168</v>
      </c>
      <c r="B39" s="21"/>
      <c r="C39" s="21"/>
      <c r="D39" s="4"/>
      <c r="E39" s="4"/>
      <c r="F39" s="24"/>
      <c r="G39" s="24"/>
      <c r="H39" s="24"/>
      <c r="I39" s="24"/>
      <c r="J39" s="24"/>
    </row>
    <row r="40" spans="1:10" x14ac:dyDescent="0.35">
      <c r="A40" s="4" t="s">
        <v>1169</v>
      </c>
      <c r="B40" s="21"/>
      <c r="C40" s="21"/>
      <c r="D40" s="4"/>
      <c r="E40" s="4"/>
      <c r="F40" s="24"/>
      <c r="G40" s="24"/>
      <c r="H40" s="24"/>
      <c r="I40" s="24"/>
      <c r="J40" s="24"/>
    </row>
    <row r="41" spans="1:10" x14ac:dyDescent="0.35">
      <c r="A41" s="4" t="s">
        <v>1170</v>
      </c>
      <c r="B41" s="21"/>
      <c r="C41" s="21"/>
      <c r="D41" s="4"/>
      <c r="E41" s="4"/>
      <c r="F41" s="24"/>
      <c r="G41" s="24"/>
      <c r="H41" s="24"/>
      <c r="I41" s="24"/>
      <c r="J41" s="24"/>
    </row>
    <row r="42" spans="1:10" x14ac:dyDescent="0.35">
      <c r="A42" s="4" t="s">
        <v>1171</v>
      </c>
      <c r="B42" s="21"/>
      <c r="C42" s="21"/>
      <c r="D42" s="4"/>
      <c r="E42" s="4"/>
      <c r="F42" s="24"/>
      <c r="G42" s="24"/>
      <c r="H42" s="24"/>
      <c r="I42" s="24"/>
      <c r="J42" s="24"/>
    </row>
    <row r="43" spans="1:10" x14ac:dyDescent="0.35">
      <c r="A43" s="4" t="s">
        <v>1172</v>
      </c>
      <c r="B43" s="21"/>
      <c r="C43" s="21"/>
      <c r="D43" s="4"/>
      <c r="E43" s="4"/>
      <c r="F43" s="24"/>
      <c r="G43" s="24"/>
      <c r="H43" s="24"/>
      <c r="I43" s="24"/>
      <c r="J43" s="24"/>
    </row>
    <row r="44" spans="1:10" x14ac:dyDescent="0.35">
      <c r="A44" s="4" t="s">
        <v>1173</v>
      </c>
      <c r="B44" s="21"/>
      <c r="C44" s="21"/>
      <c r="D44" s="4"/>
      <c r="E44" s="4"/>
      <c r="F44" s="24"/>
      <c r="G44" s="24"/>
      <c r="H44" s="24"/>
      <c r="I44" s="24"/>
      <c r="J44" s="24"/>
    </row>
    <row r="45" spans="1:10" x14ac:dyDescent="0.35">
      <c r="A45" s="4" t="s">
        <v>1174</v>
      </c>
      <c r="B45" s="21"/>
      <c r="C45" s="21"/>
      <c r="D45" s="4"/>
      <c r="E45" s="4"/>
      <c r="F45" s="24"/>
      <c r="G45" s="24"/>
      <c r="H45" s="24"/>
      <c r="I45" s="24"/>
      <c r="J45" s="24"/>
    </row>
    <row r="46" spans="1:10" x14ac:dyDescent="0.35">
      <c r="A46" s="4" t="s">
        <v>1175</v>
      </c>
      <c r="B46" s="21"/>
      <c r="C46" s="21"/>
      <c r="D46" s="4"/>
      <c r="E46" s="4"/>
      <c r="F46" s="24"/>
      <c r="G46" s="24"/>
      <c r="H46" s="24"/>
      <c r="I46" s="24"/>
      <c r="J46" s="24"/>
    </row>
    <row r="47" spans="1:10" x14ac:dyDescent="0.35">
      <c r="A47" s="4" t="s">
        <v>1176</v>
      </c>
      <c r="B47" s="21"/>
      <c r="C47" s="21"/>
      <c r="D47" s="4"/>
      <c r="E47" s="4"/>
      <c r="F47" s="24"/>
      <c r="G47" s="24"/>
      <c r="H47" s="24"/>
      <c r="I47" s="24"/>
      <c r="J47" s="24"/>
    </row>
    <row r="48" spans="1:10" x14ac:dyDescent="0.35">
      <c r="A48" s="4" t="s">
        <v>1177</v>
      </c>
      <c r="B48" s="21"/>
      <c r="C48" s="21"/>
      <c r="D48" s="4"/>
      <c r="E48" s="4"/>
      <c r="F48" s="24"/>
      <c r="G48" s="24"/>
      <c r="H48" s="24"/>
      <c r="I48" s="24"/>
      <c r="J48" s="24"/>
    </row>
    <row r="49" spans="1:10" x14ac:dyDescent="0.35">
      <c r="A49" s="4" t="s">
        <v>1178</v>
      </c>
      <c r="B49" s="21"/>
      <c r="C49" s="21"/>
      <c r="D49" s="4"/>
      <c r="E49" s="4"/>
      <c r="F49" s="24"/>
      <c r="G49" s="24"/>
      <c r="H49" s="24"/>
      <c r="I49" s="24"/>
      <c r="J49" s="24"/>
    </row>
    <row r="50" spans="1:10" x14ac:dyDescent="0.35">
      <c r="A50" s="4" t="s">
        <v>1179</v>
      </c>
      <c r="B50" s="21"/>
      <c r="C50" s="21"/>
      <c r="D50" s="4"/>
      <c r="E50" s="4"/>
      <c r="F50" s="24"/>
      <c r="G50" s="24"/>
      <c r="H50" s="24"/>
      <c r="I50" s="24"/>
      <c r="J50" s="24"/>
    </row>
    <row r="51" spans="1:10" x14ac:dyDescent="0.35">
      <c r="A51" s="4" t="s">
        <v>1180</v>
      </c>
      <c r="B51" s="21"/>
      <c r="C51" s="21"/>
      <c r="D51" s="4"/>
      <c r="E51" s="4"/>
      <c r="F51" s="24"/>
      <c r="G51" s="24"/>
      <c r="H51" s="24"/>
      <c r="I51" s="24"/>
      <c r="J51" s="24"/>
    </row>
    <row r="52" spans="1:10" x14ac:dyDescent="0.35">
      <c r="A52" s="4" t="s">
        <v>1181</v>
      </c>
      <c r="B52" s="21"/>
      <c r="C52" s="21"/>
      <c r="D52" s="4"/>
      <c r="E52" s="4"/>
      <c r="F52" s="24"/>
      <c r="G52" s="24"/>
      <c r="H52" s="24"/>
      <c r="I52" s="24"/>
      <c r="J52" s="24"/>
    </row>
    <row r="53" spans="1:10" x14ac:dyDescent="0.35">
      <c r="A53" s="4" t="s">
        <v>1182</v>
      </c>
      <c r="B53" s="21"/>
      <c r="C53" s="21"/>
      <c r="D53" s="4"/>
      <c r="E53" s="4"/>
      <c r="F53" s="24"/>
      <c r="G53" s="24"/>
      <c r="H53" s="24"/>
      <c r="I53" s="24"/>
      <c r="J53" s="24"/>
    </row>
    <row r="54" spans="1:10" x14ac:dyDescent="0.35">
      <c r="A54" s="4" t="s">
        <v>1183</v>
      </c>
      <c r="B54" s="21"/>
      <c r="C54" s="21"/>
      <c r="D54" s="4"/>
      <c r="E54" s="4"/>
      <c r="F54" s="24"/>
      <c r="G54" s="24"/>
      <c r="H54" s="24"/>
      <c r="I54" s="24"/>
      <c r="J54" s="24"/>
    </row>
    <row r="55" spans="1:10" x14ac:dyDescent="0.35">
      <c r="A55" s="4" t="s">
        <v>1184</v>
      </c>
      <c r="B55" s="21"/>
      <c r="C55" s="21"/>
      <c r="D55" s="4"/>
      <c r="E55" s="4"/>
      <c r="F55" s="24"/>
      <c r="G55" s="24"/>
      <c r="H55" s="24"/>
      <c r="I55" s="24"/>
      <c r="J55" s="24"/>
    </row>
    <row r="56" spans="1:10" x14ac:dyDescent="0.35">
      <c r="A56" s="4" t="s">
        <v>1185</v>
      </c>
      <c r="B56" s="21"/>
      <c r="C56" s="21"/>
      <c r="D56" s="4"/>
      <c r="E56" s="4"/>
      <c r="F56" s="24"/>
      <c r="G56" s="24"/>
      <c r="H56" s="24"/>
      <c r="I56" s="24"/>
      <c r="J56" s="24"/>
    </row>
    <row r="57" spans="1:10" x14ac:dyDescent="0.35">
      <c r="A57" s="4" t="s">
        <v>1186</v>
      </c>
      <c r="B57" s="21"/>
      <c r="C57" s="21"/>
      <c r="D57" s="4"/>
      <c r="E57" s="4"/>
      <c r="F57" s="24"/>
      <c r="G57" s="24"/>
      <c r="H57" s="24"/>
      <c r="I57" s="24"/>
      <c r="J57" s="24"/>
    </row>
    <row r="58" spans="1:10" x14ac:dyDescent="0.35">
      <c r="A58" s="4" t="s">
        <v>1187</v>
      </c>
      <c r="B58" s="21"/>
      <c r="C58" s="21"/>
      <c r="D58" s="4"/>
      <c r="E58" s="4"/>
      <c r="F58" s="24"/>
      <c r="G58" s="24"/>
      <c r="H58" s="24"/>
      <c r="I58" s="24"/>
      <c r="J58" s="24"/>
    </row>
    <row r="59" spans="1:10" x14ac:dyDescent="0.35">
      <c r="A59" s="4" t="s">
        <v>1188</v>
      </c>
      <c r="B59" s="21"/>
      <c r="C59" s="21"/>
      <c r="D59" s="4"/>
      <c r="E59" s="4"/>
      <c r="F59" s="24"/>
      <c r="G59" s="24"/>
      <c r="H59" s="24"/>
      <c r="I59" s="24"/>
      <c r="J59" s="24"/>
    </row>
    <row r="60" spans="1:10" x14ac:dyDescent="0.35">
      <c r="A60" s="4" t="s">
        <v>1189</v>
      </c>
      <c r="B60" s="21"/>
      <c r="C60" s="21"/>
      <c r="D60" s="4"/>
      <c r="E60" s="4"/>
      <c r="F60" s="24"/>
      <c r="G60" s="24"/>
      <c r="H60" s="24"/>
      <c r="I60" s="24"/>
      <c r="J60" s="24"/>
    </row>
    <row r="61" spans="1:10" x14ac:dyDescent="0.35">
      <c r="A61" s="4" t="s">
        <v>1190</v>
      </c>
      <c r="B61" s="21"/>
      <c r="C61" s="21"/>
      <c r="D61" s="4"/>
      <c r="E61" s="4"/>
      <c r="F61" s="24"/>
      <c r="G61" s="24"/>
      <c r="H61" s="24"/>
      <c r="I61" s="24"/>
      <c r="J61" s="24"/>
    </row>
    <row r="62" spans="1:10" x14ac:dyDescent="0.35">
      <c r="A62" s="4" t="s">
        <v>1191</v>
      </c>
      <c r="B62" s="21"/>
      <c r="C62" s="21"/>
      <c r="D62" s="4"/>
      <c r="E62" s="4"/>
      <c r="F62" s="24"/>
      <c r="G62" s="24"/>
      <c r="H62" s="24"/>
      <c r="I62" s="24"/>
      <c r="J62" s="24"/>
    </row>
    <row r="63" spans="1:10" x14ac:dyDescent="0.35">
      <c r="A63" s="4" t="s">
        <v>1192</v>
      </c>
      <c r="B63" s="21"/>
      <c r="C63" s="21"/>
      <c r="D63" s="4"/>
      <c r="E63" s="4"/>
      <c r="F63" s="24"/>
      <c r="G63" s="24"/>
      <c r="H63" s="24"/>
      <c r="I63" s="24"/>
      <c r="J63" s="24"/>
    </row>
    <row r="64" spans="1:10" x14ac:dyDescent="0.35">
      <c r="A64" s="4" t="s">
        <v>1193</v>
      </c>
      <c r="B64" s="21"/>
      <c r="C64" s="21"/>
      <c r="D64" s="4"/>
      <c r="E64" s="4"/>
      <c r="F64" s="24"/>
      <c r="G64" s="24"/>
      <c r="H64" s="24"/>
      <c r="I64" s="24"/>
      <c r="J64" s="24"/>
    </row>
    <row r="65" spans="1:10" x14ac:dyDescent="0.35">
      <c r="A65" s="4" t="s">
        <v>1194</v>
      </c>
      <c r="B65" s="21"/>
      <c r="C65" s="21"/>
      <c r="D65" s="4"/>
      <c r="E65" s="4"/>
      <c r="F65" s="24"/>
      <c r="G65" s="24"/>
      <c r="H65" s="24"/>
      <c r="I65" s="24"/>
      <c r="J65" s="24"/>
    </row>
    <row r="66" spans="1:10" x14ac:dyDescent="0.35">
      <c r="A66" s="4" t="s">
        <v>1195</v>
      </c>
      <c r="B66" s="21"/>
      <c r="C66" s="21"/>
      <c r="D66" s="4"/>
      <c r="E66" s="4"/>
      <c r="F66" s="24"/>
      <c r="G66" s="24"/>
      <c r="H66" s="24"/>
      <c r="I66" s="24"/>
      <c r="J66" s="24"/>
    </row>
    <row r="67" spans="1:10" x14ac:dyDescent="0.35">
      <c r="A67" s="4" t="s">
        <v>1196</v>
      </c>
      <c r="B67" s="21"/>
      <c r="C67" s="21"/>
      <c r="D67" s="4"/>
      <c r="E67" s="4"/>
      <c r="F67" s="24"/>
      <c r="G67" s="24"/>
      <c r="H67" s="24"/>
      <c r="I67" s="24"/>
      <c r="J67" s="24"/>
    </row>
    <row r="68" spans="1:10" x14ac:dyDescent="0.35">
      <c r="A68" s="4" t="s">
        <v>1197</v>
      </c>
      <c r="B68" s="21"/>
      <c r="C68" s="21"/>
      <c r="D68" s="4"/>
      <c r="E68" s="4"/>
      <c r="F68" s="24"/>
      <c r="G68" s="24"/>
      <c r="H68" s="24"/>
      <c r="I68" s="24"/>
      <c r="J68" s="24"/>
    </row>
    <row r="69" spans="1:10" x14ac:dyDescent="0.35">
      <c r="A69" s="4" t="s">
        <v>1198</v>
      </c>
      <c r="B69" s="21"/>
      <c r="C69" s="21"/>
      <c r="D69" s="4"/>
      <c r="E69" s="4"/>
      <c r="F69" s="24"/>
      <c r="G69" s="24"/>
      <c r="H69" s="24"/>
      <c r="I69" s="24"/>
      <c r="J69" s="24"/>
    </row>
    <row r="70" spans="1:10" x14ac:dyDescent="0.35">
      <c r="A70" s="4" t="s">
        <v>1199</v>
      </c>
      <c r="B70" s="21"/>
      <c r="C70" s="21"/>
      <c r="D70" s="4"/>
      <c r="E70" s="4"/>
      <c r="F70" s="24"/>
      <c r="G70" s="24"/>
      <c r="H70" s="24"/>
      <c r="I70" s="24"/>
      <c r="J70" s="24"/>
    </row>
    <row r="71" spans="1:10" x14ac:dyDescent="0.35">
      <c r="A71" s="4" t="s">
        <v>1200</v>
      </c>
      <c r="B71" s="21"/>
      <c r="C71" s="21"/>
      <c r="D71" s="4"/>
      <c r="E71" s="4"/>
      <c r="F71" s="24"/>
      <c r="G71" s="24"/>
      <c r="H71" s="24"/>
      <c r="I71" s="24"/>
      <c r="J71" s="24"/>
    </row>
    <row r="72" spans="1:10" x14ac:dyDescent="0.35">
      <c r="A72" s="4" t="s">
        <v>1201</v>
      </c>
      <c r="B72" s="21"/>
      <c r="C72" s="21"/>
      <c r="D72" s="4"/>
      <c r="E72" s="4"/>
      <c r="F72" s="24"/>
      <c r="G72" s="24"/>
      <c r="H72" s="24"/>
      <c r="I72" s="24"/>
      <c r="J72" s="24"/>
    </row>
    <row r="73" spans="1:10" x14ac:dyDescent="0.35">
      <c r="A73" s="4" t="s">
        <v>1202</v>
      </c>
      <c r="B73" s="21"/>
      <c r="C73" s="21"/>
      <c r="D73" s="4"/>
      <c r="E73" s="4"/>
      <c r="F73" s="24"/>
      <c r="G73" s="24"/>
      <c r="H73" s="24"/>
      <c r="I73" s="24"/>
      <c r="J73" s="24"/>
    </row>
    <row r="74" spans="1:10" x14ac:dyDescent="0.35">
      <c r="A74" s="4" t="s">
        <v>1203</v>
      </c>
      <c r="B74" s="21"/>
      <c r="C74" s="21"/>
      <c r="D74" s="4"/>
      <c r="E74" s="4"/>
      <c r="F74" s="24"/>
      <c r="G74" s="24"/>
      <c r="H74" s="24"/>
      <c r="I74" s="24"/>
      <c r="J74" s="24"/>
    </row>
    <row r="75" spans="1:10" x14ac:dyDescent="0.35">
      <c r="A75" s="4" t="s">
        <v>1204</v>
      </c>
      <c r="B75" s="21"/>
      <c r="C75" s="21"/>
      <c r="D75" s="4"/>
      <c r="E75" s="4"/>
      <c r="F75" s="24"/>
      <c r="G75" s="24"/>
      <c r="H75" s="24"/>
      <c r="I75" s="24"/>
      <c r="J75" s="24"/>
    </row>
    <row r="76" spans="1:10" x14ac:dyDescent="0.35">
      <c r="A76" s="4" t="s">
        <v>1205</v>
      </c>
      <c r="B76" s="21"/>
      <c r="C76" s="21"/>
      <c r="D76" s="4"/>
      <c r="E76" s="4"/>
      <c r="F76" s="24"/>
      <c r="G76" s="24"/>
      <c r="H76" s="24"/>
      <c r="I76" s="24"/>
      <c r="J76" s="24"/>
    </row>
    <row r="77" spans="1:10" x14ac:dyDescent="0.35">
      <c r="A77" s="4" t="s">
        <v>1206</v>
      </c>
      <c r="B77" s="21"/>
      <c r="C77" s="21"/>
      <c r="D77" s="4"/>
      <c r="E77" s="4"/>
      <c r="F77" s="24"/>
      <c r="G77" s="24"/>
      <c r="H77" s="24"/>
      <c r="I77" s="24"/>
      <c r="J77" s="24"/>
    </row>
    <row r="78" spans="1:10" x14ac:dyDescent="0.35">
      <c r="A78" s="4" t="s">
        <v>1207</v>
      </c>
      <c r="B78" s="21"/>
      <c r="C78" s="21"/>
      <c r="D78" s="4"/>
      <c r="E78" s="4"/>
      <c r="F78" s="24"/>
      <c r="G78" s="24"/>
      <c r="H78" s="24"/>
      <c r="I78" s="24"/>
      <c r="J78" s="24"/>
    </row>
    <row r="79" spans="1:10" x14ac:dyDescent="0.35">
      <c r="A79" s="4" t="s">
        <v>1208</v>
      </c>
      <c r="B79" s="21"/>
      <c r="C79" s="21"/>
      <c r="D79" s="4"/>
      <c r="E79" s="4"/>
      <c r="F79" s="24"/>
      <c r="G79" s="24"/>
      <c r="H79" s="24"/>
      <c r="I79" s="24"/>
      <c r="J79" s="24"/>
    </row>
    <row r="80" spans="1:10" x14ac:dyDescent="0.35">
      <c r="A80" s="4" t="s">
        <v>1209</v>
      </c>
      <c r="B80" s="21"/>
      <c r="C80" s="21"/>
      <c r="D80" s="4"/>
      <c r="E80" s="4"/>
      <c r="F80" s="24"/>
      <c r="G80" s="24"/>
      <c r="H80" s="24"/>
      <c r="I80" s="24"/>
      <c r="J80" s="24"/>
    </row>
    <row r="81" spans="1:10" x14ac:dyDescent="0.35">
      <c r="A81" s="4" t="s">
        <v>1210</v>
      </c>
      <c r="B81" s="21"/>
      <c r="C81" s="21"/>
      <c r="D81" s="4"/>
      <c r="E81" s="4"/>
      <c r="F81" s="24"/>
      <c r="G81" s="24"/>
      <c r="H81" s="24"/>
      <c r="I81" s="24"/>
      <c r="J81" s="24"/>
    </row>
    <row r="82" spans="1:10" x14ac:dyDescent="0.35">
      <c r="A82" s="4" t="s">
        <v>1211</v>
      </c>
      <c r="B82" s="21"/>
      <c r="C82" s="21"/>
      <c r="D82" s="4"/>
      <c r="E82" s="4"/>
      <c r="F82" s="24"/>
      <c r="G82" s="24"/>
      <c r="H82" s="24"/>
      <c r="I82" s="24"/>
      <c r="J82" s="24"/>
    </row>
    <row r="83" spans="1:10" x14ac:dyDescent="0.35">
      <c r="A83" s="4" t="s">
        <v>1212</v>
      </c>
      <c r="B83" s="21"/>
      <c r="C83" s="21"/>
      <c r="D83" s="4"/>
      <c r="E83" s="4"/>
      <c r="F83" s="24"/>
      <c r="G83" s="24"/>
      <c r="H83" s="24"/>
      <c r="I83" s="24"/>
      <c r="J83" s="24"/>
    </row>
    <row r="84" spans="1:10" x14ac:dyDescent="0.35">
      <c r="A84" s="4" t="s">
        <v>1213</v>
      </c>
      <c r="B84" s="21"/>
      <c r="C84" s="21"/>
      <c r="D84" s="4"/>
      <c r="E84" s="4"/>
      <c r="F84" s="24"/>
      <c r="G84" s="24"/>
      <c r="H84" s="24"/>
      <c r="I84" s="24"/>
      <c r="J84" s="24"/>
    </row>
    <row r="85" spans="1:10" x14ac:dyDescent="0.35">
      <c r="A85" s="4" t="s">
        <v>1214</v>
      </c>
      <c r="B85" s="21"/>
      <c r="C85" s="21"/>
      <c r="D85" s="4"/>
      <c r="E85" s="4"/>
      <c r="F85" s="24"/>
      <c r="G85" s="24"/>
      <c r="H85" s="24"/>
      <c r="I85" s="24"/>
      <c r="J85" s="24"/>
    </row>
    <row r="86" spans="1:10" x14ac:dyDescent="0.35">
      <c r="A86" s="4" t="s">
        <v>1215</v>
      </c>
      <c r="B86" s="21"/>
      <c r="C86" s="21"/>
      <c r="D86" s="4"/>
      <c r="E86" s="4"/>
      <c r="F86" s="24"/>
      <c r="G86" s="24"/>
      <c r="H86" s="24"/>
      <c r="I86" s="24"/>
      <c r="J86" s="24"/>
    </row>
    <row r="87" spans="1:10" x14ac:dyDescent="0.35">
      <c r="A87" s="4" t="s">
        <v>1216</v>
      </c>
      <c r="B87" s="21"/>
      <c r="C87" s="21"/>
      <c r="D87" s="4"/>
      <c r="E87" s="4"/>
      <c r="F87" s="24"/>
      <c r="G87" s="24"/>
      <c r="H87" s="24"/>
      <c r="I87" s="24"/>
      <c r="J87" s="24"/>
    </row>
    <row r="88" spans="1:10" x14ac:dyDescent="0.35">
      <c r="A88" s="4" t="s">
        <v>1217</v>
      </c>
      <c r="B88" s="21"/>
      <c r="C88" s="21"/>
      <c r="D88" s="4"/>
      <c r="E88" s="4"/>
      <c r="F88" s="24"/>
      <c r="G88" s="24"/>
      <c r="H88" s="24"/>
      <c r="I88" s="24"/>
      <c r="J88" s="24"/>
    </row>
    <row r="89" spans="1:10" x14ac:dyDescent="0.35">
      <c r="A89" s="4" t="s">
        <v>1218</v>
      </c>
      <c r="B89" s="21"/>
      <c r="C89" s="21"/>
      <c r="D89" s="4"/>
      <c r="E89" s="4"/>
      <c r="F89" s="24"/>
      <c r="G89" s="24"/>
      <c r="H89" s="24"/>
      <c r="I89" s="24"/>
      <c r="J89" s="24"/>
    </row>
    <row r="90" spans="1:10" x14ac:dyDescent="0.35">
      <c r="A90" s="4" t="s">
        <v>1219</v>
      </c>
      <c r="B90" s="21"/>
      <c r="C90" s="21"/>
      <c r="D90" s="4"/>
      <c r="E90" s="4"/>
      <c r="F90" s="24"/>
      <c r="G90" s="24"/>
      <c r="H90" s="24"/>
      <c r="I90" s="24"/>
      <c r="J90" s="24"/>
    </row>
    <row r="91" spans="1:10" x14ac:dyDescent="0.35">
      <c r="A91" s="4" t="s">
        <v>1220</v>
      </c>
      <c r="B91" s="21"/>
      <c r="C91" s="21"/>
      <c r="D91" s="4"/>
      <c r="E91" s="4"/>
      <c r="F91" s="24"/>
      <c r="G91" s="24"/>
      <c r="H91" s="24"/>
      <c r="I91" s="24"/>
      <c r="J91" s="24"/>
    </row>
    <row r="92" spans="1:10" x14ac:dyDescent="0.35">
      <c r="A92" s="4" t="s">
        <v>1221</v>
      </c>
      <c r="B92" s="21"/>
      <c r="C92" s="21"/>
      <c r="D92" s="4"/>
      <c r="E92" s="4"/>
      <c r="F92" s="24"/>
      <c r="G92" s="24"/>
      <c r="H92" s="24"/>
      <c r="I92" s="24"/>
      <c r="J92" s="24"/>
    </row>
    <row r="93" spans="1:10" x14ac:dyDescent="0.35">
      <c r="A93" s="4" t="s">
        <v>1222</v>
      </c>
      <c r="B93" s="21"/>
      <c r="C93" s="21"/>
      <c r="D93" s="4"/>
      <c r="E93" s="4"/>
      <c r="F93" s="24"/>
      <c r="G93" s="24"/>
      <c r="H93" s="24"/>
      <c r="I93" s="24"/>
      <c r="J93" s="24"/>
    </row>
    <row r="94" spans="1:10" x14ac:dyDescent="0.35">
      <c r="A94" s="4" t="s">
        <v>1223</v>
      </c>
      <c r="B94" s="21"/>
      <c r="C94" s="21"/>
      <c r="D94" s="4"/>
      <c r="E94" s="4"/>
      <c r="F94" s="24"/>
      <c r="G94" s="24"/>
      <c r="H94" s="24"/>
      <c r="I94" s="24"/>
      <c r="J94" s="24"/>
    </row>
    <row r="95" spans="1:10" x14ac:dyDescent="0.35">
      <c r="A95" s="4" t="s">
        <v>1224</v>
      </c>
      <c r="B95" s="21"/>
      <c r="C95" s="21"/>
      <c r="D95" s="4"/>
      <c r="E95" s="4"/>
      <c r="F95" s="24"/>
      <c r="G95" s="24"/>
      <c r="H95" s="24"/>
      <c r="I95" s="24"/>
      <c r="J95" s="24"/>
    </row>
    <row r="96" spans="1:10" x14ac:dyDescent="0.35">
      <c r="A96" s="4" t="s">
        <v>1225</v>
      </c>
      <c r="B96" s="21"/>
      <c r="C96" s="21"/>
      <c r="D96" s="4"/>
      <c r="E96" s="4"/>
      <c r="F96" s="24"/>
      <c r="G96" s="24"/>
      <c r="H96" s="24"/>
      <c r="I96" s="24"/>
      <c r="J96" s="24"/>
    </row>
    <row r="97" spans="1:10" x14ac:dyDescent="0.35">
      <c r="A97" s="4" t="s">
        <v>1226</v>
      </c>
      <c r="B97" s="21"/>
      <c r="C97" s="21"/>
      <c r="D97" s="4"/>
      <c r="E97" s="4"/>
      <c r="F97" s="24"/>
      <c r="G97" s="24"/>
      <c r="H97" s="24"/>
      <c r="I97" s="24"/>
      <c r="J97" s="24"/>
    </row>
    <row r="98" spans="1:10" x14ac:dyDescent="0.35">
      <c r="A98" s="4" t="s">
        <v>1227</v>
      </c>
      <c r="B98" s="21"/>
      <c r="C98" s="21"/>
      <c r="D98" s="4"/>
      <c r="E98" s="4"/>
      <c r="F98" s="24"/>
      <c r="G98" s="24"/>
      <c r="H98" s="24"/>
      <c r="I98" s="24"/>
      <c r="J98" s="24"/>
    </row>
    <row r="99" spans="1:10" x14ac:dyDescent="0.35">
      <c r="A99" s="4" t="s">
        <v>1228</v>
      </c>
      <c r="B99" s="21"/>
      <c r="C99" s="21"/>
      <c r="D99" s="4"/>
      <c r="E99" s="4"/>
      <c r="F99" s="24"/>
      <c r="G99" s="24"/>
      <c r="H99" s="24"/>
      <c r="I99" s="24"/>
      <c r="J99" s="24"/>
    </row>
    <row r="100" spans="1:10" x14ac:dyDescent="0.35">
      <c r="A100" s="4" t="s">
        <v>1229</v>
      </c>
      <c r="B100" s="21"/>
      <c r="C100" s="21"/>
      <c r="D100" s="4"/>
      <c r="E100" s="4"/>
      <c r="F100" s="24"/>
      <c r="G100" s="24"/>
      <c r="H100" s="24"/>
      <c r="I100" s="24"/>
      <c r="J100" s="24"/>
    </row>
    <row r="101" spans="1:10" x14ac:dyDescent="0.35">
      <c r="A101" s="4" t="s">
        <v>1230</v>
      </c>
      <c r="B101" s="21"/>
      <c r="C101" s="21"/>
      <c r="D101" s="4"/>
      <c r="E101" s="4"/>
      <c r="F101" s="24"/>
      <c r="G101" s="24"/>
      <c r="H101" s="24"/>
      <c r="I101" s="24"/>
      <c r="J101" s="24"/>
    </row>
    <row r="102" spans="1:10" x14ac:dyDescent="0.35">
      <c r="A102" t="s">
        <v>1231</v>
      </c>
      <c r="B102" s="21"/>
      <c r="C102" s="21"/>
      <c r="D102" s="4"/>
      <c r="E102" s="4"/>
      <c r="F102" s="24"/>
      <c r="G102" s="24"/>
      <c r="H102" s="24"/>
      <c r="I102" s="24"/>
      <c r="J102" s="24"/>
    </row>
    <row r="103" spans="1:10" x14ac:dyDescent="0.35">
      <c r="A103" t="s">
        <v>1232</v>
      </c>
      <c r="B103" s="21"/>
      <c r="C103" s="21"/>
      <c r="D103" s="4"/>
      <c r="E103" s="4"/>
      <c r="F103" s="24"/>
      <c r="G103" s="24"/>
      <c r="H103" s="24"/>
      <c r="I103" s="24"/>
      <c r="J103" s="24"/>
    </row>
    <row r="104" spans="1:10" x14ac:dyDescent="0.35">
      <c r="A104" t="s">
        <v>1233</v>
      </c>
      <c r="B104" s="21"/>
      <c r="C104" s="21"/>
      <c r="D104" s="4"/>
      <c r="E104" s="4"/>
      <c r="F104" s="24"/>
      <c r="G104" s="24"/>
      <c r="H104" s="24"/>
      <c r="I104" s="24"/>
      <c r="J104" s="24"/>
    </row>
    <row r="105" spans="1:10" x14ac:dyDescent="0.35">
      <c r="A105" t="s">
        <v>1234</v>
      </c>
      <c r="B105" s="21"/>
      <c r="C105" s="21"/>
      <c r="D105" s="4"/>
      <c r="E105" s="4"/>
      <c r="F105" s="24"/>
      <c r="G105" s="24"/>
      <c r="H105" s="24"/>
      <c r="I105" s="24"/>
      <c r="J105" s="24"/>
    </row>
    <row r="106" spans="1:10" x14ac:dyDescent="0.35">
      <c r="A106" t="s">
        <v>1235</v>
      </c>
      <c r="B106" s="21"/>
      <c r="C106" s="21"/>
      <c r="D106" s="4"/>
      <c r="E106" s="4"/>
      <c r="F106" s="24"/>
      <c r="G106" s="24"/>
      <c r="H106" s="24"/>
      <c r="I106" s="24"/>
      <c r="J106" s="24"/>
    </row>
    <row r="107" spans="1:10" x14ac:dyDescent="0.35">
      <c r="A107" t="s">
        <v>1236</v>
      </c>
      <c r="B107" s="21"/>
      <c r="C107" s="21"/>
      <c r="D107" s="4"/>
      <c r="E107" s="4"/>
      <c r="F107" s="24"/>
      <c r="G107" s="24"/>
      <c r="H107" s="24"/>
      <c r="I107" s="24"/>
      <c r="J107" s="24"/>
    </row>
    <row r="108" spans="1:10" x14ac:dyDescent="0.35">
      <c r="A108" t="s">
        <v>1237</v>
      </c>
      <c r="B108" s="21"/>
      <c r="C108" s="21"/>
      <c r="D108" s="4"/>
      <c r="E108" s="4"/>
      <c r="F108" s="24"/>
      <c r="G108" s="24"/>
      <c r="H108" s="24"/>
      <c r="I108" s="24"/>
      <c r="J108" s="24"/>
    </row>
    <row r="109" spans="1:10" x14ac:dyDescent="0.35">
      <c r="A109" t="s">
        <v>1238</v>
      </c>
      <c r="B109" s="21"/>
      <c r="C109" s="21"/>
      <c r="D109" s="4"/>
      <c r="E109" s="4"/>
      <c r="F109" s="24"/>
      <c r="G109" s="24"/>
      <c r="H109" s="24"/>
      <c r="I109" s="24"/>
      <c r="J109" s="24"/>
    </row>
    <row r="110" spans="1:10" x14ac:dyDescent="0.35">
      <c r="A110" t="s">
        <v>1239</v>
      </c>
      <c r="B110" s="21"/>
      <c r="C110" s="21"/>
      <c r="D110" s="4"/>
      <c r="E110" s="4"/>
      <c r="F110" s="24"/>
      <c r="G110" s="24"/>
      <c r="H110" s="24"/>
      <c r="I110" s="24"/>
      <c r="J110" s="24"/>
    </row>
    <row r="111" spans="1:10" x14ac:dyDescent="0.35">
      <c r="A111" t="s">
        <v>1240</v>
      </c>
      <c r="B111" s="21"/>
      <c r="C111" s="21"/>
      <c r="D111" s="4"/>
      <c r="E111" s="4"/>
      <c r="F111" s="24"/>
      <c r="G111" s="24"/>
      <c r="H111" s="24"/>
      <c r="I111" s="24"/>
      <c r="J111" s="24"/>
    </row>
    <row r="112" spans="1:10" x14ac:dyDescent="0.35">
      <c r="A112" t="s">
        <v>1241</v>
      </c>
      <c r="B112" s="21"/>
      <c r="C112" s="21"/>
      <c r="D112" s="4"/>
      <c r="E112" s="4"/>
      <c r="F112" s="24"/>
      <c r="G112" s="24"/>
      <c r="H112" s="24"/>
      <c r="I112" s="24"/>
      <c r="J112" s="24"/>
    </row>
    <row r="113" spans="1:10" x14ac:dyDescent="0.35">
      <c r="A113" t="s">
        <v>1242</v>
      </c>
      <c r="B113" s="21"/>
      <c r="C113" s="21"/>
      <c r="D113" s="4"/>
      <c r="E113" s="4"/>
      <c r="F113" s="24"/>
      <c r="G113" s="24"/>
      <c r="H113" s="24"/>
      <c r="I113" s="24"/>
      <c r="J113" s="24"/>
    </row>
    <row r="114" spans="1:10" x14ac:dyDescent="0.35">
      <c r="A114" t="s">
        <v>1243</v>
      </c>
      <c r="B114" s="21"/>
      <c r="C114" s="21"/>
      <c r="D114" s="4"/>
      <c r="E114" s="4"/>
      <c r="F114" s="24"/>
      <c r="G114" s="24"/>
      <c r="H114" s="24"/>
      <c r="I114" s="24"/>
      <c r="J114" s="24"/>
    </row>
    <row r="115" spans="1:10" x14ac:dyDescent="0.35">
      <c r="A115" t="s">
        <v>1244</v>
      </c>
      <c r="B115" s="21"/>
      <c r="C115" s="21"/>
      <c r="D115" s="4"/>
      <c r="E115" s="4"/>
      <c r="F115" s="24"/>
      <c r="G115" s="24"/>
      <c r="H115" s="24"/>
      <c r="I115" s="24"/>
      <c r="J115" s="24"/>
    </row>
    <row r="116" spans="1:10" x14ac:dyDescent="0.35">
      <c r="A116" t="s">
        <v>1245</v>
      </c>
      <c r="B116" s="21"/>
      <c r="C116" s="21"/>
      <c r="D116" s="4"/>
      <c r="E116" s="4"/>
      <c r="F116" s="24"/>
      <c r="G116" s="24"/>
      <c r="H116" s="24"/>
      <c r="I116" s="24"/>
      <c r="J116" s="24"/>
    </row>
    <row r="117" spans="1:10" x14ac:dyDescent="0.35">
      <c r="A117" t="s">
        <v>1246</v>
      </c>
      <c r="B117" s="21"/>
      <c r="C117" s="21"/>
      <c r="D117" s="4"/>
      <c r="E117" s="4"/>
      <c r="F117" s="24"/>
      <c r="G117" s="24"/>
      <c r="H117" s="24"/>
      <c r="I117" s="24"/>
      <c r="J117" s="24"/>
    </row>
    <row r="118" spans="1:10" x14ac:dyDescent="0.35">
      <c r="A118" t="s">
        <v>1247</v>
      </c>
      <c r="B118" s="21"/>
      <c r="C118" s="21"/>
      <c r="D118" s="4"/>
      <c r="E118" s="4"/>
      <c r="F118" s="24"/>
      <c r="G118" s="24"/>
      <c r="H118" s="24"/>
      <c r="I118" s="24"/>
      <c r="J118" s="24"/>
    </row>
    <row r="119" spans="1:10" x14ac:dyDescent="0.35">
      <c r="A119" t="s">
        <v>1248</v>
      </c>
      <c r="B119" s="21"/>
      <c r="C119" s="21"/>
      <c r="D119" s="4"/>
      <c r="E119" s="4"/>
      <c r="F119" s="24"/>
      <c r="G119" s="24"/>
      <c r="H119" s="24"/>
      <c r="I119" s="24"/>
      <c r="J119" s="24"/>
    </row>
    <row r="120" spans="1:10" x14ac:dyDescent="0.35">
      <c r="A120" t="s">
        <v>1249</v>
      </c>
      <c r="B120" s="21"/>
      <c r="C120" s="21"/>
      <c r="D120" s="4"/>
      <c r="E120" s="4"/>
      <c r="F120" s="24"/>
      <c r="G120" s="24"/>
      <c r="H120" s="24"/>
      <c r="I120" s="24"/>
      <c r="J120" s="24"/>
    </row>
    <row r="121" spans="1:10" x14ac:dyDescent="0.35">
      <c r="A121" t="s">
        <v>1250</v>
      </c>
      <c r="B121" s="21"/>
      <c r="C121" s="21"/>
      <c r="D121" s="4"/>
      <c r="E121" s="4"/>
      <c r="F121" s="24"/>
      <c r="G121" s="24"/>
      <c r="H121" s="24"/>
      <c r="I121" s="24"/>
      <c r="J121" s="24"/>
    </row>
    <row r="122" spans="1:10" x14ac:dyDescent="0.35">
      <c r="A122" t="s">
        <v>1251</v>
      </c>
      <c r="B122" s="21"/>
      <c r="C122" s="21"/>
      <c r="D122" s="4"/>
      <c r="E122" s="4"/>
      <c r="F122" s="24"/>
      <c r="G122" s="24"/>
      <c r="H122" s="24"/>
      <c r="I122" s="24"/>
      <c r="J122" s="24"/>
    </row>
    <row r="123" spans="1:10" x14ac:dyDescent="0.35">
      <c r="A123" t="s">
        <v>1252</v>
      </c>
      <c r="B123" s="21"/>
      <c r="C123" s="21"/>
      <c r="D123" s="4"/>
      <c r="E123" s="4"/>
      <c r="F123" s="24"/>
      <c r="G123" s="24"/>
      <c r="H123" s="24"/>
      <c r="I123" s="24"/>
      <c r="J123" s="24"/>
    </row>
    <row r="124" spans="1:10" x14ac:dyDescent="0.35">
      <c r="A124" t="s">
        <v>1253</v>
      </c>
      <c r="B124" s="21"/>
      <c r="C124" s="21"/>
      <c r="D124" s="4"/>
      <c r="E124" s="4"/>
      <c r="F124" s="24"/>
      <c r="G124" s="24"/>
      <c r="H124" s="24"/>
      <c r="I124" s="24"/>
      <c r="J124" s="24"/>
    </row>
    <row r="125" spans="1:10" x14ac:dyDescent="0.35">
      <c r="A125" t="s">
        <v>1254</v>
      </c>
      <c r="B125" s="21"/>
      <c r="C125" s="21"/>
      <c r="D125" s="4"/>
      <c r="E125" s="4"/>
      <c r="F125" s="24"/>
      <c r="G125" s="24"/>
      <c r="H125" s="24"/>
      <c r="I125" s="24"/>
      <c r="J125" s="24"/>
    </row>
    <row r="126" spans="1:10" x14ac:dyDescent="0.35">
      <c r="A126" t="s">
        <v>1255</v>
      </c>
      <c r="B126" s="21"/>
      <c r="C126" s="21"/>
      <c r="D126" s="4"/>
      <c r="E126" s="4"/>
      <c r="F126" s="24"/>
      <c r="G126" s="24"/>
      <c r="H126" s="24"/>
      <c r="I126" s="24"/>
      <c r="J126" s="24"/>
    </row>
    <row r="127" spans="1:10" x14ac:dyDescent="0.35">
      <c r="A127" t="s">
        <v>1256</v>
      </c>
      <c r="B127" s="21"/>
      <c r="C127" s="21"/>
      <c r="D127" s="4"/>
      <c r="E127" s="4"/>
      <c r="F127" s="24"/>
      <c r="G127" s="24"/>
      <c r="H127" s="24"/>
      <c r="I127" s="24"/>
      <c r="J127" s="24"/>
    </row>
    <row r="128" spans="1:10" x14ac:dyDescent="0.35">
      <c r="A128" t="s">
        <v>1257</v>
      </c>
      <c r="B128" s="21"/>
      <c r="C128" s="21"/>
      <c r="D128" s="4"/>
      <c r="E128" s="4"/>
      <c r="F128" s="24"/>
      <c r="G128" s="24"/>
      <c r="H128" s="24"/>
      <c r="I128" s="24"/>
      <c r="J128" s="24"/>
    </row>
    <row r="129" spans="1:10" x14ac:dyDescent="0.35">
      <c r="A129" t="s">
        <v>1258</v>
      </c>
      <c r="B129" s="21"/>
      <c r="C129" s="21"/>
      <c r="D129" s="4"/>
      <c r="E129" s="4"/>
      <c r="F129" s="24"/>
      <c r="G129" s="24"/>
      <c r="H129" s="24"/>
      <c r="I129" s="24"/>
      <c r="J129" s="24"/>
    </row>
    <row r="130" spans="1:10" x14ac:dyDescent="0.35">
      <c r="A130" t="s">
        <v>1259</v>
      </c>
      <c r="B130" s="21"/>
      <c r="C130" s="21"/>
      <c r="D130" s="4"/>
      <c r="E130" s="4"/>
      <c r="F130" s="24"/>
      <c r="G130" s="24"/>
      <c r="H130" s="24"/>
      <c r="I130" s="24"/>
      <c r="J130" s="24"/>
    </row>
    <row r="131" spans="1:10" x14ac:dyDescent="0.35">
      <c r="A131" t="s">
        <v>1260</v>
      </c>
      <c r="B131" s="21"/>
      <c r="C131" s="21"/>
      <c r="D131" s="4"/>
      <c r="E131" s="4"/>
      <c r="F131" s="24"/>
      <c r="G131" s="24"/>
      <c r="H131" s="24"/>
      <c r="I131" s="24"/>
      <c r="J131" s="24"/>
    </row>
    <row r="132" spans="1:10" x14ac:dyDescent="0.35">
      <c r="A132" t="s">
        <v>1261</v>
      </c>
      <c r="B132" s="21"/>
      <c r="C132" s="21"/>
      <c r="D132" s="4"/>
      <c r="E132" s="4"/>
      <c r="F132" s="24"/>
      <c r="G132" s="24"/>
      <c r="H132" s="24"/>
      <c r="I132" s="24"/>
      <c r="J132" s="24"/>
    </row>
    <row r="133" spans="1:10" x14ac:dyDescent="0.35">
      <c r="A133" t="s">
        <v>1262</v>
      </c>
      <c r="B133" s="21"/>
      <c r="C133" s="21"/>
      <c r="D133" s="4"/>
      <c r="E133" s="4"/>
      <c r="F133" s="24"/>
      <c r="G133" s="24"/>
      <c r="H133" s="24"/>
      <c r="I133" s="24"/>
      <c r="J133" s="24"/>
    </row>
    <row r="134" spans="1:10" x14ac:dyDescent="0.35">
      <c r="A134" t="s">
        <v>1263</v>
      </c>
      <c r="B134" s="21"/>
      <c r="C134" s="21"/>
      <c r="D134" s="4"/>
      <c r="E134" s="4"/>
      <c r="F134" s="24"/>
      <c r="G134" s="24"/>
      <c r="H134" s="24"/>
      <c r="I134" s="24"/>
      <c r="J134" s="24"/>
    </row>
    <row r="135" spans="1:10" x14ac:dyDescent="0.35">
      <c r="A135" t="s">
        <v>1264</v>
      </c>
      <c r="B135" s="21"/>
      <c r="C135" s="21"/>
      <c r="D135" s="4"/>
      <c r="E135" s="4"/>
      <c r="F135" s="24"/>
      <c r="G135" s="24"/>
      <c r="H135" s="24"/>
      <c r="I135" s="24"/>
      <c r="J135" s="24"/>
    </row>
    <row r="136" spans="1:10" x14ac:dyDescent="0.35">
      <c r="A136" t="s">
        <v>1265</v>
      </c>
      <c r="B136" s="21"/>
      <c r="C136" s="21"/>
      <c r="D136" s="4"/>
      <c r="E136" s="4"/>
      <c r="F136" s="24"/>
      <c r="G136" s="24"/>
      <c r="H136" s="24"/>
      <c r="I136" s="24"/>
      <c r="J136" s="24"/>
    </row>
    <row r="137" spans="1:10" x14ac:dyDescent="0.35">
      <c r="A137" t="s">
        <v>1266</v>
      </c>
      <c r="B137" s="21"/>
      <c r="C137" s="21"/>
      <c r="D137" s="4"/>
      <c r="E137" s="4"/>
      <c r="F137" s="24"/>
      <c r="G137" s="24"/>
      <c r="H137" s="24"/>
      <c r="I137" s="24"/>
      <c r="J137" s="24"/>
    </row>
    <row r="138" spans="1:10" x14ac:dyDescent="0.35">
      <c r="A138" t="s">
        <v>1267</v>
      </c>
      <c r="B138" s="21"/>
      <c r="C138" s="21"/>
      <c r="D138" s="4"/>
      <c r="E138" s="4"/>
      <c r="F138" s="24"/>
      <c r="G138" s="24"/>
      <c r="H138" s="24"/>
      <c r="I138" s="24"/>
      <c r="J138" s="24"/>
    </row>
    <row r="139" spans="1:10" x14ac:dyDescent="0.35">
      <c r="A139" t="s">
        <v>1268</v>
      </c>
      <c r="B139" s="21"/>
      <c r="C139" s="21"/>
      <c r="D139" s="4"/>
      <c r="E139" s="4"/>
      <c r="F139" s="24"/>
      <c r="G139" s="24"/>
      <c r="H139" s="24"/>
      <c r="I139" s="24"/>
      <c r="J139" s="24"/>
    </row>
    <row r="140" spans="1:10" x14ac:dyDescent="0.35">
      <c r="A140" t="s">
        <v>1269</v>
      </c>
      <c r="B140" s="21"/>
      <c r="C140" s="21"/>
      <c r="D140" s="4"/>
      <c r="E140" s="4"/>
      <c r="F140" s="24"/>
      <c r="G140" s="24"/>
      <c r="H140" s="24"/>
      <c r="I140" s="24"/>
      <c r="J140" s="24"/>
    </row>
    <row r="141" spans="1:10" x14ac:dyDescent="0.35">
      <c r="A141" t="s">
        <v>1270</v>
      </c>
      <c r="B141" s="21"/>
      <c r="C141" s="21"/>
      <c r="D141" s="4"/>
      <c r="E141" s="4"/>
      <c r="F141" s="24"/>
      <c r="G141" s="24"/>
      <c r="H141" s="24"/>
      <c r="I141" s="24"/>
      <c r="J141" s="24"/>
    </row>
    <row r="142" spans="1:10" x14ac:dyDescent="0.35">
      <c r="A142" t="s">
        <v>1271</v>
      </c>
      <c r="B142" s="21"/>
      <c r="C142" s="21"/>
      <c r="D142" s="4"/>
      <c r="E142" s="4"/>
      <c r="F142" s="24"/>
      <c r="G142" s="24"/>
      <c r="H142" s="24"/>
      <c r="I142" s="24"/>
      <c r="J142" s="24"/>
    </row>
    <row r="143" spans="1:10" x14ac:dyDescent="0.35">
      <c r="A143" t="s">
        <v>1272</v>
      </c>
      <c r="B143" s="21"/>
      <c r="C143" s="21"/>
      <c r="D143" s="4"/>
      <c r="E143" s="4"/>
      <c r="F143" s="24"/>
      <c r="G143" s="24"/>
      <c r="H143" s="24"/>
      <c r="I143" s="24"/>
      <c r="J143" s="24"/>
    </row>
    <row r="144" spans="1:10" x14ac:dyDescent="0.35">
      <c r="A144" t="s">
        <v>1273</v>
      </c>
      <c r="B144" s="21"/>
      <c r="C144" s="21"/>
      <c r="D144" s="4"/>
      <c r="E144" s="4"/>
      <c r="F144" s="24"/>
      <c r="G144" s="24"/>
      <c r="H144" s="24"/>
      <c r="I144" s="24"/>
      <c r="J144" s="24"/>
    </row>
    <row r="145" spans="1:10" x14ac:dyDescent="0.35">
      <c r="A145" t="s">
        <v>1274</v>
      </c>
      <c r="B145" s="21"/>
      <c r="C145" s="21"/>
      <c r="D145" s="4"/>
      <c r="E145" s="4"/>
      <c r="F145" s="24"/>
      <c r="G145" s="24"/>
      <c r="H145" s="24"/>
      <c r="I145" s="24"/>
      <c r="J145" s="24"/>
    </row>
    <row r="146" spans="1:10" x14ac:dyDescent="0.35">
      <c r="A146" t="s">
        <v>1275</v>
      </c>
      <c r="B146" s="21"/>
      <c r="C146" s="21"/>
      <c r="D146" s="4"/>
      <c r="E146" s="4"/>
      <c r="F146" s="24"/>
      <c r="G146" s="24"/>
      <c r="H146" s="24"/>
      <c r="I146" s="24"/>
      <c r="J146" s="24"/>
    </row>
    <row r="147" spans="1:10" x14ac:dyDescent="0.35">
      <c r="A147" t="s">
        <v>1276</v>
      </c>
      <c r="B147" s="21"/>
      <c r="C147" s="21"/>
      <c r="D147" s="4"/>
      <c r="E147" s="4"/>
      <c r="F147" s="24"/>
      <c r="G147" s="24"/>
      <c r="H147" s="24"/>
      <c r="I147" s="24"/>
      <c r="J147" s="24"/>
    </row>
    <row r="148" spans="1:10" x14ac:dyDescent="0.35">
      <c r="A148" t="s">
        <v>1277</v>
      </c>
      <c r="B148" s="21"/>
      <c r="C148" s="21"/>
      <c r="D148" s="4"/>
      <c r="E148" s="4"/>
      <c r="F148" s="24"/>
      <c r="G148" s="24"/>
      <c r="H148" s="24"/>
      <c r="I148" s="24"/>
      <c r="J148" s="24"/>
    </row>
    <row r="149" spans="1:10" x14ac:dyDescent="0.35">
      <c r="A149" t="s">
        <v>1278</v>
      </c>
      <c r="B149" s="21"/>
      <c r="C149" s="21"/>
      <c r="D149" s="4"/>
      <c r="E149" s="4"/>
      <c r="F149" s="24"/>
      <c r="G149" s="24"/>
      <c r="H149" s="24"/>
      <c r="I149" s="24"/>
      <c r="J149" s="24"/>
    </row>
    <row r="150" spans="1:10" x14ac:dyDescent="0.35">
      <c r="A150" t="s">
        <v>1279</v>
      </c>
      <c r="B150" s="21"/>
      <c r="C150" s="21"/>
      <c r="D150" s="4"/>
      <c r="E150" s="4"/>
      <c r="F150" s="24"/>
      <c r="G150" s="24"/>
      <c r="H150" s="24"/>
      <c r="I150" s="24"/>
      <c r="J150" s="24"/>
    </row>
    <row r="151" spans="1:10" x14ac:dyDescent="0.35">
      <c r="A151" t="s">
        <v>1280</v>
      </c>
      <c r="B151" s="21"/>
      <c r="C151" s="21"/>
      <c r="D151" s="4"/>
      <c r="E151" s="4"/>
      <c r="F151" s="24"/>
      <c r="G151" s="24"/>
      <c r="H151" s="24"/>
      <c r="I151" s="24"/>
      <c r="J151" s="24"/>
    </row>
    <row r="152" spans="1:10" x14ac:dyDescent="0.35">
      <c r="A152" t="s">
        <v>1281</v>
      </c>
      <c r="B152" s="21"/>
      <c r="C152" s="21"/>
      <c r="D152" s="4"/>
      <c r="E152" s="4"/>
      <c r="F152" s="24"/>
      <c r="G152" s="24"/>
      <c r="H152" s="24"/>
      <c r="I152" s="24"/>
      <c r="J152" s="24"/>
    </row>
    <row r="153" spans="1:10" x14ac:dyDescent="0.35">
      <c r="A153" t="s">
        <v>1282</v>
      </c>
      <c r="B153" s="21"/>
      <c r="C153" s="21"/>
      <c r="D153" s="4"/>
      <c r="E153" s="4"/>
      <c r="F153" s="24"/>
      <c r="G153" s="24"/>
      <c r="H153" s="24"/>
      <c r="I153" s="24"/>
      <c r="J153" s="24"/>
    </row>
    <row r="154" spans="1:10" x14ac:dyDescent="0.35">
      <c r="A154" t="s">
        <v>1283</v>
      </c>
      <c r="B154" s="21"/>
      <c r="C154" s="21"/>
      <c r="D154" s="4"/>
      <c r="E154" s="4"/>
      <c r="F154" s="24"/>
      <c r="G154" s="24"/>
      <c r="H154" s="24"/>
      <c r="I154" s="24"/>
      <c r="J154" s="24"/>
    </row>
    <row r="155" spans="1:10" x14ac:dyDescent="0.35">
      <c r="A155" t="s">
        <v>1284</v>
      </c>
      <c r="B155" s="21"/>
      <c r="C155" s="21"/>
      <c r="D155" s="4"/>
      <c r="E155" s="4"/>
      <c r="F155" s="24"/>
      <c r="G155" s="24"/>
      <c r="H155" s="24"/>
      <c r="I155" s="24"/>
      <c r="J155" s="24"/>
    </row>
    <row r="156" spans="1:10" x14ac:dyDescent="0.35">
      <c r="A156" t="s">
        <v>1285</v>
      </c>
      <c r="B156" s="21"/>
      <c r="C156" s="21"/>
      <c r="D156" s="4"/>
      <c r="E156" s="4"/>
      <c r="F156" s="24"/>
      <c r="G156" s="24"/>
      <c r="H156" s="24"/>
      <c r="I156" s="24"/>
      <c r="J156" s="24"/>
    </row>
    <row r="157" spans="1:10" x14ac:dyDescent="0.35">
      <c r="A157" t="s">
        <v>1286</v>
      </c>
      <c r="B157" s="21"/>
      <c r="C157" s="21"/>
      <c r="D157" s="4"/>
      <c r="E157" s="4"/>
      <c r="F157" s="24"/>
      <c r="G157" s="24"/>
      <c r="H157" s="24"/>
      <c r="I157" s="24"/>
      <c r="J157" s="24"/>
    </row>
    <row r="158" spans="1:10" x14ac:dyDescent="0.35">
      <c r="A158" t="s">
        <v>1287</v>
      </c>
      <c r="B158" s="21"/>
      <c r="C158" s="21"/>
      <c r="D158" s="4"/>
      <c r="E158" s="4"/>
      <c r="F158" s="24"/>
      <c r="G158" s="24"/>
      <c r="H158" s="24"/>
      <c r="I158" s="24"/>
      <c r="J158" s="24"/>
    </row>
    <row r="159" spans="1:10" x14ac:dyDescent="0.35">
      <c r="A159" t="s">
        <v>1288</v>
      </c>
      <c r="B159" s="21"/>
      <c r="C159" s="21"/>
      <c r="D159" s="4"/>
      <c r="E159" s="4"/>
      <c r="F159" s="24"/>
      <c r="G159" s="24"/>
      <c r="H159" s="24"/>
      <c r="I159" s="24"/>
      <c r="J159" s="24"/>
    </row>
    <row r="160" spans="1:10" x14ac:dyDescent="0.35">
      <c r="A160" t="s">
        <v>1289</v>
      </c>
      <c r="B160" s="21"/>
      <c r="C160" s="21"/>
      <c r="D160" s="4"/>
      <c r="E160" s="4"/>
      <c r="F160" s="24"/>
      <c r="G160" s="24"/>
      <c r="H160" s="24"/>
      <c r="I160" s="24"/>
      <c r="J160" s="24"/>
    </row>
    <row r="161" spans="1:10" x14ac:dyDescent="0.35">
      <c r="A161" t="s">
        <v>1290</v>
      </c>
      <c r="B161" s="21"/>
      <c r="C161" s="21"/>
      <c r="D161" s="4"/>
      <c r="E161" s="4"/>
      <c r="F161" s="24"/>
      <c r="G161" s="24"/>
      <c r="H161" s="24"/>
      <c r="I161" s="24"/>
      <c r="J161" s="24"/>
    </row>
    <row r="162" spans="1:10" x14ac:dyDescent="0.35">
      <c r="A162" t="s">
        <v>1291</v>
      </c>
      <c r="B162" s="21"/>
      <c r="C162" s="21"/>
      <c r="D162" s="4"/>
      <c r="E162" s="4"/>
      <c r="F162" s="24"/>
      <c r="G162" s="24"/>
      <c r="H162" s="24"/>
      <c r="I162" s="24"/>
      <c r="J162" s="24"/>
    </row>
    <row r="163" spans="1:10" x14ac:dyDescent="0.35">
      <c r="A163" t="s">
        <v>1292</v>
      </c>
      <c r="B163" s="21"/>
      <c r="C163" s="21"/>
      <c r="D163" s="4"/>
      <c r="E163" s="4"/>
      <c r="F163" s="24"/>
      <c r="G163" s="24"/>
      <c r="H163" s="24"/>
      <c r="I163" s="24"/>
      <c r="J163" s="24"/>
    </row>
    <row r="164" spans="1:10" x14ac:dyDescent="0.35">
      <c r="A164" t="s">
        <v>1293</v>
      </c>
      <c r="B164" s="21"/>
      <c r="C164" s="21"/>
      <c r="D164" s="4"/>
      <c r="E164" s="4"/>
      <c r="F164" s="24"/>
      <c r="G164" s="24"/>
      <c r="H164" s="24"/>
      <c r="I164" s="24"/>
      <c r="J164" s="24"/>
    </row>
    <row r="165" spans="1:10" x14ac:dyDescent="0.35">
      <c r="A165" t="s">
        <v>1294</v>
      </c>
      <c r="B165" s="21"/>
      <c r="C165" s="21"/>
      <c r="D165" s="4"/>
      <c r="E165" s="4"/>
      <c r="F165" s="24"/>
      <c r="G165" s="24"/>
      <c r="H165" s="24"/>
      <c r="I165" s="24"/>
      <c r="J165" s="24"/>
    </row>
    <row r="166" spans="1:10" x14ac:dyDescent="0.35">
      <c r="A166" t="s">
        <v>1295</v>
      </c>
      <c r="B166" s="21"/>
      <c r="C166" s="21"/>
      <c r="D166" s="4"/>
      <c r="E166" s="4"/>
      <c r="F166" s="24"/>
      <c r="G166" s="24"/>
      <c r="H166" s="24"/>
      <c r="I166" s="24"/>
      <c r="J166" s="24"/>
    </row>
    <row r="167" spans="1:10" x14ac:dyDescent="0.35">
      <c r="A167" t="s">
        <v>1296</v>
      </c>
      <c r="B167" s="21"/>
      <c r="C167" s="21"/>
      <c r="D167" s="4"/>
      <c r="E167" s="4"/>
      <c r="F167" s="24"/>
      <c r="G167" s="24"/>
      <c r="H167" s="24"/>
      <c r="I167" s="24"/>
      <c r="J167" s="24"/>
    </row>
    <row r="168" spans="1:10" x14ac:dyDescent="0.35">
      <c r="A168" t="s">
        <v>1297</v>
      </c>
      <c r="B168" s="21"/>
      <c r="C168" s="21"/>
      <c r="D168" s="4"/>
      <c r="E168" s="4"/>
      <c r="F168" s="24"/>
      <c r="G168" s="24"/>
      <c r="H168" s="24"/>
      <c r="I168" s="24"/>
      <c r="J168" s="24"/>
    </row>
    <row r="169" spans="1:10" x14ac:dyDescent="0.35">
      <c r="A169" t="s">
        <v>1298</v>
      </c>
      <c r="B169" s="21"/>
      <c r="C169" s="21"/>
      <c r="D169" s="4"/>
      <c r="E169" s="4"/>
      <c r="F169" s="24"/>
      <c r="G169" s="24"/>
      <c r="H169" s="24"/>
      <c r="I169" s="24"/>
      <c r="J169" s="24"/>
    </row>
    <row r="170" spans="1:10" x14ac:dyDescent="0.35">
      <c r="A170" t="s">
        <v>1299</v>
      </c>
      <c r="B170" s="21"/>
      <c r="C170" s="21"/>
      <c r="D170" s="4"/>
      <c r="E170" s="4"/>
      <c r="F170" s="24"/>
      <c r="G170" s="24"/>
      <c r="H170" s="24"/>
      <c r="I170" s="24"/>
      <c r="J170" s="24"/>
    </row>
    <row r="171" spans="1:10" x14ac:dyDescent="0.35">
      <c r="A171" t="s">
        <v>1300</v>
      </c>
      <c r="B171" s="21"/>
      <c r="C171" s="21"/>
      <c r="D171" s="4"/>
      <c r="E171" s="4"/>
      <c r="F171" s="24"/>
      <c r="G171" s="24"/>
      <c r="H171" s="24"/>
      <c r="I171" s="24"/>
      <c r="J171" s="24"/>
    </row>
    <row r="172" spans="1:10" x14ac:dyDescent="0.35">
      <c r="A172" t="s">
        <v>1301</v>
      </c>
      <c r="B172" s="21"/>
      <c r="C172" s="21"/>
      <c r="D172" s="4"/>
      <c r="E172" s="4"/>
      <c r="F172" s="24"/>
      <c r="G172" s="24"/>
      <c r="H172" s="24"/>
      <c r="I172" s="24"/>
      <c r="J172" s="24"/>
    </row>
    <row r="173" spans="1:10" x14ac:dyDescent="0.35">
      <c r="A173" t="s">
        <v>1302</v>
      </c>
      <c r="B173" s="21"/>
      <c r="C173" s="21"/>
      <c r="D173" s="4"/>
      <c r="E173" s="4"/>
      <c r="F173" s="24"/>
      <c r="G173" s="24"/>
      <c r="H173" s="24"/>
      <c r="I173" s="24"/>
      <c r="J173" s="24"/>
    </row>
    <row r="174" spans="1:10" x14ac:dyDescent="0.35">
      <c r="A174" t="s">
        <v>1303</v>
      </c>
      <c r="B174" s="21"/>
      <c r="C174" s="21"/>
      <c r="D174" s="4"/>
      <c r="E174" s="4"/>
      <c r="F174" s="24"/>
      <c r="G174" s="24"/>
      <c r="H174" s="24"/>
      <c r="I174" s="24"/>
      <c r="J174" s="24"/>
    </row>
    <row r="175" spans="1:10" x14ac:dyDescent="0.35">
      <c r="A175" t="s">
        <v>1304</v>
      </c>
      <c r="B175" s="21"/>
      <c r="C175" s="21"/>
      <c r="D175" s="4"/>
      <c r="E175" s="4"/>
      <c r="F175" s="24"/>
      <c r="G175" s="24"/>
      <c r="H175" s="24"/>
      <c r="I175" s="24"/>
      <c r="J175" s="24"/>
    </row>
    <row r="176" spans="1:10" x14ac:dyDescent="0.35">
      <c r="A176" t="s">
        <v>1305</v>
      </c>
      <c r="B176" s="21"/>
      <c r="C176" s="21"/>
      <c r="D176" s="4"/>
      <c r="E176" s="4"/>
      <c r="F176" s="24"/>
      <c r="G176" s="24"/>
      <c r="H176" s="24"/>
      <c r="I176" s="24"/>
      <c r="J176" s="24"/>
    </row>
    <row r="177" spans="1:10" x14ac:dyDescent="0.35">
      <c r="A177" t="s">
        <v>1306</v>
      </c>
      <c r="B177" s="21"/>
      <c r="C177" s="21"/>
      <c r="D177" s="4"/>
      <c r="E177" s="4"/>
      <c r="F177" s="24"/>
      <c r="G177" s="24"/>
      <c r="H177" s="24"/>
      <c r="I177" s="24"/>
      <c r="J177" s="24"/>
    </row>
    <row r="178" spans="1:10" x14ac:dyDescent="0.35">
      <c r="A178" t="s">
        <v>1307</v>
      </c>
      <c r="B178" s="21"/>
      <c r="C178" s="21"/>
      <c r="D178" s="4"/>
      <c r="E178" s="4"/>
      <c r="F178" s="24"/>
      <c r="G178" s="24"/>
      <c r="H178" s="24"/>
      <c r="I178" s="24"/>
      <c r="J178" s="24"/>
    </row>
    <row r="179" spans="1:10" x14ac:dyDescent="0.35">
      <c r="A179" t="s">
        <v>1308</v>
      </c>
      <c r="B179" s="21"/>
      <c r="C179" s="21"/>
      <c r="D179" s="4"/>
      <c r="E179" s="4"/>
      <c r="F179" s="24"/>
      <c r="G179" s="24"/>
      <c r="H179" s="24"/>
      <c r="I179" s="24"/>
      <c r="J179" s="24"/>
    </row>
    <row r="180" spans="1:10" x14ac:dyDescent="0.35">
      <c r="A180" t="s">
        <v>1309</v>
      </c>
      <c r="B180" s="21"/>
      <c r="C180" s="21"/>
      <c r="D180" s="4"/>
      <c r="E180" s="4"/>
      <c r="F180" s="24"/>
      <c r="G180" s="24"/>
      <c r="H180" s="24"/>
      <c r="I180" s="24"/>
      <c r="J180" s="24"/>
    </row>
    <row r="181" spans="1:10" x14ac:dyDescent="0.35">
      <c r="A181" t="s">
        <v>1310</v>
      </c>
      <c r="B181" s="21"/>
      <c r="C181" s="21"/>
      <c r="D181" s="4"/>
      <c r="E181" s="4"/>
      <c r="F181" s="24"/>
      <c r="G181" s="24"/>
      <c r="H181" s="24"/>
      <c r="I181" s="24"/>
      <c r="J181" s="24"/>
    </row>
    <row r="182" spans="1:10" x14ac:dyDescent="0.35">
      <c r="A182" t="s">
        <v>1311</v>
      </c>
      <c r="B182" s="21"/>
      <c r="C182" s="21"/>
      <c r="D182" s="4"/>
      <c r="E182" s="4"/>
      <c r="F182" s="24"/>
      <c r="G182" s="24"/>
      <c r="H182" s="24"/>
      <c r="I182" s="24"/>
      <c r="J182" s="24"/>
    </row>
    <row r="183" spans="1:10" x14ac:dyDescent="0.35">
      <c r="A183" t="s">
        <v>1312</v>
      </c>
      <c r="B183" s="21"/>
      <c r="C183" s="21"/>
      <c r="D183" s="4"/>
      <c r="E183" s="4"/>
      <c r="F183" s="24"/>
      <c r="G183" s="24"/>
      <c r="H183" s="24"/>
      <c r="I183" s="24"/>
      <c r="J183" s="24"/>
    </row>
    <row r="184" spans="1:10" x14ac:dyDescent="0.35">
      <c r="A184" t="s">
        <v>1313</v>
      </c>
      <c r="B184" s="21"/>
      <c r="C184" s="21"/>
      <c r="D184" s="4"/>
      <c r="E184" s="4"/>
      <c r="F184" s="24"/>
      <c r="G184" s="24"/>
      <c r="H184" s="24"/>
      <c r="I184" s="24"/>
      <c r="J184" s="24"/>
    </row>
    <row r="185" spans="1:10" x14ac:dyDescent="0.35">
      <c r="A185" t="s">
        <v>1314</v>
      </c>
      <c r="B185" s="21"/>
      <c r="C185" s="21"/>
      <c r="D185" s="4"/>
      <c r="E185" s="4"/>
      <c r="F185" s="24"/>
      <c r="G185" s="24"/>
      <c r="H185" s="24"/>
      <c r="I185" s="24"/>
      <c r="J185" s="24"/>
    </row>
    <row r="186" spans="1:10" x14ac:dyDescent="0.35">
      <c r="A186" t="s">
        <v>1315</v>
      </c>
      <c r="B186" s="21"/>
      <c r="C186" s="21"/>
      <c r="D186" s="4"/>
      <c r="E186" s="4"/>
      <c r="F186" s="24"/>
      <c r="G186" s="24"/>
      <c r="H186" s="24"/>
      <c r="I186" s="24"/>
      <c r="J186" s="24"/>
    </row>
    <row r="187" spans="1:10" x14ac:dyDescent="0.35">
      <c r="A187" t="s">
        <v>1316</v>
      </c>
      <c r="B187" s="21"/>
      <c r="C187" s="21"/>
      <c r="D187" s="4"/>
      <c r="E187" s="4"/>
      <c r="F187" s="24"/>
      <c r="G187" s="24"/>
      <c r="H187" s="24"/>
      <c r="I187" s="24"/>
      <c r="J187" s="24"/>
    </row>
    <row r="188" spans="1:10" x14ac:dyDescent="0.35">
      <c r="A188" t="s">
        <v>1317</v>
      </c>
      <c r="B188" s="21"/>
      <c r="C188" s="21"/>
      <c r="D188" s="4"/>
      <c r="E188" s="4"/>
      <c r="F188" s="24"/>
      <c r="G188" s="24"/>
      <c r="H188" s="24"/>
      <c r="I188" s="24"/>
      <c r="J188" s="24"/>
    </row>
    <row r="189" spans="1:10" x14ac:dyDescent="0.35">
      <c r="A189" t="s">
        <v>1318</v>
      </c>
      <c r="B189" s="21"/>
      <c r="C189" s="21"/>
      <c r="D189" s="4"/>
      <c r="E189" s="4"/>
      <c r="F189" s="24"/>
      <c r="G189" s="24"/>
      <c r="H189" s="24"/>
      <c r="I189" s="24"/>
      <c r="J189" s="24"/>
    </row>
    <row r="190" spans="1:10" x14ac:dyDescent="0.35">
      <c r="A190" t="s">
        <v>1319</v>
      </c>
      <c r="B190" s="21"/>
      <c r="C190" s="21"/>
      <c r="D190" s="4"/>
      <c r="E190" s="4"/>
      <c r="F190" s="24"/>
      <c r="G190" s="24"/>
      <c r="H190" s="24"/>
      <c r="I190" s="24"/>
      <c r="J190" s="24"/>
    </row>
    <row r="191" spans="1:10" x14ac:dyDescent="0.35">
      <c r="A191" t="s">
        <v>1320</v>
      </c>
      <c r="B191" s="21"/>
      <c r="C191" s="21"/>
      <c r="D191" s="4"/>
      <c r="E191" s="4"/>
      <c r="F191" s="24"/>
      <c r="G191" s="24"/>
      <c r="H191" s="24"/>
      <c r="I191" s="24"/>
      <c r="J191" s="24"/>
    </row>
    <row r="192" spans="1:10" x14ac:dyDescent="0.35">
      <c r="A192" t="s">
        <v>1321</v>
      </c>
      <c r="B192" s="21"/>
      <c r="C192" s="21"/>
      <c r="D192" s="4"/>
      <c r="E192" s="4"/>
      <c r="F192" s="24"/>
      <c r="G192" s="24"/>
      <c r="H192" s="24"/>
      <c r="I192" s="24"/>
      <c r="J192" s="24"/>
    </row>
    <row r="193" spans="1:10" x14ac:dyDescent="0.35">
      <c r="A193" t="s">
        <v>1322</v>
      </c>
      <c r="B193" s="21"/>
      <c r="C193" s="21"/>
      <c r="D193" s="4"/>
      <c r="E193" s="4"/>
      <c r="F193" s="24"/>
      <c r="G193" s="24"/>
      <c r="H193" s="24"/>
      <c r="I193" s="24"/>
      <c r="J193" s="24"/>
    </row>
    <row r="194" spans="1:10" x14ac:dyDescent="0.35">
      <c r="A194" t="s">
        <v>1323</v>
      </c>
      <c r="B194" s="21"/>
      <c r="C194" s="21"/>
      <c r="D194" s="4"/>
      <c r="E194" s="4"/>
      <c r="F194" s="24"/>
      <c r="G194" s="24"/>
      <c r="H194" s="24"/>
      <c r="I194" s="24"/>
      <c r="J194" s="24"/>
    </row>
    <row r="195" spans="1:10" x14ac:dyDescent="0.35">
      <c r="A195" t="s">
        <v>1324</v>
      </c>
      <c r="B195" s="21"/>
      <c r="C195" s="21"/>
      <c r="D195" s="4"/>
      <c r="E195" s="4"/>
      <c r="F195" s="24"/>
      <c r="G195" s="24"/>
      <c r="H195" s="24"/>
      <c r="I195" s="24"/>
      <c r="J195" s="24"/>
    </row>
    <row r="196" spans="1:10" x14ac:dyDescent="0.35">
      <c r="A196" t="s">
        <v>1325</v>
      </c>
      <c r="B196" s="21"/>
      <c r="C196" s="21"/>
      <c r="D196" s="4"/>
      <c r="E196" s="4"/>
      <c r="F196" s="24"/>
      <c r="G196" s="24"/>
      <c r="H196" s="24"/>
      <c r="I196" s="24"/>
      <c r="J196" s="24"/>
    </row>
    <row r="197" spans="1:10" x14ac:dyDescent="0.35">
      <c r="A197" t="s">
        <v>1326</v>
      </c>
      <c r="B197" s="21"/>
      <c r="C197" s="21"/>
      <c r="D197" s="4"/>
      <c r="E197" s="4"/>
      <c r="F197" s="24"/>
      <c r="G197" s="24"/>
      <c r="H197" s="24"/>
      <c r="I197" s="24"/>
      <c r="J197" s="24"/>
    </row>
    <row r="198" spans="1:10" x14ac:dyDescent="0.35">
      <c r="A198" t="s">
        <v>1327</v>
      </c>
      <c r="B198" s="21"/>
      <c r="C198" s="21"/>
      <c r="D198" s="4"/>
      <c r="E198" s="4"/>
      <c r="F198" s="24"/>
      <c r="G198" s="24"/>
      <c r="H198" s="24"/>
      <c r="I198" s="24"/>
      <c r="J198" s="24"/>
    </row>
    <row r="199" spans="1:10" x14ac:dyDescent="0.35">
      <c r="A199" t="s">
        <v>1328</v>
      </c>
      <c r="B199" s="21"/>
      <c r="C199" s="21"/>
      <c r="D199" s="4"/>
      <c r="E199" s="4"/>
      <c r="F199" s="24"/>
      <c r="G199" s="24"/>
      <c r="H199" s="24"/>
      <c r="I199" s="24"/>
      <c r="J199" s="24"/>
    </row>
    <row r="200" spans="1:10" x14ac:dyDescent="0.35">
      <c r="A200" t="s">
        <v>1329</v>
      </c>
      <c r="B200" s="21"/>
      <c r="C200" s="21"/>
      <c r="D200" s="4"/>
      <c r="E200" s="4"/>
      <c r="F200" s="24"/>
      <c r="G200" s="24"/>
      <c r="H200" s="24"/>
      <c r="I200" s="24"/>
      <c r="J200" s="24"/>
    </row>
    <row r="201" spans="1:10" x14ac:dyDescent="0.35">
      <c r="A201" t="s">
        <v>1330</v>
      </c>
      <c r="B201" s="21"/>
      <c r="C201" s="21"/>
      <c r="D201" s="4"/>
      <c r="E201" s="4"/>
      <c r="F201" s="24"/>
      <c r="G201" s="24"/>
      <c r="H201" s="24"/>
      <c r="I201" s="24"/>
      <c r="J201" s="24"/>
    </row>
    <row r="202" spans="1:10" x14ac:dyDescent="0.35">
      <c r="A202" t="s">
        <v>1331</v>
      </c>
      <c r="B202" s="21"/>
      <c r="C202" s="21"/>
      <c r="D202" s="4"/>
      <c r="E202" s="4"/>
      <c r="F202" s="24"/>
      <c r="G202" s="24"/>
      <c r="H202" s="24"/>
      <c r="I202" s="24"/>
      <c r="J202" s="24"/>
    </row>
    <row r="203" spans="1:10" x14ac:dyDescent="0.35">
      <c r="A203" t="s">
        <v>1332</v>
      </c>
      <c r="B203" s="21"/>
      <c r="C203" s="21"/>
      <c r="D203" s="4"/>
      <c r="E203" s="4"/>
      <c r="F203" s="24"/>
      <c r="G203" s="24"/>
      <c r="H203" s="24"/>
      <c r="I203" s="24"/>
      <c r="J203" s="24"/>
    </row>
    <row r="204" spans="1:10" x14ac:dyDescent="0.35">
      <c r="A204" t="s">
        <v>1333</v>
      </c>
      <c r="B204" s="21"/>
      <c r="C204" s="21"/>
      <c r="D204" s="4"/>
      <c r="E204" s="4"/>
      <c r="F204" s="24"/>
      <c r="G204" s="24"/>
      <c r="H204" s="24"/>
      <c r="I204" s="24"/>
      <c r="J204" s="24"/>
    </row>
    <row r="205" spans="1:10" x14ac:dyDescent="0.35">
      <c r="A205" t="s">
        <v>1334</v>
      </c>
      <c r="B205" s="21"/>
      <c r="C205" s="21"/>
      <c r="D205" s="4"/>
      <c r="E205" s="4"/>
      <c r="F205" s="24"/>
      <c r="G205" s="24"/>
      <c r="H205" s="24"/>
      <c r="I205" s="24"/>
      <c r="J205" s="24"/>
    </row>
    <row r="206" spans="1:10" x14ac:dyDescent="0.35">
      <c r="A206" t="s">
        <v>1335</v>
      </c>
      <c r="B206" s="21"/>
      <c r="C206" s="21"/>
      <c r="D206" s="4"/>
      <c r="E206" s="4"/>
      <c r="F206" s="24"/>
      <c r="G206" s="24"/>
      <c r="H206" s="24"/>
      <c r="I206" s="24"/>
      <c r="J206" s="24"/>
    </row>
    <row r="207" spans="1:10" x14ac:dyDescent="0.35">
      <c r="A207" t="s">
        <v>1336</v>
      </c>
      <c r="B207" s="21"/>
      <c r="C207" s="21"/>
      <c r="D207" s="4"/>
      <c r="E207" s="4"/>
      <c r="F207" s="24"/>
      <c r="G207" s="24"/>
      <c r="H207" s="24"/>
      <c r="I207" s="24"/>
      <c r="J207" s="24"/>
    </row>
    <row r="208" spans="1:10" x14ac:dyDescent="0.35">
      <c r="A208" t="s">
        <v>1337</v>
      </c>
      <c r="B208" s="21"/>
      <c r="C208" s="21"/>
      <c r="D208" s="4"/>
      <c r="E208" s="4"/>
      <c r="F208" s="24"/>
      <c r="G208" s="24"/>
      <c r="H208" s="24"/>
      <c r="I208" s="24"/>
      <c r="J208" s="24"/>
    </row>
    <row r="209" spans="1:10" x14ac:dyDescent="0.35">
      <c r="A209" t="s">
        <v>1338</v>
      </c>
      <c r="B209" s="21"/>
      <c r="C209" s="21"/>
      <c r="D209" s="4"/>
      <c r="E209" s="4"/>
      <c r="F209" s="24"/>
      <c r="G209" s="24"/>
      <c r="H209" s="24"/>
      <c r="I209" s="24"/>
      <c r="J209" s="24"/>
    </row>
    <row r="210" spans="1:10" x14ac:dyDescent="0.35">
      <c r="A210" t="s">
        <v>1339</v>
      </c>
      <c r="B210" s="21"/>
      <c r="C210" s="21"/>
      <c r="D210" s="4"/>
      <c r="E210" s="4"/>
      <c r="F210" s="24"/>
      <c r="G210" s="24"/>
      <c r="H210" s="24"/>
      <c r="I210" s="24"/>
      <c r="J210" s="24"/>
    </row>
    <row r="211" spans="1:10" x14ac:dyDescent="0.35">
      <c r="A211" t="s">
        <v>1340</v>
      </c>
      <c r="B211" s="21"/>
      <c r="C211" s="21"/>
      <c r="D211" s="4"/>
      <c r="E211" s="4"/>
      <c r="F211" s="24"/>
      <c r="G211" s="24"/>
      <c r="H211" s="24"/>
      <c r="I211" s="24"/>
      <c r="J211" s="24"/>
    </row>
    <row r="212" spans="1:10" x14ac:dyDescent="0.35">
      <c r="A212" t="s">
        <v>1341</v>
      </c>
      <c r="B212" s="21"/>
      <c r="C212" s="21"/>
      <c r="D212" s="4"/>
      <c r="E212" s="4"/>
      <c r="F212" s="24"/>
      <c r="G212" s="24"/>
      <c r="H212" s="24"/>
      <c r="I212" s="24"/>
      <c r="J212" s="24"/>
    </row>
    <row r="213" spans="1:10" x14ac:dyDescent="0.35">
      <c r="A213" t="s">
        <v>1342</v>
      </c>
      <c r="B213" s="21"/>
      <c r="C213" s="21"/>
      <c r="D213" s="4"/>
      <c r="E213" s="4"/>
      <c r="F213" s="24"/>
      <c r="G213" s="24"/>
      <c r="H213" s="24"/>
      <c r="I213" s="24"/>
      <c r="J213" s="24"/>
    </row>
    <row r="214" spans="1:10" x14ac:dyDescent="0.35">
      <c r="A214" t="s">
        <v>1343</v>
      </c>
      <c r="B214" s="21"/>
      <c r="C214" s="21"/>
      <c r="D214" s="4"/>
      <c r="E214" s="4"/>
      <c r="F214" s="24"/>
      <c r="G214" s="24"/>
      <c r="H214" s="24"/>
      <c r="I214" s="24"/>
      <c r="J214" s="24"/>
    </row>
    <row r="215" spans="1:10" x14ac:dyDescent="0.35">
      <c r="A215" t="s">
        <v>1344</v>
      </c>
      <c r="B215" s="21"/>
      <c r="C215" s="21"/>
      <c r="D215" s="4"/>
      <c r="E215" s="4"/>
      <c r="F215" s="24"/>
      <c r="G215" s="24"/>
      <c r="H215" s="24"/>
      <c r="I215" s="24"/>
      <c r="J215" s="24"/>
    </row>
    <row r="216" spans="1:10" x14ac:dyDescent="0.35">
      <c r="A216" t="s">
        <v>1345</v>
      </c>
      <c r="B216" s="21"/>
      <c r="C216" s="21"/>
      <c r="D216" s="4"/>
      <c r="E216" s="4"/>
      <c r="F216" s="24"/>
      <c r="G216" s="24"/>
      <c r="H216" s="24"/>
      <c r="I216" s="24"/>
      <c r="J216" s="24"/>
    </row>
    <row r="217" spans="1:10" x14ac:dyDescent="0.35">
      <c r="A217" t="s">
        <v>1346</v>
      </c>
      <c r="B217" s="21"/>
      <c r="C217" s="21"/>
      <c r="D217" s="4"/>
      <c r="E217" s="4"/>
      <c r="F217" s="24"/>
      <c r="G217" s="24"/>
      <c r="H217" s="24"/>
      <c r="I217" s="24"/>
      <c r="J217" s="24"/>
    </row>
    <row r="218" spans="1:10" x14ac:dyDescent="0.35">
      <c r="A218" t="s">
        <v>1347</v>
      </c>
      <c r="B218" s="21"/>
      <c r="C218" s="21"/>
      <c r="D218" s="4"/>
      <c r="E218" s="4"/>
      <c r="F218" s="24"/>
      <c r="G218" s="24"/>
      <c r="H218" s="24"/>
      <c r="I218" s="24"/>
      <c r="J218" s="24"/>
    </row>
    <row r="219" spans="1:10" x14ac:dyDescent="0.35">
      <c r="A219" t="s">
        <v>1348</v>
      </c>
      <c r="B219" s="21"/>
      <c r="C219" s="21"/>
      <c r="D219" s="4"/>
      <c r="E219" s="4"/>
      <c r="F219" s="24"/>
      <c r="G219" s="24"/>
      <c r="H219" s="24"/>
      <c r="I219" s="24"/>
      <c r="J219" s="24"/>
    </row>
    <row r="220" spans="1:10" x14ac:dyDescent="0.35">
      <c r="A220" t="s">
        <v>1349</v>
      </c>
      <c r="B220" s="21"/>
      <c r="C220" s="21"/>
      <c r="D220" s="4"/>
      <c r="E220" s="4"/>
      <c r="F220" s="24"/>
      <c r="G220" s="24"/>
      <c r="H220" s="24"/>
      <c r="I220" s="24"/>
      <c r="J220" s="24"/>
    </row>
    <row r="221" spans="1:10" x14ac:dyDescent="0.35">
      <c r="A221" t="s">
        <v>1350</v>
      </c>
      <c r="B221" s="21"/>
      <c r="C221" s="21"/>
      <c r="D221" s="4"/>
      <c r="E221" s="4"/>
      <c r="F221" s="24"/>
      <c r="G221" s="24"/>
      <c r="H221" s="24"/>
      <c r="I221" s="24"/>
      <c r="J221" s="24"/>
    </row>
    <row r="222" spans="1:10" x14ac:dyDescent="0.35">
      <c r="A222" t="s">
        <v>1351</v>
      </c>
      <c r="B222" s="21"/>
      <c r="C222" s="21"/>
      <c r="D222" s="4"/>
      <c r="E222" s="4"/>
      <c r="F222" s="24"/>
      <c r="G222" s="24"/>
      <c r="H222" s="24"/>
      <c r="I222" s="24"/>
      <c r="J222" s="24"/>
    </row>
    <row r="223" spans="1:10" x14ac:dyDescent="0.35">
      <c r="A223" t="s">
        <v>1352</v>
      </c>
      <c r="B223" s="21"/>
      <c r="C223" s="21"/>
      <c r="D223" s="4"/>
      <c r="E223" s="4"/>
      <c r="F223" s="24"/>
      <c r="G223" s="24"/>
      <c r="H223" s="24"/>
      <c r="I223" s="24"/>
      <c r="J223" s="24"/>
    </row>
    <row r="224" spans="1:10" x14ac:dyDescent="0.35">
      <c r="A224" t="s">
        <v>1353</v>
      </c>
      <c r="B224" s="21"/>
      <c r="C224" s="21"/>
      <c r="D224" s="4"/>
      <c r="E224" s="4"/>
      <c r="F224" s="24"/>
      <c r="G224" s="24"/>
      <c r="H224" s="24"/>
      <c r="I224" s="24"/>
      <c r="J224" s="24"/>
    </row>
    <row r="225" spans="1:10" x14ac:dyDescent="0.35">
      <c r="A225" t="s">
        <v>1354</v>
      </c>
      <c r="B225" s="21"/>
      <c r="C225" s="21"/>
      <c r="D225" s="4"/>
      <c r="E225" s="4"/>
      <c r="F225" s="24"/>
      <c r="G225" s="24"/>
      <c r="H225" s="24"/>
      <c r="I225" s="24"/>
      <c r="J225" s="24"/>
    </row>
    <row r="226" spans="1:10" x14ac:dyDescent="0.35">
      <c r="A226" t="s">
        <v>1355</v>
      </c>
      <c r="B226" s="21"/>
      <c r="C226" s="21"/>
      <c r="D226" s="4"/>
      <c r="E226" s="4"/>
      <c r="F226" s="24"/>
      <c r="G226" s="24"/>
      <c r="H226" s="24"/>
      <c r="I226" s="24"/>
      <c r="J226" s="24"/>
    </row>
    <row r="227" spans="1:10" x14ac:dyDescent="0.35">
      <c r="A227" t="s">
        <v>1356</v>
      </c>
      <c r="B227" s="21"/>
      <c r="C227" s="21"/>
      <c r="D227" s="4"/>
      <c r="E227" s="4"/>
      <c r="F227" s="24"/>
      <c r="G227" s="24"/>
      <c r="H227" s="24"/>
      <c r="I227" s="24"/>
      <c r="J227" s="24"/>
    </row>
    <row r="228" spans="1:10" x14ac:dyDescent="0.35">
      <c r="A228" t="s">
        <v>1357</v>
      </c>
      <c r="B228" s="21"/>
      <c r="C228" s="21"/>
      <c r="D228" s="4"/>
      <c r="E228" s="4"/>
      <c r="F228" s="24"/>
      <c r="G228" s="24"/>
      <c r="H228" s="24"/>
      <c r="I228" s="24"/>
      <c r="J228" s="24"/>
    </row>
    <row r="229" spans="1:10" x14ac:dyDescent="0.35">
      <c r="A229" t="s">
        <v>1358</v>
      </c>
      <c r="B229" s="21"/>
      <c r="C229" s="21"/>
      <c r="D229" s="4"/>
      <c r="E229" s="4"/>
      <c r="F229" s="24"/>
      <c r="G229" s="24"/>
      <c r="H229" s="24"/>
      <c r="I229" s="24"/>
      <c r="J229" s="24"/>
    </row>
    <row r="230" spans="1:10" x14ac:dyDescent="0.35">
      <c r="A230" t="s">
        <v>1359</v>
      </c>
      <c r="B230" s="21"/>
      <c r="C230" s="21"/>
      <c r="D230" s="4"/>
      <c r="E230" s="4"/>
      <c r="F230" s="24"/>
      <c r="G230" s="24"/>
      <c r="H230" s="24"/>
      <c r="I230" s="24"/>
      <c r="J230" s="24"/>
    </row>
    <row r="231" spans="1:10" x14ac:dyDescent="0.35">
      <c r="A231" t="s">
        <v>1360</v>
      </c>
      <c r="B231" s="21"/>
      <c r="C231" s="21"/>
      <c r="D231" s="4"/>
      <c r="E231" s="4"/>
      <c r="F231" s="24"/>
      <c r="G231" s="24"/>
      <c r="H231" s="24"/>
      <c r="I231" s="24"/>
      <c r="J231" s="24"/>
    </row>
    <row r="232" spans="1:10" x14ac:dyDescent="0.35">
      <c r="A232" t="s">
        <v>1361</v>
      </c>
      <c r="B232" s="21"/>
      <c r="C232" s="21"/>
      <c r="D232" s="4"/>
      <c r="E232" s="4"/>
      <c r="F232" s="24"/>
      <c r="G232" s="24"/>
      <c r="H232" s="24"/>
      <c r="I232" s="24"/>
      <c r="J232" s="24"/>
    </row>
    <row r="233" spans="1:10" x14ac:dyDescent="0.35">
      <c r="A233" t="s">
        <v>1362</v>
      </c>
      <c r="B233" s="21"/>
      <c r="C233" s="21"/>
      <c r="D233" s="4"/>
      <c r="E233" s="4"/>
      <c r="F233" s="24"/>
      <c r="G233" s="24"/>
      <c r="H233" s="24"/>
      <c r="I233" s="24"/>
      <c r="J233" s="24"/>
    </row>
    <row r="234" spans="1:10" x14ac:dyDescent="0.35">
      <c r="A234" t="s">
        <v>1363</v>
      </c>
      <c r="B234" s="21"/>
      <c r="C234" s="21"/>
      <c r="D234" s="4"/>
      <c r="E234" s="4"/>
      <c r="F234" s="24"/>
      <c r="G234" s="24"/>
      <c r="H234" s="24"/>
      <c r="I234" s="24"/>
      <c r="J234" s="24"/>
    </row>
    <row r="235" spans="1:10" x14ac:dyDescent="0.35">
      <c r="A235" t="s">
        <v>1364</v>
      </c>
      <c r="B235" s="21"/>
      <c r="C235" s="21"/>
      <c r="D235" s="4"/>
      <c r="E235" s="4"/>
      <c r="F235" s="24"/>
      <c r="G235" s="24"/>
      <c r="H235" s="24"/>
      <c r="I235" s="24"/>
      <c r="J235" s="24"/>
    </row>
    <row r="236" spans="1:10" x14ac:dyDescent="0.35">
      <c r="A236" t="s">
        <v>1365</v>
      </c>
      <c r="B236" s="21"/>
      <c r="C236" s="21"/>
      <c r="D236" s="4"/>
      <c r="E236" s="4"/>
      <c r="F236" s="24"/>
      <c r="G236" s="24"/>
      <c r="H236" s="24"/>
      <c r="I236" s="24"/>
      <c r="J236" s="24"/>
    </row>
    <row r="237" spans="1:10" x14ac:dyDescent="0.35">
      <c r="A237" t="s">
        <v>1366</v>
      </c>
      <c r="B237" s="21"/>
      <c r="C237" s="21"/>
      <c r="D237" s="4"/>
      <c r="E237" s="4"/>
      <c r="F237" s="24"/>
      <c r="G237" s="24"/>
      <c r="H237" s="24"/>
      <c r="I237" s="24"/>
      <c r="J237" s="24"/>
    </row>
    <row r="238" spans="1:10" x14ac:dyDescent="0.35">
      <c r="A238" t="s">
        <v>1367</v>
      </c>
      <c r="B238" s="21"/>
      <c r="C238" s="21"/>
      <c r="D238" s="4"/>
      <c r="E238" s="4"/>
      <c r="F238" s="24"/>
      <c r="G238" s="24"/>
      <c r="H238" s="24"/>
      <c r="I238" s="24"/>
      <c r="J238" s="24"/>
    </row>
    <row r="239" spans="1:10" x14ac:dyDescent="0.35">
      <c r="A239" t="s">
        <v>1368</v>
      </c>
      <c r="B239" s="21"/>
      <c r="C239" s="21"/>
      <c r="D239" s="4"/>
      <c r="E239" s="4"/>
      <c r="F239" s="24"/>
      <c r="G239" s="24"/>
      <c r="H239" s="24"/>
      <c r="I239" s="24"/>
      <c r="J239" s="24"/>
    </row>
    <row r="240" spans="1:10" x14ac:dyDescent="0.35">
      <c r="A240" t="s">
        <v>1369</v>
      </c>
      <c r="B240" s="21"/>
      <c r="C240" s="21"/>
      <c r="D240" s="4"/>
      <c r="E240" s="4"/>
      <c r="F240" s="24"/>
      <c r="G240" s="24"/>
      <c r="H240" s="24"/>
      <c r="I240" s="24"/>
      <c r="J240" s="24"/>
    </row>
    <row r="241" spans="1:10" x14ac:dyDescent="0.35">
      <c r="A241" t="s">
        <v>1370</v>
      </c>
      <c r="B241" s="21"/>
      <c r="C241" s="21"/>
      <c r="D241" s="4"/>
      <c r="E241" s="4"/>
      <c r="F241" s="24"/>
      <c r="G241" s="24"/>
      <c r="H241" s="24"/>
      <c r="I241" s="24"/>
      <c r="J241" s="24"/>
    </row>
    <row r="242" spans="1:10" x14ac:dyDescent="0.35">
      <c r="A242" t="s">
        <v>1371</v>
      </c>
      <c r="B242" s="21"/>
      <c r="C242" s="21"/>
      <c r="D242" s="4"/>
      <c r="E242" s="4"/>
      <c r="F242" s="24"/>
      <c r="G242" s="24"/>
      <c r="H242" s="24"/>
      <c r="I242" s="24"/>
      <c r="J242" s="24"/>
    </row>
    <row r="243" spans="1:10" x14ac:dyDescent="0.35">
      <c r="A243" t="s">
        <v>1372</v>
      </c>
      <c r="B243" s="21"/>
      <c r="C243" s="21"/>
      <c r="D243" s="4"/>
      <c r="E243" s="4"/>
      <c r="F243" s="24"/>
      <c r="G243" s="24"/>
      <c r="H243" s="24"/>
      <c r="I243" s="24"/>
      <c r="J243" s="24"/>
    </row>
    <row r="244" spans="1:10" x14ac:dyDescent="0.35">
      <c r="A244" t="s">
        <v>1373</v>
      </c>
      <c r="B244" s="21"/>
      <c r="C244" s="21"/>
      <c r="D244" s="4"/>
      <c r="E244" s="4"/>
      <c r="F244" s="24"/>
      <c r="G244" s="24"/>
      <c r="H244" s="24"/>
      <c r="I244" s="24"/>
      <c r="J244" s="24"/>
    </row>
    <row r="245" spans="1:10" x14ac:dyDescent="0.35">
      <c r="A245" t="s">
        <v>1374</v>
      </c>
      <c r="B245" s="21"/>
      <c r="C245" s="21"/>
      <c r="D245" s="4"/>
      <c r="E245" s="4"/>
      <c r="F245" s="24"/>
      <c r="G245" s="24"/>
      <c r="H245" s="24"/>
      <c r="I245" s="24"/>
      <c r="J245" s="24"/>
    </row>
    <row r="246" spans="1:10" x14ac:dyDescent="0.35">
      <c r="A246" t="s">
        <v>1375</v>
      </c>
      <c r="B246" s="21"/>
      <c r="C246" s="21"/>
      <c r="D246" s="4"/>
      <c r="E246" s="4"/>
      <c r="F246" s="24"/>
      <c r="G246" s="24"/>
      <c r="H246" s="24"/>
      <c r="I246" s="24"/>
      <c r="J246" s="24"/>
    </row>
    <row r="247" spans="1:10" x14ac:dyDescent="0.35">
      <c r="A247" t="s">
        <v>1376</v>
      </c>
      <c r="B247" s="21"/>
      <c r="C247" s="21"/>
      <c r="D247" s="4"/>
      <c r="E247" s="4"/>
      <c r="F247" s="24"/>
      <c r="G247" s="24"/>
      <c r="H247" s="24"/>
      <c r="I247" s="24"/>
      <c r="J247" s="24"/>
    </row>
    <row r="248" spans="1:10" x14ac:dyDescent="0.35">
      <c r="A248" t="s">
        <v>1377</v>
      </c>
      <c r="B248" s="21"/>
      <c r="C248" s="21"/>
      <c r="D248" s="4"/>
      <c r="E248" s="4"/>
      <c r="F248" s="24"/>
      <c r="G248" s="24"/>
      <c r="H248" s="24"/>
      <c r="I248" s="24"/>
      <c r="J248" s="24"/>
    </row>
    <row r="249" spans="1:10" x14ac:dyDescent="0.35">
      <c r="A249" t="s">
        <v>1378</v>
      </c>
      <c r="B249" s="21"/>
      <c r="C249" s="21"/>
      <c r="D249" s="4"/>
      <c r="E249" s="4"/>
      <c r="F249" s="24"/>
      <c r="G249" s="24"/>
      <c r="H249" s="24"/>
      <c r="I249" s="24"/>
      <c r="J249" s="24"/>
    </row>
    <row r="250" spans="1:10" x14ac:dyDescent="0.35">
      <c r="A250" t="s">
        <v>1379</v>
      </c>
      <c r="B250" s="21"/>
      <c r="C250" s="21"/>
      <c r="D250" s="4"/>
      <c r="E250" s="4"/>
      <c r="F250" s="24"/>
      <c r="G250" s="24"/>
      <c r="H250" s="24"/>
      <c r="I250" s="24"/>
      <c r="J250" s="24"/>
    </row>
    <row r="251" spans="1:10" x14ac:dyDescent="0.35">
      <c r="A251" t="s">
        <v>1380</v>
      </c>
      <c r="B251" s="21"/>
      <c r="C251" s="21"/>
      <c r="D251" s="4"/>
      <c r="E251" s="4"/>
      <c r="F251" s="24"/>
      <c r="G251" s="24"/>
      <c r="H251" s="24"/>
      <c r="I251" s="24"/>
      <c r="J251" s="24"/>
    </row>
    <row r="252" spans="1:10" x14ac:dyDescent="0.35">
      <c r="A252" t="s">
        <v>1381</v>
      </c>
      <c r="B252" s="21"/>
      <c r="C252" s="21"/>
      <c r="D252" s="4"/>
      <c r="E252" s="4"/>
      <c r="F252" s="24"/>
      <c r="G252" s="24"/>
      <c r="H252" s="24"/>
      <c r="I252" s="24"/>
      <c r="J252" s="24"/>
    </row>
    <row r="253" spans="1:10" x14ac:dyDescent="0.35">
      <c r="A253" t="s">
        <v>1382</v>
      </c>
      <c r="B253" s="21"/>
      <c r="C253" s="21"/>
      <c r="D253" s="4"/>
      <c r="E253" s="4"/>
      <c r="F253" s="24"/>
      <c r="G253" s="24"/>
      <c r="H253" s="24"/>
      <c r="I253" s="24"/>
      <c r="J253" s="24"/>
    </row>
    <row r="254" spans="1:10" x14ac:dyDescent="0.35">
      <c r="A254" t="s">
        <v>1383</v>
      </c>
      <c r="B254" s="21"/>
      <c r="C254" s="21"/>
      <c r="D254" s="4"/>
      <c r="E254" s="4"/>
      <c r="F254" s="24"/>
      <c r="G254" s="24"/>
      <c r="H254" s="24"/>
      <c r="I254" s="24"/>
      <c r="J254" s="24"/>
    </row>
    <row r="255" spans="1:10" x14ac:dyDescent="0.35">
      <c r="A255" t="s">
        <v>1384</v>
      </c>
      <c r="B255" s="21"/>
      <c r="C255" s="21"/>
      <c r="D255" s="4"/>
      <c r="E255" s="4"/>
      <c r="F255" s="24"/>
      <c r="G255" s="24"/>
      <c r="H255" s="24"/>
      <c r="I255" s="24"/>
      <c r="J255" s="24"/>
    </row>
    <row r="256" spans="1:10" x14ac:dyDescent="0.35">
      <c r="A256" t="s">
        <v>1385</v>
      </c>
      <c r="B256" s="21"/>
      <c r="C256" s="21"/>
      <c r="D256" s="4"/>
      <c r="E256" s="4"/>
      <c r="F256" s="24"/>
      <c r="G256" s="24"/>
      <c r="H256" s="24"/>
      <c r="I256" s="24"/>
      <c r="J256" s="24"/>
    </row>
    <row r="257" spans="1:10" x14ac:dyDescent="0.35">
      <c r="A257" t="s">
        <v>1386</v>
      </c>
      <c r="B257" s="21"/>
      <c r="C257" s="21"/>
      <c r="D257" s="4"/>
      <c r="E257" s="4"/>
      <c r="F257" s="24"/>
      <c r="G257" s="24"/>
      <c r="H257" s="24"/>
      <c r="I257" s="24"/>
      <c r="J257" s="24"/>
    </row>
    <row r="258" spans="1:10" x14ac:dyDescent="0.35">
      <c r="A258" t="s">
        <v>1387</v>
      </c>
      <c r="B258" s="21"/>
      <c r="C258" s="21"/>
      <c r="D258" s="4"/>
      <c r="E258" s="4"/>
      <c r="F258" s="24"/>
      <c r="G258" s="24"/>
      <c r="H258" s="24"/>
      <c r="I258" s="24"/>
      <c r="J258" s="24"/>
    </row>
    <row r="259" spans="1:10" x14ac:dyDescent="0.35">
      <c r="A259" t="s">
        <v>1388</v>
      </c>
      <c r="B259" s="21"/>
      <c r="C259" s="21"/>
      <c r="D259" s="4"/>
      <c r="E259" s="4"/>
      <c r="F259" s="24"/>
      <c r="G259" s="24"/>
      <c r="H259" s="24"/>
      <c r="I259" s="24"/>
      <c r="J259" s="24"/>
    </row>
    <row r="260" spans="1:10" x14ac:dyDescent="0.35">
      <c r="A260" t="s">
        <v>1389</v>
      </c>
      <c r="B260" s="21"/>
      <c r="C260" s="21"/>
      <c r="D260" s="4"/>
      <c r="E260" s="4"/>
      <c r="F260" s="24"/>
      <c r="G260" s="24"/>
      <c r="H260" s="24"/>
      <c r="I260" s="24"/>
      <c r="J260" s="24"/>
    </row>
    <row r="261" spans="1:10" x14ac:dyDescent="0.35">
      <c r="A261" t="s">
        <v>1390</v>
      </c>
      <c r="B261" s="21"/>
      <c r="C261" s="21"/>
      <c r="D261" s="4"/>
      <c r="E261" s="4"/>
      <c r="F261" s="24"/>
      <c r="G261" s="24"/>
      <c r="H261" s="24"/>
      <c r="I261" s="24"/>
      <c r="J261" s="24"/>
    </row>
    <row r="262" spans="1:10" x14ac:dyDescent="0.35">
      <c r="A262" t="s">
        <v>1391</v>
      </c>
      <c r="B262" s="21"/>
      <c r="C262" s="21"/>
      <c r="D262" s="4"/>
      <c r="E262" s="4"/>
      <c r="F262" s="24"/>
      <c r="G262" s="24"/>
      <c r="H262" s="24"/>
      <c r="I262" s="24"/>
      <c r="J262" s="24"/>
    </row>
    <row r="263" spans="1:10" x14ac:dyDescent="0.35">
      <c r="A263" t="s">
        <v>1392</v>
      </c>
      <c r="B263" s="21"/>
      <c r="C263" s="21"/>
      <c r="D263" s="4"/>
      <c r="E263" s="4"/>
      <c r="F263" s="24"/>
      <c r="G263" s="24"/>
      <c r="H263" s="24"/>
      <c r="I263" s="24"/>
      <c r="J263" s="24"/>
    </row>
    <row r="264" spans="1:10" x14ac:dyDescent="0.35">
      <c r="A264" t="s">
        <v>1393</v>
      </c>
      <c r="B264" s="21"/>
      <c r="C264" s="21"/>
      <c r="D264" s="4"/>
      <c r="E264" s="4"/>
      <c r="F264" s="24"/>
      <c r="G264" s="24"/>
      <c r="H264" s="24"/>
      <c r="I264" s="24"/>
      <c r="J264" s="24"/>
    </row>
    <row r="265" spans="1:10" x14ac:dyDescent="0.35">
      <c r="A265" t="s">
        <v>1394</v>
      </c>
      <c r="B265" s="21"/>
      <c r="C265" s="21"/>
      <c r="D265" s="4"/>
      <c r="E265" s="4"/>
      <c r="F265" s="24"/>
      <c r="G265" s="24"/>
      <c r="H265" s="24"/>
      <c r="I265" s="24"/>
      <c r="J265" s="24"/>
    </row>
    <row r="266" spans="1:10" x14ac:dyDescent="0.35">
      <c r="A266" t="s">
        <v>1395</v>
      </c>
      <c r="B266" s="21"/>
      <c r="C266" s="21"/>
      <c r="D266" s="4"/>
      <c r="E266" s="4"/>
      <c r="F266" s="24"/>
      <c r="G266" s="24"/>
      <c r="H266" s="24"/>
      <c r="I266" s="24"/>
      <c r="J266" s="24"/>
    </row>
    <row r="267" spans="1:10" x14ac:dyDescent="0.35">
      <c r="A267" t="s">
        <v>1396</v>
      </c>
      <c r="B267" s="21"/>
      <c r="C267" s="21"/>
      <c r="D267" s="4"/>
      <c r="E267" s="4"/>
      <c r="F267" s="24"/>
      <c r="G267" s="24"/>
      <c r="H267" s="24"/>
      <c r="I267" s="24"/>
      <c r="J267" s="24"/>
    </row>
    <row r="268" spans="1:10" x14ac:dyDescent="0.35">
      <c r="A268" t="s">
        <v>1397</v>
      </c>
      <c r="B268" s="21"/>
      <c r="C268" s="21"/>
      <c r="D268" s="4"/>
      <c r="E268" s="4"/>
      <c r="F268" s="24"/>
      <c r="G268" s="24"/>
      <c r="H268" s="24"/>
      <c r="I268" s="24"/>
      <c r="J268" s="24"/>
    </row>
    <row r="269" spans="1:10" x14ac:dyDescent="0.35">
      <c r="A269" t="s">
        <v>1398</v>
      </c>
      <c r="B269" s="21"/>
      <c r="C269" s="21"/>
      <c r="D269" s="4"/>
      <c r="E269" s="4"/>
      <c r="F269" s="24"/>
      <c r="G269" s="24"/>
      <c r="H269" s="24"/>
      <c r="I269" s="24"/>
      <c r="J269" s="24"/>
    </row>
    <row r="270" spans="1:10" x14ac:dyDescent="0.35">
      <c r="A270" t="s">
        <v>1399</v>
      </c>
      <c r="B270" s="21"/>
      <c r="C270" s="21"/>
      <c r="D270" s="4"/>
      <c r="E270" s="4"/>
      <c r="F270" s="24"/>
      <c r="G270" s="24"/>
      <c r="H270" s="24"/>
      <c r="I270" s="24"/>
      <c r="J270" s="24"/>
    </row>
    <row r="271" spans="1:10" x14ac:dyDescent="0.35">
      <c r="A271" t="s">
        <v>1400</v>
      </c>
      <c r="B271" s="21"/>
      <c r="C271" s="21"/>
      <c r="D271" s="4"/>
      <c r="E271" s="4"/>
      <c r="F271" s="24"/>
      <c r="G271" s="24"/>
      <c r="H271" s="24"/>
      <c r="I271" s="24"/>
      <c r="J271" s="24"/>
    </row>
    <row r="272" spans="1:10" x14ac:dyDescent="0.35">
      <c r="A272" t="s">
        <v>1401</v>
      </c>
      <c r="B272" s="21"/>
      <c r="C272" s="21"/>
      <c r="D272" s="4"/>
      <c r="E272" s="4"/>
      <c r="F272" s="24"/>
      <c r="G272" s="24"/>
      <c r="H272" s="24"/>
      <c r="I272" s="24"/>
      <c r="J272" s="24"/>
    </row>
    <row r="273" spans="1:10" x14ac:dyDescent="0.35">
      <c r="A273" t="s">
        <v>1402</v>
      </c>
      <c r="B273" s="21"/>
      <c r="C273" s="21"/>
      <c r="D273" s="4"/>
      <c r="E273" s="4"/>
      <c r="F273" s="24"/>
      <c r="G273" s="24"/>
      <c r="H273" s="24"/>
      <c r="I273" s="24"/>
      <c r="J273" s="24"/>
    </row>
    <row r="274" spans="1:10" x14ac:dyDescent="0.35">
      <c r="A274" t="s">
        <v>1403</v>
      </c>
      <c r="B274" s="21"/>
      <c r="C274" s="21"/>
      <c r="D274" s="4"/>
      <c r="E274" s="4"/>
      <c r="F274" s="24"/>
      <c r="G274" s="24"/>
      <c r="H274" s="24"/>
      <c r="I274" s="24"/>
      <c r="J274" s="24"/>
    </row>
    <row r="275" spans="1:10" x14ac:dyDescent="0.35">
      <c r="A275" t="s">
        <v>1404</v>
      </c>
      <c r="B275" s="21"/>
      <c r="C275" s="21"/>
      <c r="D275" s="4"/>
      <c r="E275" s="4"/>
      <c r="F275" s="24"/>
      <c r="G275" s="24"/>
      <c r="H275" s="24"/>
      <c r="I275" s="24"/>
      <c r="J275" s="24"/>
    </row>
    <row r="276" spans="1:10" x14ac:dyDescent="0.35">
      <c r="A276" t="s">
        <v>1405</v>
      </c>
      <c r="B276" s="21"/>
      <c r="C276" s="21"/>
      <c r="D276" s="4"/>
      <c r="E276" s="4"/>
      <c r="F276" s="24"/>
      <c r="G276" s="24"/>
      <c r="H276" s="24"/>
      <c r="I276" s="24"/>
      <c r="J276" s="24"/>
    </row>
    <row r="277" spans="1:10" x14ac:dyDescent="0.35">
      <c r="A277" t="s">
        <v>1406</v>
      </c>
      <c r="B277" s="21"/>
      <c r="C277" s="21"/>
      <c r="D277" s="4"/>
      <c r="E277" s="4"/>
      <c r="F277" s="24"/>
      <c r="G277" s="24"/>
      <c r="H277" s="24"/>
      <c r="I277" s="24"/>
      <c r="J277" s="24"/>
    </row>
    <row r="278" spans="1:10" x14ac:dyDescent="0.35">
      <c r="A278" t="s">
        <v>1407</v>
      </c>
      <c r="B278" s="21"/>
      <c r="C278" s="21"/>
      <c r="D278" s="4"/>
      <c r="E278" s="4"/>
      <c r="F278" s="24"/>
      <c r="G278" s="24"/>
      <c r="H278" s="24"/>
      <c r="I278" s="24"/>
      <c r="J278" s="24"/>
    </row>
    <row r="279" spans="1:10" x14ac:dyDescent="0.35">
      <c r="A279" t="s">
        <v>1408</v>
      </c>
      <c r="B279" s="21"/>
      <c r="C279" s="21"/>
      <c r="D279" s="4"/>
      <c r="E279" s="4"/>
      <c r="F279" s="24"/>
      <c r="G279" s="24"/>
      <c r="H279" s="24"/>
      <c r="I279" s="24"/>
      <c r="J279" s="24"/>
    </row>
    <row r="280" spans="1:10" x14ac:dyDescent="0.35">
      <c r="A280" t="s">
        <v>1409</v>
      </c>
      <c r="B280" s="21"/>
      <c r="C280" s="21"/>
      <c r="D280" s="4"/>
      <c r="E280" s="4"/>
      <c r="F280" s="24"/>
      <c r="G280" s="24"/>
      <c r="H280" s="24"/>
      <c r="I280" s="24"/>
      <c r="J280" s="24"/>
    </row>
    <row r="281" spans="1:10" x14ac:dyDescent="0.35">
      <c r="A281" t="s">
        <v>1410</v>
      </c>
      <c r="B281" s="21"/>
      <c r="C281" s="21"/>
      <c r="D281" s="4"/>
      <c r="E281" s="4"/>
      <c r="F281" s="24"/>
      <c r="G281" s="24"/>
      <c r="H281" s="24"/>
      <c r="I281" s="24"/>
      <c r="J281" s="24"/>
    </row>
    <row r="282" spans="1:10" x14ac:dyDescent="0.35">
      <c r="A282" t="s">
        <v>1411</v>
      </c>
      <c r="B282" s="21"/>
      <c r="C282" s="21"/>
      <c r="D282" s="4"/>
      <c r="E282" s="4"/>
      <c r="F282" s="24"/>
      <c r="G282" s="24"/>
      <c r="H282" s="24"/>
      <c r="I282" s="24"/>
      <c r="J282" s="24"/>
    </row>
    <row r="283" spans="1:10" x14ac:dyDescent="0.35">
      <c r="A283" t="s">
        <v>1412</v>
      </c>
      <c r="B283" s="21"/>
      <c r="C283" s="21"/>
      <c r="D283" s="4"/>
      <c r="E283" s="4"/>
      <c r="F283" s="24"/>
      <c r="G283" s="24"/>
      <c r="H283" s="24"/>
      <c r="I283" s="24"/>
      <c r="J283" s="24"/>
    </row>
    <row r="284" spans="1:10" x14ac:dyDescent="0.35">
      <c r="A284" t="s">
        <v>1413</v>
      </c>
      <c r="B284" s="21"/>
      <c r="C284" s="21"/>
      <c r="D284" s="4"/>
      <c r="E284" s="4"/>
      <c r="F284" s="24"/>
      <c r="G284" s="24"/>
      <c r="H284" s="24"/>
      <c r="I284" s="24"/>
      <c r="J284" s="24"/>
    </row>
    <row r="285" spans="1:10" x14ac:dyDescent="0.35">
      <c r="A285" t="s">
        <v>1414</v>
      </c>
      <c r="B285" s="21"/>
      <c r="C285" s="21"/>
      <c r="D285" s="4"/>
      <c r="E285" s="4"/>
      <c r="F285" s="24"/>
      <c r="G285" s="24"/>
      <c r="H285" s="24"/>
      <c r="I285" s="24"/>
      <c r="J285" s="24"/>
    </row>
    <row r="286" spans="1:10" x14ac:dyDescent="0.35">
      <c r="A286" t="s">
        <v>1415</v>
      </c>
      <c r="B286" s="21"/>
      <c r="C286" s="21"/>
      <c r="D286" s="4"/>
      <c r="E286" s="4"/>
      <c r="F286" s="24"/>
      <c r="G286" s="24"/>
      <c r="H286" s="24"/>
      <c r="I286" s="24"/>
      <c r="J286" s="24"/>
    </row>
    <row r="287" spans="1:10" x14ac:dyDescent="0.35">
      <c r="A287" t="s">
        <v>1416</v>
      </c>
      <c r="B287" s="21"/>
      <c r="C287" s="21"/>
      <c r="D287" s="4"/>
      <c r="E287" s="4"/>
      <c r="F287" s="24"/>
      <c r="G287" s="24"/>
      <c r="H287" s="24"/>
      <c r="I287" s="24"/>
      <c r="J287" s="24"/>
    </row>
    <row r="288" spans="1:10" x14ac:dyDescent="0.35">
      <c r="A288" t="s">
        <v>1417</v>
      </c>
      <c r="B288" s="21"/>
      <c r="C288" s="21"/>
      <c r="D288" s="4"/>
      <c r="E288" s="4"/>
      <c r="F288" s="24"/>
      <c r="G288" s="24"/>
      <c r="H288" s="24"/>
      <c r="I288" s="24"/>
      <c r="J288" s="24"/>
    </row>
    <row r="289" spans="1:10" x14ac:dyDescent="0.35">
      <c r="A289" t="s">
        <v>1418</v>
      </c>
      <c r="B289" s="21"/>
      <c r="C289" s="21"/>
      <c r="D289" s="4"/>
      <c r="E289" s="4"/>
      <c r="F289" s="24"/>
      <c r="G289" s="24"/>
      <c r="H289" s="24"/>
      <c r="I289" s="24"/>
      <c r="J289" s="24"/>
    </row>
    <row r="290" spans="1:10" x14ac:dyDescent="0.35">
      <c r="A290" t="s">
        <v>1419</v>
      </c>
      <c r="B290" s="21"/>
      <c r="C290" s="21"/>
      <c r="D290" s="4"/>
      <c r="E290" s="4"/>
      <c r="F290" s="24"/>
      <c r="G290" s="24"/>
      <c r="H290" s="24"/>
      <c r="I290" s="24"/>
      <c r="J290" s="24"/>
    </row>
    <row r="291" spans="1:10" x14ac:dyDescent="0.35">
      <c r="A291" t="s">
        <v>1420</v>
      </c>
      <c r="B291" s="21"/>
      <c r="C291" s="21"/>
      <c r="D291" s="4"/>
      <c r="E291" s="4"/>
      <c r="F291" s="24"/>
      <c r="G291" s="24"/>
      <c r="H291" s="24"/>
      <c r="I291" s="24"/>
      <c r="J291" s="24"/>
    </row>
    <row r="292" spans="1:10" x14ac:dyDescent="0.35">
      <c r="A292" t="s">
        <v>1421</v>
      </c>
      <c r="B292" s="21"/>
      <c r="C292" s="21"/>
      <c r="D292" s="4"/>
      <c r="E292" s="4"/>
      <c r="F292" s="24"/>
      <c r="G292" s="24"/>
      <c r="H292" s="24"/>
      <c r="I292" s="24"/>
      <c r="J292" s="24"/>
    </row>
    <row r="293" spans="1:10" x14ac:dyDescent="0.35">
      <c r="A293" t="s">
        <v>1422</v>
      </c>
      <c r="B293" s="21"/>
      <c r="C293" s="21"/>
      <c r="D293" s="4"/>
      <c r="E293" s="4"/>
      <c r="F293" s="24"/>
      <c r="G293" s="24"/>
      <c r="H293" s="24"/>
      <c r="I293" s="24"/>
      <c r="J293" s="24"/>
    </row>
    <row r="294" spans="1:10" x14ac:dyDescent="0.35">
      <c r="A294" t="s">
        <v>1423</v>
      </c>
      <c r="B294" s="21"/>
      <c r="C294" s="21"/>
      <c r="D294" s="4"/>
      <c r="E294" s="4"/>
      <c r="F294" s="24"/>
      <c r="G294" s="24"/>
      <c r="H294" s="24"/>
      <c r="I294" s="24"/>
      <c r="J294" s="24"/>
    </row>
    <row r="295" spans="1:10" x14ac:dyDescent="0.35">
      <c r="A295" t="s">
        <v>1424</v>
      </c>
      <c r="B295" s="21"/>
      <c r="C295" s="21"/>
      <c r="D295" s="4"/>
      <c r="E295" s="4"/>
      <c r="F295" s="24"/>
      <c r="G295" s="24"/>
      <c r="H295" s="24"/>
      <c r="I295" s="24"/>
      <c r="J295" s="24"/>
    </row>
    <row r="296" spans="1:10" x14ac:dyDescent="0.35">
      <c r="A296" t="s">
        <v>1425</v>
      </c>
      <c r="B296" s="21"/>
      <c r="C296" s="21"/>
      <c r="D296" s="4"/>
      <c r="E296" s="4"/>
      <c r="F296" s="24"/>
      <c r="G296" s="24"/>
      <c r="H296" s="24"/>
      <c r="I296" s="24"/>
      <c r="J296" s="24"/>
    </row>
    <row r="297" spans="1:10" x14ac:dyDescent="0.35">
      <c r="A297" t="s">
        <v>1426</v>
      </c>
      <c r="B297" s="21"/>
      <c r="C297" s="21"/>
      <c r="D297" s="4"/>
      <c r="E297" s="4"/>
      <c r="F297" s="24"/>
      <c r="G297" s="24"/>
      <c r="H297" s="24"/>
      <c r="I297" s="24"/>
      <c r="J297" s="24"/>
    </row>
    <row r="298" spans="1:10" x14ac:dyDescent="0.35">
      <c r="A298" t="s">
        <v>1427</v>
      </c>
      <c r="B298" s="21"/>
      <c r="C298" s="21"/>
      <c r="D298" s="4"/>
      <c r="E298" s="4"/>
      <c r="F298" s="24"/>
      <c r="G298" s="24"/>
      <c r="H298" s="24"/>
      <c r="I298" s="24"/>
      <c r="J298" s="24"/>
    </row>
    <row r="299" spans="1:10" x14ac:dyDescent="0.35">
      <c r="A299" t="s">
        <v>1428</v>
      </c>
      <c r="B299" s="21"/>
      <c r="C299" s="21"/>
      <c r="D299" s="4"/>
      <c r="E299" s="4"/>
      <c r="F299" s="24"/>
      <c r="G299" s="24"/>
      <c r="H299" s="24"/>
      <c r="I299" s="24"/>
      <c r="J299" s="24"/>
    </row>
    <row r="300" spans="1:10" x14ac:dyDescent="0.35">
      <c r="A300" t="s">
        <v>1429</v>
      </c>
      <c r="B300" s="21"/>
      <c r="C300" s="21"/>
      <c r="D300" s="4"/>
      <c r="E300" s="4"/>
      <c r="F300" s="24"/>
      <c r="G300" s="24"/>
      <c r="H300" s="24"/>
      <c r="I300" s="24"/>
      <c r="J300" s="24"/>
    </row>
    <row r="301" spans="1:10" x14ac:dyDescent="0.35">
      <c r="A301" t="s">
        <v>1430</v>
      </c>
      <c r="B301" s="21"/>
      <c r="C301" s="21"/>
      <c r="D301" s="4"/>
      <c r="E301" s="4"/>
      <c r="F301" s="24"/>
      <c r="G301" s="24"/>
      <c r="H301" s="24"/>
      <c r="I301" s="24"/>
      <c r="J301" s="24"/>
    </row>
    <row r="302" spans="1:10" x14ac:dyDescent="0.35">
      <c r="A302" t="s">
        <v>1431</v>
      </c>
      <c r="B302" s="21"/>
      <c r="C302" s="21"/>
      <c r="D302" s="4"/>
      <c r="E302" s="4"/>
      <c r="F302" s="24"/>
      <c r="G302" s="24"/>
      <c r="H302" s="24"/>
      <c r="I302" s="24"/>
      <c r="J302" s="24"/>
    </row>
    <row r="303" spans="1:10" x14ac:dyDescent="0.35">
      <c r="A303" t="s">
        <v>1432</v>
      </c>
      <c r="B303" s="21"/>
      <c r="C303" s="21"/>
      <c r="D303" s="4"/>
      <c r="E303" s="4"/>
      <c r="F303" s="24"/>
      <c r="G303" s="24"/>
      <c r="H303" s="24"/>
      <c r="I303" s="24"/>
      <c r="J303" s="24"/>
    </row>
    <row r="304" spans="1:10" x14ac:dyDescent="0.35">
      <c r="A304" t="s">
        <v>1433</v>
      </c>
      <c r="B304" s="21"/>
      <c r="C304" s="21"/>
      <c r="D304" s="4"/>
      <c r="E304" s="4"/>
      <c r="F304" s="24"/>
      <c r="G304" s="24"/>
      <c r="H304" s="24"/>
      <c r="I304" s="24"/>
      <c r="J304" s="24"/>
    </row>
    <row r="305" spans="1:10" x14ac:dyDescent="0.35">
      <c r="A305" t="s">
        <v>1434</v>
      </c>
      <c r="B305" s="21"/>
      <c r="C305" s="21"/>
      <c r="D305" s="4"/>
      <c r="E305" s="4"/>
      <c r="F305" s="24"/>
      <c r="G305" s="24"/>
      <c r="H305" s="24"/>
      <c r="I305" s="24"/>
      <c r="J305" s="24"/>
    </row>
    <row r="306" spans="1:10" x14ac:dyDescent="0.35">
      <c r="A306" t="s">
        <v>1435</v>
      </c>
      <c r="B306" s="21"/>
      <c r="C306" s="21"/>
      <c r="D306" s="4"/>
      <c r="E306" s="4"/>
      <c r="F306" s="24"/>
      <c r="G306" s="24"/>
      <c r="H306" s="24"/>
      <c r="I306" s="24"/>
      <c r="J306" s="24"/>
    </row>
    <row r="307" spans="1:10" x14ac:dyDescent="0.35">
      <c r="A307" t="s">
        <v>1436</v>
      </c>
      <c r="B307" s="21"/>
      <c r="C307" s="21"/>
      <c r="D307" s="4"/>
      <c r="E307" s="4"/>
      <c r="F307" s="24"/>
      <c r="G307" s="24"/>
      <c r="H307" s="24"/>
      <c r="I307" s="24"/>
      <c r="J307" s="24"/>
    </row>
    <row r="308" spans="1:10" x14ac:dyDescent="0.35">
      <c r="A308" t="s">
        <v>1437</v>
      </c>
      <c r="B308" s="21"/>
      <c r="C308" s="21"/>
      <c r="D308" s="4"/>
      <c r="E308" s="4"/>
      <c r="F308" s="24"/>
      <c r="G308" s="24"/>
      <c r="H308" s="24"/>
      <c r="I308" s="24"/>
      <c r="J308" s="24"/>
    </row>
    <row r="309" spans="1:10" x14ac:dyDescent="0.35">
      <c r="A309" t="s">
        <v>1438</v>
      </c>
      <c r="B309" s="21"/>
      <c r="C309" s="21"/>
      <c r="D309" s="4"/>
      <c r="E309" s="4"/>
      <c r="F309" s="24"/>
      <c r="G309" s="24"/>
      <c r="H309" s="24"/>
      <c r="I309" s="24"/>
      <c r="J309" s="24"/>
    </row>
    <row r="310" spans="1:10" x14ac:dyDescent="0.35">
      <c r="A310" t="s">
        <v>1439</v>
      </c>
      <c r="B310" s="21"/>
      <c r="C310" s="21"/>
      <c r="D310" s="4"/>
      <c r="E310" s="4"/>
      <c r="F310" s="24"/>
      <c r="G310" s="24"/>
      <c r="H310" s="24"/>
      <c r="I310" s="24"/>
      <c r="J310" s="24"/>
    </row>
    <row r="311" spans="1:10" x14ac:dyDescent="0.35">
      <c r="A311" t="s">
        <v>1440</v>
      </c>
      <c r="B311" s="21"/>
      <c r="C311" s="21"/>
      <c r="D311" s="4"/>
      <c r="E311" s="4"/>
      <c r="F311" s="24"/>
      <c r="G311" s="24"/>
      <c r="H311" s="24"/>
      <c r="I311" s="24"/>
      <c r="J311" s="24"/>
    </row>
    <row r="312" spans="1:10" x14ac:dyDescent="0.35">
      <c r="A312" t="s">
        <v>1441</v>
      </c>
      <c r="B312" s="21"/>
      <c r="C312" s="21"/>
      <c r="D312" s="4"/>
      <c r="E312" s="4"/>
      <c r="F312" s="24"/>
      <c r="G312" s="24"/>
      <c r="H312" s="24"/>
      <c r="I312" s="24"/>
      <c r="J312" s="24"/>
    </row>
    <row r="313" spans="1:10" x14ac:dyDescent="0.35">
      <c r="A313" t="s">
        <v>1442</v>
      </c>
      <c r="B313" s="21"/>
      <c r="C313" s="21"/>
      <c r="D313" s="4"/>
      <c r="E313" s="4"/>
      <c r="F313" s="24"/>
      <c r="G313" s="24"/>
      <c r="H313" s="24"/>
      <c r="I313" s="24"/>
      <c r="J313" s="24"/>
    </row>
    <row r="314" spans="1:10" x14ac:dyDescent="0.35">
      <c r="A314" t="s">
        <v>1443</v>
      </c>
      <c r="B314" s="21"/>
      <c r="C314" s="21"/>
      <c r="D314" s="4"/>
      <c r="E314" s="4"/>
      <c r="F314" s="24"/>
      <c r="G314" s="24"/>
      <c r="H314" s="24"/>
      <c r="I314" s="24"/>
      <c r="J314" s="24"/>
    </row>
    <row r="315" spans="1:10" x14ac:dyDescent="0.35">
      <c r="A315" t="s">
        <v>1444</v>
      </c>
      <c r="B315" s="21"/>
      <c r="C315" s="21"/>
      <c r="D315" s="4"/>
      <c r="E315" s="4"/>
      <c r="F315" s="24"/>
      <c r="G315" s="24"/>
      <c r="H315" s="24"/>
      <c r="I315" s="24"/>
      <c r="J315" s="24"/>
    </row>
    <row r="316" spans="1:10" x14ac:dyDescent="0.35">
      <c r="A316" t="s">
        <v>1445</v>
      </c>
      <c r="B316" s="21"/>
      <c r="C316" s="21"/>
      <c r="D316" s="4"/>
      <c r="E316" s="4"/>
      <c r="F316" s="24"/>
      <c r="G316" s="24"/>
      <c r="H316" s="24"/>
      <c r="I316" s="24"/>
      <c r="J316" s="24"/>
    </row>
    <row r="317" spans="1:10" x14ac:dyDescent="0.35">
      <c r="A317" t="s">
        <v>1446</v>
      </c>
      <c r="B317" s="21"/>
      <c r="C317" s="21"/>
      <c r="D317" s="4"/>
      <c r="E317" s="4"/>
      <c r="F317" s="24"/>
      <c r="G317" s="24"/>
      <c r="H317" s="24"/>
      <c r="I317" s="24"/>
      <c r="J317" s="24"/>
    </row>
    <row r="318" spans="1:10" x14ac:dyDescent="0.35">
      <c r="A318" t="s">
        <v>1447</v>
      </c>
      <c r="B318" s="21"/>
      <c r="C318" s="21"/>
      <c r="D318" s="4"/>
      <c r="E318" s="4"/>
      <c r="F318" s="24"/>
      <c r="G318" s="24"/>
      <c r="H318" s="24"/>
      <c r="I318" s="24"/>
      <c r="J318" s="24"/>
    </row>
    <row r="319" spans="1:10" x14ac:dyDescent="0.35">
      <c r="A319" t="s">
        <v>1448</v>
      </c>
      <c r="B319" s="21"/>
      <c r="C319" s="21"/>
      <c r="D319" s="4"/>
      <c r="E319" s="4"/>
      <c r="F319" s="24"/>
      <c r="G319" s="24"/>
      <c r="H319" s="24"/>
      <c r="I319" s="24"/>
      <c r="J319" s="24"/>
    </row>
    <row r="320" spans="1:10" x14ac:dyDescent="0.35">
      <c r="A320" t="s">
        <v>1449</v>
      </c>
      <c r="B320" s="21"/>
      <c r="C320" s="21"/>
      <c r="D320" s="4"/>
      <c r="E320" s="4"/>
      <c r="F320" s="24"/>
      <c r="G320" s="24"/>
      <c r="H320" s="24"/>
      <c r="I320" s="24"/>
      <c r="J320" s="24"/>
    </row>
    <row r="321" spans="1:10" x14ac:dyDescent="0.35">
      <c r="A321" t="s">
        <v>1450</v>
      </c>
      <c r="B321" s="21"/>
      <c r="C321" s="21"/>
      <c r="D321" s="4"/>
      <c r="E321" s="4"/>
      <c r="F321" s="24"/>
      <c r="G321" s="24"/>
      <c r="H321" s="24"/>
      <c r="I321" s="24"/>
      <c r="J321" s="24"/>
    </row>
    <row r="322" spans="1:10" x14ac:dyDescent="0.35">
      <c r="A322" t="s">
        <v>1451</v>
      </c>
      <c r="B322" s="21"/>
      <c r="C322" s="21"/>
      <c r="D322" s="4"/>
      <c r="E322" s="4"/>
      <c r="F322" s="24"/>
      <c r="G322" s="24"/>
      <c r="H322" s="24"/>
      <c r="I322" s="24"/>
      <c r="J322" s="24"/>
    </row>
    <row r="323" spans="1:10" x14ac:dyDescent="0.35">
      <c r="A323" t="s">
        <v>1452</v>
      </c>
      <c r="B323" s="21"/>
      <c r="C323" s="21"/>
      <c r="D323" s="4"/>
      <c r="E323" s="4"/>
      <c r="F323" s="24"/>
      <c r="G323" s="24"/>
      <c r="H323" s="24"/>
      <c r="I323" s="24"/>
      <c r="J323" s="24"/>
    </row>
    <row r="324" spans="1:10" x14ac:dyDescent="0.35">
      <c r="A324" t="s">
        <v>1453</v>
      </c>
      <c r="B324" s="21"/>
      <c r="C324" s="21"/>
      <c r="D324" s="4"/>
      <c r="E324" s="4"/>
      <c r="F324" s="24"/>
      <c r="G324" s="24"/>
      <c r="H324" s="24"/>
      <c r="I324" s="24"/>
      <c r="J324" s="24"/>
    </row>
    <row r="325" spans="1:10" x14ac:dyDescent="0.35">
      <c r="A325" t="s">
        <v>1454</v>
      </c>
      <c r="B325" s="21"/>
      <c r="C325" s="21"/>
      <c r="D325" s="4"/>
      <c r="E325" s="4"/>
      <c r="F325" s="24"/>
      <c r="G325" s="24"/>
      <c r="H325" s="24"/>
      <c r="I325" s="24"/>
      <c r="J325" s="24"/>
    </row>
    <row r="326" spans="1:10" x14ac:dyDescent="0.35">
      <c r="A326" t="s">
        <v>1455</v>
      </c>
      <c r="B326" s="21"/>
      <c r="C326" s="21"/>
      <c r="D326" s="4"/>
      <c r="E326" s="4"/>
      <c r="F326" s="24"/>
      <c r="G326" s="24"/>
      <c r="H326" s="24"/>
      <c r="I326" s="24"/>
      <c r="J326" s="24"/>
    </row>
    <row r="327" spans="1:10" x14ac:dyDescent="0.35">
      <c r="A327" t="s">
        <v>1456</v>
      </c>
      <c r="B327" s="21"/>
      <c r="C327" s="21"/>
      <c r="D327" s="4"/>
      <c r="E327" s="4"/>
      <c r="F327" s="24"/>
      <c r="G327" s="24"/>
      <c r="H327" s="24"/>
      <c r="I327" s="24"/>
      <c r="J327" s="24"/>
    </row>
    <row r="328" spans="1:10" x14ac:dyDescent="0.35">
      <c r="A328" t="s">
        <v>1457</v>
      </c>
      <c r="B328" s="21"/>
      <c r="C328" s="21"/>
      <c r="D328" s="4"/>
      <c r="E328" s="4"/>
      <c r="F328" s="24"/>
      <c r="G328" s="24"/>
      <c r="H328" s="24"/>
      <c r="I328" s="24"/>
      <c r="J328" s="24"/>
    </row>
    <row r="329" spans="1:10" x14ac:dyDescent="0.35">
      <c r="A329" t="s">
        <v>1458</v>
      </c>
      <c r="B329" s="21"/>
      <c r="C329" s="21"/>
      <c r="D329" s="4"/>
      <c r="E329" s="4"/>
      <c r="F329" s="24"/>
      <c r="G329" s="24"/>
      <c r="H329" s="24"/>
      <c r="I329" s="24"/>
      <c r="J329" s="24"/>
    </row>
    <row r="330" spans="1:10" x14ac:dyDescent="0.35">
      <c r="A330" t="s">
        <v>1459</v>
      </c>
      <c r="B330" s="21"/>
      <c r="C330" s="21"/>
      <c r="D330" s="4"/>
      <c r="E330" s="4"/>
      <c r="F330" s="24"/>
      <c r="G330" s="24"/>
      <c r="H330" s="24"/>
      <c r="I330" s="24"/>
      <c r="J330" s="24"/>
    </row>
    <row r="331" spans="1:10" x14ac:dyDescent="0.35">
      <c r="A331" t="s">
        <v>1460</v>
      </c>
      <c r="B331" s="21"/>
      <c r="C331" s="21"/>
      <c r="D331" s="4"/>
      <c r="E331" s="4"/>
      <c r="F331" s="24"/>
      <c r="G331" s="24"/>
      <c r="H331" s="24"/>
      <c r="I331" s="24"/>
      <c r="J331" s="24"/>
    </row>
    <row r="332" spans="1:10" x14ac:dyDescent="0.35">
      <c r="A332" t="s">
        <v>1461</v>
      </c>
      <c r="B332" s="21"/>
      <c r="C332" s="21"/>
      <c r="D332" s="4"/>
      <c r="E332" s="4"/>
      <c r="F332" s="24"/>
      <c r="G332" s="24"/>
      <c r="H332" s="24"/>
      <c r="I332" s="24"/>
      <c r="J332" s="24"/>
    </row>
    <row r="333" spans="1:10" x14ac:dyDescent="0.35">
      <c r="A333" t="s">
        <v>1462</v>
      </c>
      <c r="B333" s="21"/>
      <c r="C333" s="21"/>
      <c r="D333" s="4"/>
      <c r="E333" s="4"/>
      <c r="F333" s="24"/>
      <c r="G333" s="24"/>
      <c r="H333" s="24"/>
      <c r="I333" s="24"/>
      <c r="J333" s="24"/>
    </row>
    <row r="334" spans="1:10" x14ac:dyDescent="0.35">
      <c r="A334" t="s">
        <v>1463</v>
      </c>
      <c r="B334" s="21"/>
      <c r="C334" s="21"/>
      <c r="D334" s="4"/>
      <c r="E334" s="4"/>
      <c r="F334" s="24"/>
      <c r="G334" s="24"/>
      <c r="H334" s="24"/>
      <c r="I334" s="24"/>
      <c r="J334" s="24"/>
    </row>
    <row r="335" spans="1:10" x14ac:dyDescent="0.35">
      <c r="A335" t="s">
        <v>1464</v>
      </c>
      <c r="B335" s="21"/>
      <c r="C335" s="21"/>
      <c r="D335" s="4"/>
      <c r="E335" s="4"/>
      <c r="F335" s="24"/>
      <c r="G335" s="24"/>
      <c r="H335" s="24"/>
      <c r="I335" s="24"/>
      <c r="J335" s="24"/>
    </row>
    <row r="336" spans="1:10" x14ac:dyDescent="0.35">
      <c r="A336" t="s">
        <v>1465</v>
      </c>
      <c r="B336" s="21"/>
      <c r="C336" s="21"/>
      <c r="D336" s="4"/>
      <c r="E336" s="4"/>
      <c r="F336" s="24"/>
      <c r="G336" s="24"/>
      <c r="H336" s="24"/>
      <c r="I336" s="24"/>
      <c r="J336" s="24"/>
    </row>
    <row r="337" spans="1:10" x14ac:dyDescent="0.35">
      <c r="A337" t="s">
        <v>1466</v>
      </c>
      <c r="B337" s="21"/>
      <c r="C337" s="21"/>
      <c r="D337" s="4"/>
      <c r="E337" s="4"/>
      <c r="F337" s="24"/>
      <c r="G337" s="24"/>
      <c r="H337" s="24"/>
      <c r="I337" s="24"/>
      <c r="J337" s="24"/>
    </row>
    <row r="338" spans="1:10" x14ac:dyDescent="0.35">
      <c r="A338" t="s">
        <v>1467</v>
      </c>
      <c r="B338" s="21"/>
      <c r="C338" s="21"/>
      <c r="D338" s="4"/>
      <c r="E338" s="4"/>
      <c r="F338" s="24"/>
      <c r="G338" s="24"/>
      <c r="H338" s="24"/>
      <c r="I338" s="24"/>
      <c r="J338" s="24"/>
    </row>
    <row r="339" spans="1:10" x14ac:dyDescent="0.35">
      <c r="A339" t="s">
        <v>1468</v>
      </c>
      <c r="B339" s="21"/>
      <c r="C339" s="21"/>
      <c r="D339" s="4"/>
      <c r="E339" s="4"/>
      <c r="F339" s="24"/>
      <c r="G339" s="24"/>
      <c r="H339" s="24"/>
      <c r="I339" s="24"/>
      <c r="J339" s="24"/>
    </row>
    <row r="340" spans="1:10" x14ac:dyDescent="0.35">
      <c r="A340" t="s">
        <v>1469</v>
      </c>
      <c r="B340" s="21"/>
      <c r="C340" s="21"/>
      <c r="D340" s="4"/>
      <c r="E340" s="4"/>
      <c r="F340" s="24"/>
      <c r="G340" s="24"/>
      <c r="H340" s="24"/>
      <c r="I340" s="24"/>
      <c r="J340" s="24"/>
    </row>
    <row r="341" spans="1:10" x14ac:dyDescent="0.35">
      <c r="A341" t="s">
        <v>1470</v>
      </c>
      <c r="B341" s="21"/>
      <c r="C341" s="21"/>
      <c r="D341" s="4"/>
      <c r="E341" s="4"/>
      <c r="F341" s="24"/>
      <c r="G341" s="24"/>
      <c r="H341" s="24"/>
      <c r="I341" s="24"/>
      <c r="J341" s="24"/>
    </row>
    <row r="342" spans="1:10" x14ac:dyDescent="0.35">
      <c r="A342" t="s">
        <v>1471</v>
      </c>
      <c r="B342" s="21"/>
      <c r="C342" s="21"/>
      <c r="D342" s="4"/>
      <c r="E342" s="4"/>
      <c r="F342" s="24"/>
      <c r="G342" s="24"/>
      <c r="H342" s="24"/>
      <c r="I342" s="24"/>
      <c r="J342" s="24"/>
    </row>
    <row r="343" spans="1:10" x14ac:dyDescent="0.35">
      <c r="A343" t="s">
        <v>1472</v>
      </c>
      <c r="B343" s="21"/>
      <c r="C343" s="21"/>
      <c r="D343" s="4"/>
      <c r="E343" s="4"/>
      <c r="F343" s="24"/>
      <c r="G343" s="24"/>
      <c r="H343" s="24"/>
      <c r="I343" s="24"/>
      <c r="J343" s="24"/>
    </row>
    <row r="344" spans="1:10" x14ac:dyDescent="0.35">
      <c r="A344" t="s">
        <v>1473</v>
      </c>
      <c r="B344" s="21"/>
      <c r="C344" s="21"/>
      <c r="D344" s="4"/>
      <c r="E344" s="4"/>
      <c r="F344" s="24"/>
      <c r="G344" s="24"/>
      <c r="H344" s="24"/>
      <c r="I344" s="24"/>
      <c r="J344" s="24"/>
    </row>
    <row r="345" spans="1:10" x14ac:dyDescent="0.35">
      <c r="A345" t="s">
        <v>1474</v>
      </c>
      <c r="B345" s="21"/>
      <c r="C345" s="21"/>
      <c r="D345" s="4"/>
      <c r="E345" s="4"/>
      <c r="F345" s="24"/>
      <c r="G345" s="24"/>
      <c r="H345" s="24"/>
      <c r="I345" s="24"/>
      <c r="J345" s="24"/>
    </row>
    <row r="346" spans="1:10" x14ac:dyDescent="0.35">
      <c r="A346" t="s">
        <v>1475</v>
      </c>
      <c r="B346" s="21"/>
      <c r="C346" s="21"/>
      <c r="D346" s="4"/>
      <c r="E346" s="4"/>
      <c r="F346" s="24"/>
      <c r="G346" s="24"/>
      <c r="H346" s="24"/>
      <c r="I346" s="24"/>
      <c r="J346" s="24"/>
    </row>
    <row r="347" spans="1:10" x14ac:dyDescent="0.35">
      <c r="A347" t="s">
        <v>1476</v>
      </c>
      <c r="B347" s="21"/>
      <c r="C347" s="21"/>
      <c r="D347" s="4"/>
      <c r="E347" s="4"/>
      <c r="F347" s="24"/>
      <c r="G347" s="24"/>
      <c r="H347" s="24"/>
      <c r="I347" s="24"/>
      <c r="J347" s="24"/>
    </row>
    <row r="348" spans="1:10" x14ac:dyDescent="0.35">
      <c r="A348" t="s">
        <v>1477</v>
      </c>
      <c r="B348" s="21"/>
      <c r="C348" s="21"/>
      <c r="D348" s="4"/>
      <c r="E348" s="4"/>
      <c r="F348" s="24"/>
      <c r="G348" s="24"/>
      <c r="H348" s="24"/>
      <c r="I348" s="24"/>
      <c r="J348" s="24"/>
    </row>
    <row r="349" spans="1:10" x14ac:dyDescent="0.35">
      <c r="A349" t="s">
        <v>1478</v>
      </c>
      <c r="B349" s="21"/>
      <c r="C349" s="21"/>
      <c r="D349" s="4"/>
      <c r="E349" s="4"/>
      <c r="F349" s="24"/>
      <c r="G349" s="24"/>
      <c r="H349" s="24"/>
      <c r="I349" s="24"/>
      <c r="J349" s="24"/>
    </row>
    <row r="350" spans="1:10" x14ac:dyDescent="0.35">
      <c r="A350" t="s">
        <v>1479</v>
      </c>
      <c r="B350" s="21"/>
      <c r="C350" s="21"/>
      <c r="D350" s="4"/>
      <c r="E350" s="4"/>
      <c r="F350" s="24"/>
      <c r="G350" s="24"/>
      <c r="H350" s="24"/>
      <c r="I350" s="24"/>
      <c r="J350" s="24"/>
    </row>
    <row r="351" spans="1:10" x14ac:dyDescent="0.35">
      <c r="A351" t="s">
        <v>1480</v>
      </c>
      <c r="B351" s="21"/>
      <c r="C351" s="21"/>
      <c r="D351" s="4"/>
      <c r="E351" s="4"/>
      <c r="F351" s="24"/>
      <c r="G351" s="24"/>
      <c r="H351" s="24"/>
      <c r="I351" s="24"/>
      <c r="J351" s="24"/>
    </row>
    <row r="352" spans="1:10" x14ac:dyDescent="0.35">
      <c r="A352" t="s">
        <v>1481</v>
      </c>
      <c r="B352" s="21"/>
      <c r="C352" s="21"/>
      <c r="D352" s="4"/>
      <c r="E352" s="4"/>
      <c r="F352" s="24"/>
      <c r="G352" s="24"/>
      <c r="H352" s="24"/>
      <c r="I352" s="24"/>
      <c r="J352" s="24"/>
    </row>
    <row r="353" spans="1:10" x14ac:dyDescent="0.35">
      <c r="A353" t="s">
        <v>1482</v>
      </c>
      <c r="B353" s="21"/>
      <c r="C353" s="21"/>
      <c r="D353" s="4"/>
      <c r="E353" s="4"/>
      <c r="F353" s="24"/>
      <c r="G353" s="24"/>
      <c r="H353" s="24"/>
      <c r="I353" s="24"/>
      <c r="J353" s="24"/>
    </row>
    <row r="354" spans="1:10" x14ac:dyDescent="0.35">
      <c r="A354" t="s">
        <v>1483</v>
      </c>
      <c r="B354" s="21"/>
      <c r="C354" s="21"/>
      <c r="D354" s="4"/>
      <c r="E354" s="4"/>
      <c r="F354" s="24"/>
      <c r="G354" s="24"/>
      <c r="H354" s="24"/>
      <c r="I354" s="24"/>
      <c r="J354" s="24"/>
    </row>
    <row r="355" spans="1:10" x14ac:dyDescent="0.35">
      <c r="A355" t="s">
        <v>1484</v>
      </c>
      <c r="B355" s="21"/>
      <c r="C355" s="21"/>
      <c r="D355" s="4"/>
      <c r="E355" s="4"/>
      <c r="F355" s="24"/>
      <c r="G355" s="24"/>
      <c r="H355" s="24"/>
      <c r="I355" s="24"/>
      <c r="J355" s="24"/>
    </row>
    <row r="356" spans="1:10" x14ac:dyDescent="0.35">
      <c r="A356" t="s">
        <v>1485</v>
      </c>
      <c r="B356" s="21"/>
      <c r="C356" s="21"/>
      <c r="D356" s="4"/>
      <c r="E356" s="4"/>
      <c r="F356" s="24"/>
      <c r="G356" s="24"/>
      <c r="H356" s="24"/>
      <c r="I356" s="24"/>
      <c r="J356" s="24"/>
    </row>
    <row r="357" spans="1:10" x14ac:dyDescent="0.35">
      <c r="A357" t="s">
        <v>1486</v>
      </c>
      <c r="B357" s="21"/>
      <c r="C357" s="21"/>
      <c r="D357" s="4"/>
      <c r="E357" s="4"/>
      <c r="F357" s="24"/>
      <c r="G357" s="24"/>
      <c r="H357" s="24"/>
      <c r="I357" s="24"/>
      <c r="J357" s="24"/>
    </row>
    <row r="358" spans="1:10" x14ac:dyDescent="0.35">
      <c r="A358" t="s">
        <v>1487</v>
      </c>
      <c r="B358" s="21"/>
      <c r="C358" s="21"/>
      <c r="D358" s="4"/>
      <c r="E358" s="4"/>
      <c r="F358" s="24"/>
      <c r="G358" s="24"/>
      <c r="H358" s="24"/>
      <c r="I358" s="24"/>
      <c r="J358" s="24"/>
    </row>
    <row r="359" spans="1:10" x14ac:dyDescent="0.35">
      <c r="A359" t="s">
        <v>1488</v>
      </c>
      <c r="B359" s="21"/>
      <c r="C359" s="21"/>
      <c r="D359" s="4"/>
      <c r="E359" s="4"/>
      <c r="F359" s="24"/>
      <c r="G359" s="24"/>
      <c r="H359" s="24"/>
      <c r="I359" s="24"/>
      <c r="J359" s="24"/>
    </row>
    <row r="360" spans="1:10" x14ac:dyDescent="0.35">
      <c r="A360" t="s">
        <v>1489</v>
      </c>
      <c r="B360" s="21"/>
      <c r="C360" s="21"/>
      <c r="D360" s="4"/>
      <c r="E360" s="4"/>
      <c r="F360" s="24"/>
      <c r="G360" s="24"/>
      <c r="H360" s="24"/>
      <c r="I360" s="24"/>
      <c r="J360" s="24"/>
    </row>
    <row r="361" spans="1:10" x14ac:dyDescent="0.35">
      <c r="A361" t="s">
        <v>1490</v>
      </c>
      <c r="B361" s="21"/>
      <c r="C361" s="21"/>
      <c r="D361" s="4"/>
      <c r="E361" s="4"/>
      <c r="F361" s="24"/>
      <c r="G361" s="24"/>
      <c r="H361" s="24"/>
      <c r="I361" s="24"/>
      <c r="J361" s="24"/>
    </row>
    <row r="362" spans="1:10" x14ac:dyDescent="0.35">
      <c r="A362" t="s">
        <v>1491</v>
      </c>
      <c r="B362" s="21"/>
      <c r="C362" s="21"/>
      <c r="D362" s="4"/>
      <c r="E362" s="4"/>
      <c r="F362" s="24"/>
      <c r="G362" s="24"/>
      <c r="H362" s="24"/>
      <c r="I362" s="24"/>
      <c r="J362" s="24"/>
    </row>
    <row r="363" spans="1:10" x14ac:dyDescent="0.35">
      <c r="A363" t="s">
        <v>1492</v>
      </c>
      <c r="B363" s="21"/>
      <c r="C363" s="21"/>
      <c r="D363" s="4"/>
      <c r="E363" s="4"/>
      <c r="F363" s="24"/>
      <c r="G363" s="24"/>
      <c r="H363" s="24"/>
      <c r="I363" s="24"/>
      <c r="J363" s="24"/>
    </row>
    <row r="364" spans="1:10" x14ac:dyDescent="0.35">
      <c r="A364" t="s">
        <v>1493</v>
      </c>
      <c r="B364" s="21"/>
      <c r="C364" s="21"/>
      <c r="D364" s="4"/>
      <c r="E364" s="4"/>
      <c r="F364" s="24"/>
      <c r="G364" s="24"/>
      <c r="H364" s="24"/>
      <c r="I364" s="24"/>
      <c r="J364" s="24"/>
    </row>
    <row r="365" spans="1:10" x14ac:dyDescent="0.35">
      <c r="A365" t="s">
        <v>1494</v>
      </c>
      <c r="B365" s="21"/>
      <c r="C365" s="21"/>
      <c r="D365" s="4"/>
      <c r="E365" s="4"/>
      <c r="F365" s="24"/>
      <c r="G365" s="24"/>
      <c r="H365" s="24"/>
      <c r="I365" s="24"/>
      <c r="J365" s="24"/>
    </row>
    <row r="366" spans="1:10" x14ac:dyDescent="0.35">
      <c r="A366" t="s">
        <v>1495</v>
      </c>
      <c r="B366" s="21"/>
      <c r="C366" s="21"/>
      <c r="D366" s="4"/>
      <c r="E366" s="4"/>
      <c r="F366" s="24"/>
      <c r="G366" s="24"/>
      <c r="H366" s="24"/>
      <c r="I366" s="24"/>
      <c r="J366" s="24"/>
    </row>
    <row r="367" spans="1:10" x14ac:dyDescent="0.35">
      <c r="A367" t="s">
        <v>1496</v>
      </c>
      <c r="B367" s="21"/>
      <c r="C367" s="21"/>
      <c r="D367" s="4"/>
      <c r="E367" s="4"/>
      <c r="F367" s="24"/>
      <c r="G367" s="24"/>
      <c r="H367" s="24"/>
      <c r="I367" s="24"/>
      <c r="J367" s="24"/>
    </row>
    <row r="368" spans="1:10" x14ac:dyDescent="0.35">
      <c r="A368" t="s">
        <v>1497</v>
      </c>
      <c r="B368" s="21"/>
      <c r="C368" s="21"/>
      <c r="D368" s="4"/>
      <c r="E368" s="4"/>
      <c r="F368" s="24"/>
      <c r="G368" s="24"/>
      <c r="H368" s="24"/>
      <c r="I368" s="24"/>
      <c r="J368" s="24"/>
    </row>
    <row r="369" spans="1:10" x14ac:dyDescent="0.35">
      <c r="A369" t="s">
        <v>1498</v>
      </c>
      <c r="B369" s="21"/>
      <c r="C369" s="21"/>
      <c r="D369" s="4"/>
      <c r="E369" s="4"/>
      <c r="F369" s="24"/>
      <c r="G369" s="24"/>
      <c r="H369" s="24"/>
      <c r="I369" s="24"/>
      <c r="J369" s="24"/>
    </row>
    <row r="370" spans="1:10" x14ac:dyDescent="0.35">
      <c r="A370" t="s">
        <v>1499</v>
      </c>
      <c r="B370" s="21"/>
      <c r="C370" s="21"/>
      <c r="D370" s="4"/>
      <c r="E370" s="4"/>
      <c r="F370" s="24"/>
      <c r="G370" s="24"/>
      <c r="H370" s="24"/>
      <c r="I370" s="24"/>
      <c r="J370" s="24"/>
    </row>
    <row r="371" spans="1:10" x14ac:dyDescent="0.35">
      <c r="A371" t="s">
        <v>1500</v>
      </c>
      <c r="B371" s="21"/>
      <c r="C371" s="21"/>
      <c r="D371" s="4"/>
      <c r="E371" s="4"/>
      <c r="F371" s="24"/>
      <c r="G371" s="24"/>
      <c r="H371" s="24"/>
      <c r="I371" s="24"/>
      <c r="J371" s="24"/>
    </row>
    <row r="372" spans="1:10" x14ac:dyDescent="0.35">
      <c r="A372" t="s">
        <v>1501</v>
      </c>
      <c r="B372" s="21"/>
      <c r="C372" s="21"/>
      <c r="D372" s="4"/>
      <c r="E372" s="4"/>
      <c r="F372" s="24"/>
      <c r="G372" s="24"/>
      <c r="H372" s="24"/>
      <c r="I372" s="24"/>
      <c r="J372" s="24"/>
    </row>
    <row r="373" spans="1:10" x14ac:dyDescent="0.35">
      <c r="A373" t="s">
        <v>1502</v>
      </c>
      <c r="B373" s="21"/>
      <c r="C373" s="21"/>
      <c r="D373" s="4"/>
      <c r="E373" s="4"/>
      <c r="F373" s="24"/>
      <c r="G373" s="24"/>
      <c r="H373" s="24"/>
      <c r="I373" s="24"/>
      <c r="J373" s="24"/>
    </row>
    <row r="374" spans="1:10" x14ac:dyDescent="0.35">
      <c r="A374" t="s">
        <v>1503</v>
      </c>
      <c r="B374" s="21"/>
      <c r="C374" s="21"/>
      <c r="D374" s="4"/>
      <c r="E374" s="4"/>
      <c r="F374" s="24"/>
      <c r="G374" s="24"/>
      <c r="H374" s="24"/>
      <c r="I374" s="24"/>
      <c r="J374" s="24"/>
    </row>
    <row r="375" spans="1:10" x14ac:dyDescent="0.35">
      <c r="A375" t="s">
        <v>1504</v>
      </c>
      <c r="B375" s="21"/>
      <c r="C375" s="21"/>
      <c r="D375" s="4"/>
      <c r="E375" s="4"/>
      <c r="F375" s="24"/>
      <c r="G375" s="24"/>
      <c r="H375" s="24"/>
      <c r="I375" s="24"/>
      <c r="J375" s="24"/>
    </row>
    <row r="376" spans="1:10" x14ac:dyDescent="0.35">
      <c r="A376" t="s">
        <v>1505</v>
      </c>
      <c r="B376" s="21"/>
      <c r="C376" s="21"/>
      <c r="D376" s="4"/>
      <c r="E376" s="4"/>
      <c r="F376" s="24"/>
      <c r="G376" s="24"/>
      <c r="H376" s="24"/>
      <c r="I376" s="24"/>
      <c r="J376" s="24"/>
    </row>
    <row r="377" spans="1:10" x14ac:dyDescent="0.35">
      <c r="A377" t="s">
        <v>1506</v>
      </c>
      <c r="B377" s="21"/>
      <c r="C377" s="21"/>
      <c r="D377" s="4"/>
      <c r="E377" s="4"/>
      <c r="F377" s="24"/>
      <c r="G377" s="24"/>
      <c r="H377" s="24"/>
      <c r="I377" s="24"/>
      <c r="J377" s="24"/>
    </row>
    <row r="378" spans="1:10" x14ac:dyDescent="0.35">
      <c r="A378" t="s">
        <v>1507</v>
      </c>
      <c r="B378" s="21"/>
      <c r="C378" s="21"/>
      <c r="D378" s="4"/>
      <c r="E378" s="4"/>
      <c r="F378" s="24"/>
      <c r="G378" s="24"/>
      <c r="H378" s="24"/>
      <c r="I378" s="24"/>
      <c r="J378" s="24"/>
    </row>
    <row r="379" spans="1:10" x14ac:dyDescent="0.35">
      <c r="A379" t="s">
        <v>1508</v>
      </c>
      <c r="B379" s="21"/>
      <c r="C379" s="21"/>
      <c r="D379" s="4"/>
      <c r="E379" s="4"/>
      <c r="F379" s="24"/>
      <c r="G379" s="24"/>
      <c r="H379" s="24"/>
      <c r="I379" s="24"/>
      <c r="J379" s="24"/>
    </row>
    <row r="380" spans="1:10" x14ac:dyDescent="0.35">
      <c r="A380" t="s">
        <v>1509</v>
      </c>
      <c r="B380" s="21"/>
      <c r="C380" s="21"/>
      <c r="D380" s="4"/>
      <c r="E380" s="4"/>
      <c r="F380" s="24"/>
      <c r="G380" s="24"/>
      <c r="H380" s="24"/>
      <c r="I380" s="24"/>
      <c r="J380" s="24"/>
    </row>
    <row r="381" spans="1:10" x14ac:dyDescent="0.35">
      <c r="A381" t="s">
        <v>1510</v>
      </c>
      <c r="B381" s="21"/>
      <c r="C381" s="21"/>
      <c r="D381" s="4"/>
      <c r="E381" s="4"/>
      <c r="F381" s="24"/>
      <c r="G381" s="24"/>
      <c r="H381" s="24"/>
      <c r="I381" s="24"/>
      <c r="J381" s="24"/>
    </row>
    <row r="382" spans="1:10" x14ac:dyDescent="0.35">
      <c r="A382" t="s">
        <v>1511</v>
      </c>
      <c r="B382" s="21"/>
      <c r="C382" s="21"/>
      <c r="D382" s="4"/>
      <c r="E382" s="4"/>
      <c r="F382" s="24"/>
      <c r="G382" s="24"/>
      <c r="H382" s="24"/>
      <c r="I382" s="24"/>
      <c r="J382" s="24"/>
    </row>
    <row r="383" spans="1:10" x14ac:dyDescent="0.35">
      <c r="A383" t="s">
        <v>1512</v>
      </c>
      <c r="B383" s="21"/>
      <c r="C383" s="21"/>
      <c r="D383" s="4"/>
      <c r="E383" s="4"/>
      <c r="F383" s="24"/>
      <c r="G383" s="24"/>
      <c r="H383" s="24"/>
      <c r="I383" s="24"/>
      <c r="J383" s="24"/>
    </row>
    <row r="384" spans="1:10" x14ac:dyDescent="0.35">
      <c r="A384" t="s">
        <v>1513</v>
      </c>
      <c r="B384" s="21"/>
      <c r="C384" s="21"/>
      <c r="D384" s="4"/>
      <c r="E384" s="4"/>
      <c r="F384" s="24"/>
      <c r="G384" s="24"/>
      <c r="H384" s="24"/>
      <c r="I384" s="24"/>
      <c r="J384" s="24"/>
    </row>
    <row r="385" spans="1:10" x14ac:dyDescent="0.35">
      <c r="A385" t="s">
        <v>1514</v>
      </c>
      <c r="B385" s="21"/>
      <c r="C385" s="21"/>
      <c r="D385" s="4"/>
      <c r="E385" s="4"/>
      <c r="F385" s="24"/>
      <c r="G385" s="24"/>
      <c r="H385" s="24"/>
      <c r="I385" s="24"/>
      <c r="J385" s="24"/>
    </row>
    <row r="386" spans="1:10" x14ac:dyDescent="0.35">
      <c r="A386" t="s">
        <v>1515</v>
      </c>
      <c r="B386" s="21"/>
      <c r="C386" s="21"/>
      <c r="D386" s="4"/>
      <c r="E386" s="4"/>
      <c r="F386" s="24"/>
      <c r="G386" s="24"/>
      <c r="H386" s="24"/>
      <c r="I386" s="24"/>
      <c r="J386" s="24"/>
    </row>
    <row r="387" spans="1:10" x14ac:dyDescent="0.35">
      <c r="A387" t="s">
        <v>1516</v>
      </c>
      <c r="B387" s="21"/>
      <c r="C387" s="21"/>
      <c r="D387" s="4"/>
      <c r="E387" s="4"/>
      <c r="F387" s="24"/>
      <c r="G387" s="24"/>
      <c r="H387" s="24"/>
      <c r="I387" s="24"/>
      <c r="J387" s="24"/>
    </row>
    <row r="388" spans="1:10" x14ac:dyDescent="0.35">
      <c r="A388" t="s">
        <v>1517</v>
      </c>
      <c r="B388" s="21"/>
      <c r="C388" s="21"/>
      <c r="D388" s="4"/>
      <c r="E388" s="4"/>
      <c r="F388" s="24"/>
      <c r="G388" s="24"/>
      <c r="H388" s="24"/>
      <c r="I388" s="24"/>
      <c r="J388" s="24"/>
    </row>
    <row r="389" spans="1:10" x14ac:dyDescent="0.35">
      <c r="A389" t="s">
        <v>1518</v>
      </c>
      <c r="B389" s="21"/>
      <c r="C389" s="21"/>
      <c r="D389" s="4"/>
      <c r="E389" s="4"/>
      <c r="F389" s="24"/>
      <c r="G389" s="24"/>
      <c r="H389" s="24"/>
      <c r="I389" s="24"/>
      <c r="J389" s="24"/>
    </row>
    <row r="390" spans="1:10" x14ac:dyDescent="0.35">
      <c r="A390" t="s">
        <v>1519</v>
      </c>
      <c r="B390" s="21"/>
      <c r="C390" s="21"/>
      <c r="D390" s="4"/>
      <c r="E390" s="4"/>
      <c r="F390" s="24"/>
      <c r="G390" s="24"/>
      <c r="H390" s="24"/>
      <c r="I390" s="24"/>
      <c r="J390" s="24"/>
    </row>
    <row r="391" spans="1:10" x14ac:dyDescent="0.35">
      <c r="A391" t="s">
        <v>1520</v>
      </c>
      <c r="B391" s="21"/>
      <c r="C391" s="21"/>
      <c r="D391" s="4"/>
      <c r="E391" s="4"/>
      <c r="F391" s="24"/>
      <c r="G391" s="24"/>
      <c r="H391" s="24"/>
      <c r="I391" s="24"/>
      <c r="J391" s="24"/>
    </row>
    <row r="392" spans="1:10" x14ac:dyDescent="0.35">
      <c r="A392" t="s">
        <v>1521</v>
      </c>
      <c r="B392" s="21"/>
      <c r="C392" s="21"/>
      <c r="D392" s="4"/>
      <c r="E392" s="4"/>
      <c r="F392" s="24"/>
      <c r="G392" s="24"/>
      <c r="H392" s="24"/>
      <c r="I392" s="24"/>
      <c r="J392" s="24"/>
    </row>
    <row r="393" spans="1:10" x14ac:dyDescent="0.35">
      <c r="A393" t="s">
        <v>1522</v>
      </c>
      <c r="B393" s="21"/>
      <c r="C393" s="21"/>
      <c r="D393" s="4"/>
      <c r="E393" s="4"/>
      <c r="F393" s="24"/>
      <c r="G393" s="24"/>
      <c r="H393" s="24"/>
      <c r="I393" s="24"/>
      <c r="J393" s="24"/>
    </row>
    <row r="394" spans="1:10" x14ac:dyDescent="0.35">
      <c r="A394" t="s">
        <v>1523</v>
      </c>
      <c r="B394" s="21"/>
      <c r="C394" s="21"/>
      <c r="D394" s="4"/>
      <c r="E394" s="4"/>
      <c r="F394" s="24"/>
      <c r="G394" s="24"/>
      <c r="H394" s="24"/>
      <c r="I394" s="24"/>
      <c r="J394" s="24"/>
    </row>
    <row r="395" spans="1:10" x14ac:dyDescent="0.35">
      <c r="A395" t="s">
        <v>1524</v>
      </c>
      <c r="B395" s="21"/>
      <c r="C395" s="21"/>
      <c r="D395" s="4"/>
      <c r="E395" s="4"/>
      <c r="F395" s="24"/>
      <c r="G395" s="24"/>
      <c r="H395" s="24"/>
      <c r="I395" s="24"/>
      <c r="J395" s="24"/>
    </row>
    <row r="396" spans="1:10" x14ac:dyDescent="0.35">
      <c r="A396" t="s">
        <v>1525</v>
      </c>
      <c r="B396" s="21"/>
      <c r="C396" s="21"/>
      <c r="D396" s="4"/>
      <c r="E396" s="4"/>
      <c r="F396" s="24"/>
      <c r="G396" s="24"/>
      <c r="H396" s="24"/>
      <c r="I396" s="24"/>
      <c r="J396" s="24"/>
    </row>
    <row r="397" spans="1:10" x14ac:dyDescent="0.35">
      <c r="A397" t="s">
        <v>1526</v>
      </c>
      <c r="B397" s="21"/>
      <c r="C397" s="21"/>
      <c r="D397" s="4"/>
      <c r="E397" s="4"/>
      <c r="F397" s="24"/>
      <c r="G397" s="24"/>
      <c r="H397" s="24"/>
      <c r="I397" s="24"/>
      <c r="J397" s="24"/>
    </row>
    <row r="398" spans="1:10" x14ac:dyDescent="0.35">
      <c r="A398" t="s">
        <v>1527</v>
      </c>
      <c r="B398" s="21"/>
      <c r="C398" s="21"/>
      <c r="D398" s="4"/>
      <c r="E398" s="4"/>
      <c r="F398" s="24"/>
      <c r="G398" s="24"/>
      <c r="H398" s="24"/>
      <c r="I398" s="24"/>
      <c r="J398" s="24"/>
    </row>
    <row r="399" spans="1:10" x14ac:dyDescent="0.35">
      <c r="A399" t="s">
        <v>1528</v>
      </c>
      <c r="B399" s="21"/>
      <c r="C399" s="21"/>
      <c r="D399" s="4"/>
      <c r="E399" s="4"/>
      <c r="F399" s="24"/>
      <c r="G399" s="24"/>
      <c r="H399" s="24"/>
      <c r="I399" s="24"/>
      <c r="J399" s="24"/>
    </row>
    <row r="400" spans="1:10" x14ac:dyDescent="0.35">
      <c r="A400" t="s">
        <v>1529</v>
      </c>
      <c r="B400" s="21"/>
      <c r="C400" s="21"/>
      <c r="D400" s="4"/>
      <c r="E400" s="4"/>
      <c r="F400" s="24"/>
      <c r="G400" s="24"/>
      <c r="H400" s="24"/>
      <c r="I400" s="24"/>
      <c r="J400" s="24"/>
    </row>
    <row r="401" spans="1:10" x14ac:dyDescent="0.35">
      <c r="A401" t="s">
        <v>1530</v>
      </c>
      <c r="B401" s="21"/>
      <c r="C401" s="21"/>
      <c r="D401" s="4"/>
      <c r="E401" s="4"/>
      <c r="F401" s="24"/>
      <c r="G401" s="24"/>
      <c r="H401" s="24"/>
      <c r="I401" s="24"/>
      <c r="J401" s="24"/>
    </row>
    <row r="402" spans="1:10" x14ac:dyDescent="0.35">
      <c r="A402" t="s">
        <v>1531</v>
      </c>
      <c r="B402" s="21"/>
      <c r="C402" s="21"/>
      <c r="D402" s="4"/>
      <c r="E402" s="4"/>
      <c r="F402" s="24"/>
      <c r="G402" s="24"/>
      <c r="H402" s="24"/>
      <c r="I402" s="24"/>
      <c r="J402" s="24"/>
    </row>
    <row r="403" spans="1:10" x14ac:dyDescent="0.35">
      <c r="A403" t="s">
        <v>1532</v>
      </c>
      <c r="B403" s="21"/>
      <c r="C403" s="21"/>
      <c r="D403" s="4"/>
      <c r="E403" s="4"/>
      <c r="F403" s="24"/>
      <c r="G403" s="24"/>
      <c r="H403" s="24"/>
      <c r="I403" s="24"/>
      <c r="J403" s="24"/>
    </row>
    <row r="404" spans="1:10" x14ac:dyDescent="0.35">
      <c r="A404" t="s">
        <v>1533</v>
      </c>
      <c r="B404" s="21"/>
      <c r="C404" s="21"/>
      <c r="D404" s="4"/>
      <c r="E404" s="4"/>
      <c r="F404" s="24"/>
      <c r="G404" s="24"/>
      <c r="H404" s="24"/>
      <c r="I404" s="24"/>
      <c r="J404" s="24"/>
    </row>
    <row r="405" spans="1:10" x14ac:dyDescent="0.35">
      <c r="A405" t="s">
        <v>1534</v>
      </c>
      <c r="B405" s="21"/>
      <c r="C405" s="21"/>
      <c r="D405" s="4"/>
      <c r="E405" s="4"/>
      <c r="F405" s="24"/>
      <c r="G405" s="24"/>
      <c r="H405" s="24"/>
      <c r="I405" s="24"/>
      <c r="J405" s="24"/>
    </row>
    <row r="406" spans="1:10" x14ac:dyDescent="0.35">
      <c r="A406" t="s">
        <v>1535</v>
      </c>
      <c r="B406" s="21"/>
      <c r="C406" s="21"/>
      <c r="D406" s="4"/>
      <c r="E406" s="4"/>
      <c r="F406" s="24"/>
      <c r="G406" s="24"/>
      <c r="H406" s="24"/>
      <c r="I406" s="24"/>
      <c r="J406" s="24"/>
    </row>
    <row r="407" spans="1:10" x14ac:dyDescent="0.35">
      <c r="A407" t="s">
        <v>1536</v>
      </c>
      <c r="B407" s="21"/>
      <c r="C407" s="21"/>
      <c r="D407" s="4"/>
      <c r="E407" s="4"/>
      <c r="F407" s="24"/>
      <c r="G407" s="24"/>
      <c r="H407" s="24"/>
      <c r="I407" s="24"/>
      <c r="J407" s="24"/>
    </row>
    <row r="408" spans="1:10" x14ac:dyDescent="0.35">
      <c r="A408" t="s">
        <v>1537</v>
      </c>
      <c r="B408" s="21"/>
      <c r="C408" s="21"/>
      <c r="D408" s="4"/>
      <c r="E408" s="4"/>
      <c r="F408" s="24"/>
      <c r="G408" s="24"/>
      <c r="H408" s="24"/>
      <c r="I408" s="24"/>
      <c r="J408" s="24"/>
    </row>
    <row r="409" spans="1:10" x14ac:dyDescent="0.35">
      <c r="A409" t="s">
        <v>1538</v>
      </c>
      <c r="B409" s="21"/>
      <c r="C409" s="21"/>
      <c r="D409" s="4"/>
      <c r="E409" s="4"/>
      <c r="F409" s="24"/>
      <c r="G409" s="24"/>
      <c r="H409" s="24"/>
      <c r="I409" s="24"/>
      <c r="J409" s="24"/>
    </row>
    <row r="410" spans="1:10" x14ac:dyDescent="0.35">
      <c r="A410" t="s">
        <v>1539</v>
      </c>
      <c r="B410" s="21"/>
      <c r="C410" s="21"/>
      <c r="D410" s="4"/>
      <c r="E410" s="4"/>
      <c r="F410" s="24"/>
      <c r="G410" s="24"/>
      <c r="H410" s="24"/>
      <c r="I410" s="24"/>
      <c r="J410" s="24"/>
    </row>
    <row r="411" spans="1:10" x14ac:dyDescent="0.35">
      <c r="A411" t="s">
        <v>1540</v>
      </c>
      <c r="B411" s="21"/>
      <c r="C411" s="21"/>
      <c r="D411" s="4"/>
      <c r="E411" s="4"/>
      <c r="F411" s="24"/>
      <c r="G411" s="24"/>
      <c r="H411" s="24"/>
      <c r="I411" s="24"/>
      <c r="J411" s="24"/>
    </row>
    <row r="412" spans="1:10" x14ac:dyDescent="0.35">
      <c r="A412" t="s">
        <v>1541</v>
      </c>
      <c r="B412" s="21"/>
      <c r="C412" s="21"/>
      <c r="D412" s="4"/>
      <c r="E412" s="4"/>
      <c r="F412" s="24"/>
      <c r="G412" s="24"/>
      <c r="H412" s="24"/>
      <c r="I412" s="24"/>
      <c r="J412" s="24"/>
    </row>
    <row r="413" spans="1:10" x14ac:dyDescent="0.35">
      <c r="A413" t="s">
        <v>1542</v>
      </c>
      <c r="B413" s="21"/>
      <c r="C413" s="21"/>
      <c r="D413" s="4"/>
      <c r="E413" s="4"/>
      <c r="F413" s="24"/>
      <c r="G413" s="24"/>
      <c r="H413" s="24"/>
      <c r="I413" s="24"/>
      <c r="J413" s="24"/>
    </row>
    <row r="414" spans="1:10" x14ac:dyDescent="0.35">
      <c r="A414" t="s">
        <v>1543</v>
      </c>
      <c r="B414" s="21"/>
      <c r="C414" s="21"/>
      <c r="D414" s="4"/>
      <c r="E414" s="4"/>
      <c r="F414" s="24"/>
      <c r="G414" s="24"/>
      <c r="H414" s="24"/>
      <c r="I414" s="24"/>
      <c r="J414" s="24"/>
    </row>
    <row r="415" spans="1:10" x14ac:dyDescent="0.35">
      <c r="A415" t="s">
        <v>1544</v>
      </c>
      <c r="B415" s="21"/>
      <c r="C415" s="21"/>
      <c r="D415" s="4"/>
      <c r="E415" s="4"/>
      <c r="F415" s="24"/>
      <c r="G415" s="24"/>
      <c r="H415" s="24"/>
      <c r="I415" s="24"/>
      <c r="J415" s="24"/>
    </row>
    <row r="416" spans="1:10" x14ac:dyDescent="0.35">
      <c r="A416" t="s">
        <v>1545</v>
      </c>
      <c r="B416" s="21"/>
      <c r="C416" s="21"/>
      <c r="D416" s="4"/>
      <c r="E416" s="4"/>
      <c r="F416" s="24"/>
      <c r="G416" s="24"/>
      <c r="H416" s="24"/>
      <c r="I416" s="24"/>
      <c r="J416" s="24"/>
    </row>
    <row r="417" spans="1:10" x14ac:dyDescent="0.35">
      <c r="A417" t="s">
        <v>1546</v>
      </c>
      <c r="B417" s="21"/>
      <c r="C417" s="21"/>
      <c r="D417" s="4"/>
      <c r="E417" s="4"/>
      <c r="F417" s="24"/>
      <c r="G417" s="24"/>
      <c r="H417" s="24"/>
      <c r="I417" s="24"/>
      <c r="J417" s="24"/>
    </row>
    <row r="418" spans="1:10" x14ac:dyDescent="0.35">
      <c r="A418" t="s">
        <v>1547</v>
      </c>
      <c r="B418" s="21"/>
      <c r="C418" s="21"/>
      <c r="D418" s="4"/>
      <c r="E418" s="4"/>
      <c r="F418" s="24"/>
      <c r="G418" s="24"/>
      <c r="H418" s="24"/>
      <c r="I418" s="24"/>
      <c r="J418" s="24"/>
    </row>
    <row r="419" spans="1:10" x14ac:dyDescent="0.35">
      <c r="A419" t="s">
        <v>1548</v>
      </c>
      <c r="B419" s="21"/>
      <c r="C419" s="21"/>
      <c r="D419" s="4"/>
      <c r="E419" s="4"/>
      <c r="F419" s="24"/>
      <c r="G419" s="24"/>
      <c r="H419" s="24"/>
      <c r="I419" s="24"/>
      <c r="J419" s="24"/>
    </row>
    <row r="420" spans="1:10" x14ac:dyDescent="0.35">
      <c r="A420" t="s">
        <v>1549</v>
      </c>
      <c r="B420" s="21"/>
      <c r="C420" s="21"/>
      <c r="D420" s="4"/>
      <c r="E420" s="4"/>
      <c r="F420" s="24"/>
      <c r="G420" s="24"/>
      <c r="H420" s="24"/>
      <c r="I420" s="24"/>
      <c r="J420" s="24"/>
    </row>
    <row r="421" spans="1:10" x14ac:dyDescent="0.35">
      <c r="A421" t="s">
        <v>1550</v>
      </c>
      <c r="B421" s="21"/>
      <c r="C421" s="21"/>
      <c r="D421" s="4"/>
      <c r="E421" s="4"/>
      <c r="F421" s="24"/>
      <c r="G421" s="24"/>
      <c r="H421" s="24"/>
      <c r="I421" s="24"/>
      <c r="J421" s="24"/>
    </row>
    <row r="422" spans="1:10" x14ac:dyDescent="0.35">
      <c r="A422" t="s">
        <v>1551</v>
      </c>
      <c r="B422" s="21"/>
      <c r="C422" s="21"/>
      <c r="D422" s="4"/>
      <c r="E422" s="4"/>
      <c r="F422" s="24"/>
      <c r="G422" s="24"/>
      <c r="H422" s="24"/>
      <c r="I422" s="24"/>
      <c r="J422" s="24"/>
    </row>
    <row r="423" spans="1:10" x14ac:dyDescent="0.35">
      <c r="A423" t="s">
        <v>1552</v>
      </c>
      <c r="B423" s="21"/>
      <c r="C423" s="21"/>
      <c r="D423" s="4"/>
      <c r="E423" s="4"/>
      <c r="F423" s="24"/>
      <c r="G423" s="24"/>
      <c r="H423" s="24"/>
      <c r="I423" s="24"/>
      <c r="J423" s="24"/>
    </row>
    <row r="424" spans="1:10" x14ac:dyDescent="0.35">
      <c r="A424" t="s">
        <v>1553</v>
      </c>
      <c r="B424" s="21"/>
      <c r="C424" s="21"/>
      <c r="D424" s="4"/>
      <c r="E424" s="4"/>
      <c r="F424" s="24"/>
      <c r="G424" s="24"/>
      <c r="H424" s="24"/>
      <c r="I424" s="24"/>
      <c r="J424" s="24"/>
    </row>
    <row r="425" spans="1:10" x14ac:dyDescent="0.35">
      <c r="A425" t="s">
        <v>1554</v>
      </c>
      <c r="B425" s="21"/>
      <c r="C425" s="21"/>
      <c r="D425" s="4"/>
      <c r="E425" s="4"/>
      <c r="F425" s="24"/>
      <c r="G425" s="24"/>
      <c r="H425" s="24"/>
      <c r="I425" s="24"/>
      <c r="J425" s="24"/>
    </row>
    <row r="426" spans="1:10" x14ac:dyDescent="0.35">
      <c r="A426" t="s">
        <v>1555</v>
      </c>
      <c r="B426" s="21"/>
      <c r="C426" s="21"/>
      <c r="D426" s="4"/>
      <c r="E426" s="4"/>
      <c r="F426" s="24"/>
      <c r="G426" s="24"/>
      <c r="H426" s="24"/>
      <c r="I426" s="24"/>
      <c r="J426" s="24"/>
    </row>
    <row r="427" spans="1:10" x14ac:dyDescent="0.35">
      <c r="A427" t="s">
        <v>1556</v>
      </c>
      <c r="B427" s="21"/>
      <c r="C427" s="21"/>
      <c r="D427" s="4"/>
      <c r="E427" s="4"/>
      <c r="F427" s="24"/>
      <c r="G427" s="24"/>
      <c r="H427" s="24"/>
      <c r="I427" s="24"/>
      <c r="J427" s="24"/>
    </row>
    <row r="428" spans="1:10" x14ac:dyDescent="0.35">
      <c r="A428" t="s">
        <v>1557</v>
      </c>
      <c r="B428" s="21"/>
      <c r="C428" s="21"/>
      <c r="D428" s="4"/>
      <c r="E428" s="4"/>
      <c r="F428" s="24"/>
      <c r="G428" s="24"/>
      <c r="H428" s="24"/>
      <c r="I428" s="24"/>
      <c r="J428" s="24"/>
    </row>
    <row r="429" spans="1:10" x14ac:dyDescent="0.35">
      <c r="A429" t="s">
        <v>1558</v>
      </c>
      <c r="B429" s="21"/>
      <c r="C429" s="21"/>
      <c r="D429" s="4"/>
      <c r="E429" s="4"/>
      <c r="F429" s="24"/>
      <c r="G429" s="24"/>
      <c r="H429" s="24"/>
      <c r="I429" s="24"/>
      <c r="J429" s="24"/>
    </row>
    <row r="430" spans="1:10" x14ac:dyDescent="0.35">
      <c r="A430" t="s">
        <v>1559</v>
      </c>
      <c r="B430" s="21"/>
      <c r="C430" s="21"/>
      <c r="D430" s="4"/>
      <c r="E430" s="4"/>
      <c r="F430" s="24"/>
      <c r="G430" s="24"/>
      <c r="H430" s="24"/>
      <c r="I430" s="24"/>
      <c r="J430" s="24"/>
    </row>
    <row r="431" spans="1:10" x14ac:dyDescent="0.35">
      <c r="A431" t="s">
        <v>1560</v>
      </c>
      <c r="B431" s="21"/>
      <c r="C431" s="21"/>
      <c r="D431" s="4"/>
      <c r="E431" s="4"/>
      <c r="F431" s="24"/>
      <c r="G431" s="24"/>
      <c r="H431" s="24"/>
      <c r="I431" s="24"/>
      <c r="J431" s="24"/>
    </row>
    <row r="432" spans="1:10" x14ac:dyDescent="0.35">
      <c r="A432" t="s">
        <v>1561</v>
      </c>
      <c r="B432" s="21"/>
      <c r="C432" s="21"/>
      <c r="D432" s="4"/>
      <c r="E432" s="4"/>
      <c r="F432" s="24"/>
      <c r="G432" s="24"/>
      <c r="H432" s="24"/>
      <c r="I432" s="24"/>
      <c r="J432" s="24"/>
    </row>
    <row r="433" spans="1:10" x14ac:dyDescent="0.35">
      <c r="A433" t="s">
        <v>1562</v>
      </c>
      <c r="B433" s="21"/>
      <c r="C433" s="21"/>
      <c r="D433" s="4"/>
      <c r="E433" s="4"/>
      <c r="F433" s="24"/>
      <c r="G433" s="24"/>
      <c r="H433" s="24"/>
      <c r="I433" s="24"/>
      <c r="J433" s="24"/>
    </row>
    <row r="434" spans="1:10" x14ac:dyDescent="0.35">
      <c r="A434" t="s">
        <v>1563</v>
      </c>
      <c r="B434" s="21"/>
      <c r="C434" s="21"/>
      <c r="D434" s="4"/>
      <c r="E434" s="4"/>
      <c r="F434" s="24"/>
      <c r="G434" s="24"/>
      <c r="H434" s="24"/>
      <c r="I434" s="24"/>
      <c r="J434" s="24"/>
    </row>
    <row r="435" spans="1:10" x14ac:dyDescent="0.35">
      <c r="A435" t="s">
        <v>1564</v>
      </c>
      <c r="B435" s="21"/>
      <c r="C435" s="21"/>
      <c r="D435" s="4"/>
      <c r="E435" s="4"/>
      <c r="F435" s="24"/>
      <c r="G435" s="24"/>
      <c r="H435" s="24"/>
      <c r="I435" s="24"/>
      <c r="J435" s="24"/>
    </row>
    <row r="436" spans="1:10" x14ac:dyDescent="0.35">
      <c r="A436" t="s">
        <v>1565</v>
      </c>
      <c r="B436" s="21"/>
      <c r="C436" s="21"/>
      <c r="D436" s="4"/>
      <c r="E436" s="4"/>
      <c r="F436" s="24"/>
      <c r="G436" s="24"/>
      <c r="H436" s="24"/>
      <c r="I436" s="24"/>
      <c r="J436" s="24"/>
    </row>
    <row r="437" spans="1:10" x14ac:dyDescent="0.35">
      <c r="A437" t="s">
        <v>1566</v>
      </c>
      <c r="B437" s="21"/>
      <c r="C437" s="21"/>
      <c r="D437" s="4"/>
      <c r="E437" s="4"/>
      <c r="F437" s="24"/>
      <c r="G437" s="24"/>
      <c r="H437" s="24"/>
      <c r="I437" s="24"/>
      <c r="J437" s="24"/>
    </row>
    <row r="438" spans="1:10" x14ac:dyDescent="0.35">
      <c r="A438" t="s">
        <v>1567</v>
      </c>
      <c r="B438" s="21"/>
      <c r="C438" s="21"/>
      <c r="D438" s="4"/>
      <c r="E438" s="4"/>
      <c r="F438" s="24"/>
      <c r="G438" s="24"/>
      <c r="H438" s="24"/>
      <c r="I438" s="24"/>
      <c r="J438" s="24"/>
    </row>
    <row r="439" spans="1:10" x14ac:dyDescent="0.35">
      <c r="A439" t="s">
        <v>1568</v>
      </c>
      <c r="B439" s="21"/>
      <c r="C439" s="21"/>
      <c r="D439" s="4"/>
      <c r="E439" s="4"/>
      <c r="F439" s="24"/>
      <c r="G439" s="24"/>
      <c r="H439" s="24"/>
      <c r="I439" s="24"/>
      <c r="J439" s="24"/>
    </row>
    <row r="440" spans="1:10" x14ac:dyDescent="0.35">
      <c r="A440" t="s">
        <v>1569</v>
      </c>
      <c r="B440" s="21"/>
      <c r="C440" s="21"/>
      <c r="D440" s="4"/>
      <c r="E440" s="4"/>
      <c r="F440" s="24"/>
      <c r="G440" s="24"/>
      <c r="H440" s="24"/>
      <c r="I440" s="24"/>
      <c r="J440" s="24"/>
    </row>
    <row r="441" spans="1:10" x14ac:dyDescent="0.35">
      <c r="A441" t="s">
        <v>1570</v>
      </c>
      <c r="B441" s="21"/>
      <c r="C441" s="21"/>
      <c r="D441" s="4"/>
      <c r="E441" s="4"/>
      <c r="F441" s="24"/>
      <c r="G441" s="24"/>
      <c r="H441" s="24"/>
      <c r="I441" s="24"/>
      <c r="J441" s="24"/>
    </row>
    <row r="442" spans="1:10" x14ac:dyDescent="0.35">
      <c r="A442" t="s">
        <v>1571</v>
      </c>
      <c r="B442" s="21"/>
      <c r="C442" s="21"/>
      <c r="D442" s="4"/>
      <c r="E442" s="4"/>
      <c r="F442" s="24"/>
      <c r="G442" s="24"/>
      <c r="H442" s="24"/>
      <c r="I442" s="24"/>
      <c r="J442" s="24"/>
    </row>
    <row r="443" spans="1:10" x14ac:dyDescent="0.35">
      <c r="A443" t="s">
        <v>1572</v>
      </c>
      <c r="B443" s="21"/>
      <c r="C443" s="21"/>
      <c r="D443" s="4"/>
      <c r="E443" s="4"/>
      <c r="F443" s="24"/>
      <c r="G443" s="24"/>
      <c r="H443" s="24"/>
      <c r="I443" s="24"/>
      <c r="J443" s="24"/>
    </row>
    <row r="444" spans="1:10" x14ac:dyDescent="0.35">
      <c r="A444" t="s">
        <v>1573</v>
      </c>
      <c r="B444" s="21"/>
      <c r="C444" s="21"/>
      <c r="D444" s="4"/>
      <c r="E444" s="4"/>
      <c r="F444" s="24"/>
      <c r="G444" s="24"/>
      <c r="H444" s="24"/>
      <c r="I444" s="24"/>
      <c r="J444" s="24"/>
    </row>
    <row r="445" spans="1:10" x14ac:dyDescent="0.35">
      <c r="A445" t="s">
        <v>1574</v>
      </c>
      <c r="B445" s="21"/>
      <c r="C445" s="21"/>
      <c r="D445" s="4"/>
      <c r="E445" s="4"/>
      <c r="F445" s="24"/>
      <c r="G445" s="24"/>
      <c r="H445" s="24"/>
      <c r="I445" s="24"/>
      <c r="J445" s="24"/>
    </row>
    <row r="446" spans="1:10" x14ac:dyDescent="0.35">
      <c r="A446" t="s">
        <v>1575</v>
      </c>
      <c r="B446" s="21"/>
      <c r="C446" s="21"/>
      <c r="D446" s="4"/>
      <c r="E446" s="4"/>
      <c r="F446" s="24"/>
      <c r="G446" s="24"/>
      <c r="H446" s="24"/>
      <c r="I446" s="24"/>
      <c r="J446" s="24"/>
    </row>
    <row r="447" spans="1:10" x14ac:dyDescent="0.35">
      <c r="A447" t="s">
        <v>1576</v>
      </c>
      <c r="B447" s="21"/>
      <c r="C447" s="21"/>
      <c r="D447" s="4"/>
      <c r="E447" s="4"/>
      <c r="F447" s="24"/>
      <c r="G447" s="24"/>
      <c r="H447" s="24"/>
      <c r="I447" s="24"/>
      <c r="J447" s="24"/>
    </row>
    <row r="448" spans="1:10" x14ac:dyDescent="0.35">
      <c r="A448" t="s">
        <v>1577</v>
      </c>
      <c r="B448" s="21"/>
      <c r="C448" s="21"/>
      <c r="D448" s="4"/>
      <c r="E448" s="4"/>
      <c r="F448" s="24"/>
      <c r="G448" s="24"/>
      <c r="H448" s="24"/>
      <c r="I448" s="24"/>
      <c r="J448" s="24"/>
    </row>
    <row r="449" spans="1:10" x14ac:dyDescent="0.35">
      <c r="A449" t="s">
        <v>1578</v>
      </c>
      <c r="B449" s="21"/>
      <c r="C449" s="21"/>
      <c r="D449" s="4"/>
      <c r="E449" s="4"/>
      <c r="F449" s="24"/>
      <c r="G449" s="24"/>
      <c r="H449" s="24"/>
      <c r="I449" s="24"/>
      <c r="J449" s="24"/>
    </row>
    <row r="450" spans="1:10" x14ac:dyDescent="0.35">
      <c r="A450" t="s">
        <v>1579</v>
      </c>
      <c r="B450" s="21"/>
      <c r="C450" s="21"/>
      <c r="D450" s="4"/>
      <c r="E450" s="4"/>
      <c r="F450" s="24"/>
      <c r="G450" s="24"/>
      <c r="H450" s="24"/>
      <c r="I450" s="24"/>
      <c r="J450" s="24"/>
    </row>
    <row r="451" spans="1:10" x14ac:dyDescent="0.35">
      <c r="A451" t="s">
        <v>1580</v>
      </c>
      <c r="B451" s="21"/>
      <c r="C451" s="21"/>
      <c r="D451" s="4"/>
      <c r="E451" s="4"/>
      <c r="F451" s="24"/>
      <c r="G451" s="24"/>
      <c r="H451" s="24"/>
      <c r="I451" s="24"/>
      <c r="J451" s="24"/>
    </row>
    <row r="452" spans="1:10" x14ac:dyDescent="0.35">
      <c r="A452" t="s">
        <v>1581</v>
      </c>
      <c r="B452" s="21"/>
      <c r="C452" s="21"/>
      <c r="D452" s="4"/>
      <c r="E452" s="4"/>
      <c r="F452" s="24"/>
      <c r="G452" s="24"/>
      <c r="H452" s="24"/>
      <c r="I452" s="24"/>
      <c r="J452" s="24"/>
    </row>
    <row r="453" spans="1:10" x14ac:dyDescent="0.35">
      <c r="A453" t="s">
        <v>1582</v>
      </c>
      <c r="B453" s="21"/>
      <c r="C453" s="21"/>
      <c r="D453" s="4"/>
      <c r="E453" s="4"/>
      <c r="F453" s="24"/>
      <c r="G453" s="24"/>
      <c r="H453" s="24"/>
      <c r="I453" s="24"/>
      <c r="J453" s="24"/>
    </row>
    <row r="454" spans="1:10" x14ac:dyDescent="0.35">
      <c r="A454" t="s">
        <v>1583</v>
      </c>
      <c r="B454" s="21"/>
      <c r="C454" s="21"/>
      <c r="D454" s="4"/>
      <c r="E454" s="4"/>
      <c r="F454" s="24"/>
      <c r="G454" s="24"/>
      <c r="H454" s="24"/>
      <c r="I454" s="24"/>
      <c r="J454" s="24"/>
    </row>
    <row r="455" spans="1:10" x14ac:dyDescent="0.35">
      <c r="A455" t="s">
        <v>1584</v>
      </c>
      <c r="B455" s="21"/>
      <c r="C455" s="21"/>
      <c r="D455" s="4"/>
      <c r="E455" s="4"/>
      <c r="F455" s="24"/>
      <c r="G455" s="24"/>
      <c r="H455" s="24"/>
      <c r="I455" s="24"/>
      <c r="J455" s="24"/>
    </row>
    <row r="456" spans="1:10" x14ac:dyDescent="0.35">
      <c r="A456" t="s">
        <v>1585</v>
      </c>
      <c r="B456" s="21"/>
      <c r="C456" s="21"/>
      <c r="D456" s="4"/>
      <c r="E456" s="4"/>
      <c r="F456" s="24"/>
      <c r="G456" s="24"/>
      <c r="H456" s="24"/>
      <c r="I456" s="24"/>
      <c r="J456" s="24"/>
    </row>
    <row r="457" spans="1:10" x14ac:dyDescent="0.35">
      <c r="A457" t="s">
        <v>1586</v>
      </c>
      <c r="B457" s="21"/>
      <c r="C457" s="21"/>
      <c r="D457" s="4"/>
      <c r="E457" s="4"/>
      <c r="F457" s="24"/>
      <c r="G457" s="24"/>
      <c r="H457" s="24"/>
      <c r="I457" s="24"/>
      <c r="J457" s="24"/>
    </row>
    <row r="458" spans="1:10" x14ac:dyDescent="0.35">
      <c r="A458" t="s">
        <v>1587</v>
      </c>
      <c r="B458" s="21"/>
      <c r="C458" s="21"/>
      <c r="D458" s="4"/>
      <c r="E458" s="4"/>
      <c r="F458" s="24"/>
      <c r="G458" s="24"/>
      <c r="H458" s="24"/>
      <c r="I458" s="24"/>
      <c r="J458" s="24"/>
    </row>
    <row r="459" spans="1:10" x14ac:dyDescent="0.35">
      <c r="A459" t="s">
        <v>1588</v>
      </c>
      <c r="B459" s="21"/>
      <c r="C459" s="21"/>
      <c r="D459" s="4"/>
      <c r="E459" s="4"/>
      <c r="F459" s="24"/>
      <c r="G459" s="24"/>
      <c r="H459" s="24"/>
      <c r="I459" s="24"/>
      <c r="J459" s="24"/>
    </row>
    <row r="460" spans="1:10" x14ac:dyDescent="0.35">
      <c r="A460" t="s">
        <v>1589</v>
      </c>
      <c r="B460" s="21"/>
      <c r="C460" s="21"/>
      <c r="D460" s="4"/>
      <c r="E460" s="4"/>
      <c r="F460" s="24"/>
      <c r="G460" s="24"/>
      <c r="H460" s="24"/>
      <c r="I460" s="24"/>
      <c r="J460" s="24"/>
    </row>
    <row r="461" spans="1:10" x14ac:dyDescent="0.35">
      <c r="A461" t="s">
        <v>1590</v>
      </c>
      <c r="B461" s="21"/>
      <c r="C461" s="21"/>
      <c r="D461" s="4"/>
      <c r="E461" s="4"/>
      <c r="F461" s="24"/>
      <c r="G461" s="24"/>
      <c r="H461" s="24"/>
      <c r="I461" s="24"/>
      <c r="J461" s="24"/>
    </row>
    <row r="462" spans="1:10" x14ac:dyDescent="0.35">
      <c r="A462" t="s">
        <v>1591</v>
      </c>
      <c r="B462" s="21"/>
      <c r="C462" s="21"/>
      <c r="D462" s="4"/>
      <c r="E462" s="4"/>
      <c r="F462" s="24"/>
      <c r="G462" s="24"/>
      <c r="H462" s="24"/>
      <c r="I462" s="24"/>
      <c r="J462" s="24"/>
    </row>
    <row r="463" spans="1:10" x14ac:dyDescent="0.35">
      <c r="A463" t="s">
        <v>1592</v>
      </c>
      <c r="B463" s="21"/>
      <c r="C463" s="21"/>
      <c r="D463" s="4"/>
      <c r="E463" s="4"/>
      <c r="F463" s="24"/>
      <c r="G463" s="24"/>
      <c r="H463" s="24"/>
      <c r="I463" s="24"/>
      <c r="J463" s="24"/>
    </row>
    <row r="464" spans="1:10" x14ac:dyDescent="0.35">
      <c r="A464" t="s">
        <v>1593</v>
      </c>
      <c r="B464" s="21"/>
      <c r="C464" s="21"/>
      <c r="D464" s="4"/>
      <c r="E464" s="4"/>
      <c r="F464" s="24"/>
      <c r="G464" s="24"/>
      <c r="H464" s="24"/>
      <c r="I464" s="24"/>
      <c r="J464" s="24"/>
    </row>
    <row r="465" spans="1:10" x14ac:dyDescent="0.35">
      <c r="A465" t="s">
        <v>1594</v>
      </c>
      <c r="B465" s="21"/>
      <c r="C465" s="21"/>
      <c r="D465" s="4"/>
      <c r="E465" s="4"/>
      <c r="F465" s="24"/>
      <c r="G465" s="24"/>
      <c r="H465" s="24"/>
      <c r="I465" s="24"/>
      <c r="J465" s="24"/>
    </row>
    <row r="466" spans="1:10" x14ac:dyDescent="0.35">
      <c r="A466" t="s">
        <v>1595</v>
      </c>
      <c r="B466" s="21"/>
      <c r="C466" s="21"/>
      <c r="D466" s="4"/>
      <c r="E466" s="4"/>
      <c r="F466" s="24"/>
      <c r="G466" s="24"/>
      <c r="H466" s="24"/>
      <c r="I466" s="24"/>
      <c r="J466" s="24"/>
    </row>
    <row r="467" spans="1:10" x14ac:dyDescent="0.35">
      <c r="A467" t="s">
        <v>1596</v>
      </c>
      <c r="B467" s="21"/>
      <c r="C467" s="21"/>
      <c r="D467" s="4"/>
      <c r="E467" s="4"/>
      <c r="F467" s="24"/>
      <c r="G467" s="24"/>
      <c r="H467" s="24"/>
      <c r="I467" s="24"/>
      <c r="J467" s="24"/>
    </row>
    <row r="468" spans="1:10" x14ac:dyDescent="0.35">
      <c r="A468" t="s">
        <v>1597</v>
      </c>
      <c r="B468" s="21"/>
      <c r="C468" s="21"/>
      <c r="D468" s="4"/>
      <c r="E468" s="4"/>
      <c r="F468" s="24"/>
      <c r="G468" s="24"/>
      <c r="H468" s="24"/>
      <c r="I468" s="24"/>
      <c r="J468" s="24"/>
    </row>
    <row r="469" spans="1:10" x14ac:dyDescent="0.35">
      <c r="A469" t="s">
        <v>1598</v>
      </c>
      <c r="B469" s="21"/>
      <c r="C469" s="21"/>
      <c r="D469" s="4"/>
      <c r="E469" s="4"/>
      <c r="F469" s="24"/>
      <c r="G469" s="24"/>
      <c r="H469" s="24"/>
      <c r="I469" s="24"/>
      <c r="J469" s="24"/>
    </row>
    <row r="470" spans="1:10" x14ac:dyDescent="0.35">
      <c r="A470" t="s">
        <v>1599</v>
      </c>
      <c r="B470" s="21"/>
      <c r="C470" s="21"/>
      <c r="D470" s="4"/>
      <c r="E470" s="4"/>
      <c r="F470" s="24"/>
      <c r="G470" s="24"/>
      <c r="H470" s="24"/>
      <c r="I470" s="24"/>
      <c r="J470" s="24"/>
    </row>
    <row r="471" spans="1:10" x14ac:dyDescent="0.35">
      <c r="A471" t="s">
        <v>1600</v>
      </c>
      <c r="B471" s="21"/>
      <c r="C471" s="21"/>
      <c r="D471" s="4"/>
      <c r="E471" s="4"/>
      <c r="F471" s="24"/>
      <c r="G471" s="24"/>
      <c r="H471" s="24"/>
      <c r="I471" s="24"/>
      <c r="J471" s="24"/>
    </row>
    <row r="472" spans="1:10" x14ac:dyDescent="0.35">
      <c r="A472" t="s">
        <v>1601</v>
      </c>
      <c r="B472" s="21"/>
      <c r="C472" s="21"/>
      <c r="D472" s="4"/>
      <c r="E472" s="4"/>
      <c r="F472" s="24"/>
      <c r="G472" s="24"/>
      <c r="H472" s="24"/>
      <c r="I472" s="24"/>
      <c r="J472" s="24"/>
    </row>
    <row r="473" spans="1:10" x14ac:dyDescent="0.35">
      <c r="A473" t="s">
        <v>1602</v>
      </c>
      <c r="B473" s="21"/>
      <c r="C473" s="21"/>
      <c r="D473" s="4"/>
      <c r="E473" s="4"/>
      <c r="F473" s="24"/>
      <c r="G473" s="24"/>
      <c r="H473" s="24"/>
      <c r="I473" s="24"/>
      <c r="J473" s="24"/>
    </row>
    <row r="474" spans="1:10" x14ac:dyDescent="0.35">
      <c r="A474" t="s">
        <v>1603</v>
      </c>
      <c r="B474" s="21"/>
      <c r="C474" s="21"/>
      <c r="D474" s="4"/>
      <c r="E474" s="4"/>
      <c r="F474" s="24"/>
      <c r="G474" s="24"/>
      <c r="H474" s="24"/>
      <c r="I474" s="24"/>
      <c r="J474" s="24"/>
    </row>
    <row r="475" spans="1:10" x14ac:dyDescent="0.35">
      <c r="A475" t="s">
        <v>1604</v>
      </c>
      <c r="B475" s="21"/>
      <c r="C475" s="21"/>
      <c r="D475" s="4"/>
      <c r="E475" s="4"/>
      <c r="F475" s="24"/>
      <c r="G475" s="24"/>
      <c r="H475" s="24"/>
      <c r="I475" s="24"/>
      <c r="J475" s="24"/>
    </row>
    <row r="476" spans="1:10" x14ac:dyDescent="0.35">
      <c r="A476" t="s">
        <v>1605</v>
      </c>
      <c r="B476" s="21"/>
      <c r="C476" s="21"/>
      <c r="D476" s="4"/>
      <c r="E476" s="4"/>
      <c r="F476" s="24"/>
      <c r="G476" s="24"/>
      <c r="H476" s="24"/>
      <c r="I476" s="24"/>
      <c r="J476" s="24"/>
    </row>
    <row r="477" spans="1:10" x14ac:dyDescent="0.35">
      <c r="A477" t="s">
        <v>1606</v>
      </c>
      <c r="B477" s="21"/>
      <c r="C477" s="21"/>
      <c r="D477" s="4"/>
      <c r="E477" s="4"/>
      <c r="F477" s="24"/>
      <c r="G477" s="24"/>
      <c r="H477" s="24"/>
      <c r="I477" s="24"/>
      <c r="J477" s="24"/>
    </row>
    <row r="478" spans="1:10" x14ac:dyDescent="0.35">
      <c r="A478" t="s">
        <v>1607</v>
      </c>
      <c r="B478" s="21"/>
      <c r="C478" s="21"/>
      <c r="D478" s="4"/>
      <c r="E478" s="4"/>
      <c r="F478" s="24"/>
      <c r="G478" s="24"/>
      <c r="H478" s="24"/>
      <c r="I478" s="24"/>
      <c r="J478" s="24"/>
    </row>
    <row r="479" spans="1:10" x14ac:dyDescent="0.35">
      <c r="A479" t="s">
        <v>1608</v>
      </c>
      <c r="B479" s="21"/>
      <c r="C479" s="21"/>
      <c r="D479" s="4"/>
      <c r="E479" s="4"/>
      <c r="F479" s="24"/>
      <c r="G479" s="24"/>
      <c r="H479" s="24"/>
      <c r="I479" s="24"/>
      <c r="J479" s="24"/>
    </row>
    <row r="480" spans="1:10" x14ac:dyDescent="0.35">
      <c r="A480" t="s">
        <v>1609</v>
      </c>
      <c r="B480" s="21"/>
      <c r="C480" s="21"/>
      <c r="D480" s="4"/>
      <c r="E480" s="4"/>
      <c r="F480" s="24"/>
      <c r="G480" s="24"/>
      <c r="H480" s="24"/>
      <c r="I480" s="24"/>
      <c r="J480" s="24"/>
    </row>
    <row r="481" spans="1:10" x14ac:dyDescent="0.35">
      <c r="A481" t="s">
        <v>1610</v>
      </c>
      <c r="B481" s="21"/>
      <c r="C481" s="21"/>
      <c r="D481" s="4"/>
      <c r="E481" s="4"/>
      <c r="F481" s="24"/>
      <c r="G481" s="24"/>
      <c r="H481" s="24"/>
      <c r="I481" s="24"/>
      <c r="J481" s="24"/>
    </row>
    <row r="482" spans="1:10" x14ac:dyDescent="0.35">
      <c r="A482" t="s">
        <v>1611</v>
      </c>
      <c r="B482" s="21"/>
      <c r="C482" s="21"/>
      <c r="D482" s="4"/>
      <c r="E482" s="4"/>
      <c r="F482" s="24"/>
      <c r="G482" s="24"/>
      <c r="H482" s="24"/>
      <c r="I482" s="24"/>
      <c r="J482" s="24"/>
    </row>
    <row r="483" spans="1:10" x14ac:dyDescent="0.35">
      <c r="A483" t="s">
        <v>1612</v>
      </c>
      <c r="B483" s="21"/>
      <c r="C483" s="21"/>
      <c r="D483" s="4"/>
      <c r="E483" s="4"/>
      <c r="F483" s="24"/>
      <c r="G483" s="24"/>
      <c r="H483" s="24"/>
      <c r="I483" s="24"/>
      <c r="J483" s="24"/>
    </row>
    <row r="484" spans="1:10" x14ac:dyDescent="0.35">
      <c r="A484" t="s">
        <v>1613</v>
      </c>
      <c r="B484" s="21"/>
      <c r="C484" s="21"/>
      <c r="D484" s="4"/>
      <c r="E484" s="4"/>
      <c r="F484" s="24"/>
      <c r="G484" s="24"/>
      <c r="H484" s="24"/>
      <c r="I484" s="24"/>
      <c r="J484" s="24"/>
    </row>
    <row r="485" spans="1:10" x14ac:dyDescent="0.35">
      <c r="A485" t="s">
        <v>1614</v>
      </c>
      <c r="B485" s="21"/>
      <c r="C485" s="21"/>
      <c r="D485" s="4"/>
      <c r="E485" s="4"/>
      <c r="F485" s="24"/>
      <c r="G485" s="24"/>
      <c r="H485" s="24"/>
      <c r="I485" s="24"/>
      <c r="J485" s="24"/>
    </row>
    <row r="486" spans="1:10" x14ac:dyDescent="0.35">
      <c r="A486" t="s">
        <v>1615</v>
      </c>
      <c r="B486" s="21"/>
      <c r="C486" s="21"/>
      <c r="D486" s="4"/>
      <c r="E486" s="4"/>
      <c r="F486" s="24"/>
      <c r="G486" s="24"/>
      <c r="H486" s="24"/>
      <c r="I486" s="24"/>
      <c r="J486" s="24"/>
    </row>
    <row r="487" spans="1:10" x14ac:dyDescent="0.35">
      <c r="A487" t="s">
        <v>1616</v>
      </c>
      <c r="B487" s="21"/>
      <c r="C487" s="21"/>
      <c r="D487" s="4"/>
      <c r="E487" s="4"/>
      <c r="F487" s="24"/>
      <c r="G487" s="24"/>
      <c r="H487" s="24"/>
      <c r="I487" s="24"/>
      <c r="J487" s="24"/>
    </row>
    <row r="488" spans="1:10" x14ac:dyDescent="0.35">
      <c r="A488" t="s">
        <v>1617</v>
      </c>
      <c r="B488" s="21"/>
      <c r="C488" s="21"/>
      <c r="D488" s="4"/>
      <c r="E488" s="4"/>
      <c r="F488" s="24"/>
      <c r="G488" s="24"/>
      <c r="H488" s="24"/>
      <c r="I488" s="24"/>
      <c r="J488" s="24"/>
    </row>
    <row r="489" spans="1:10" x14ac:dyDescent="0.35">
      <c r="A489" t="s">
        <v>1618</v>
      </c>
      <c r="B489" s="21"/>
      <c r="C489" s="21"/>
      <c r="D489" s="4"/>
      <c r="E489" s="4"/>
      <c r="F489" s="24"/>
      <c r="G489" s="24"/>
      <c r="H489" s="24"/>
      <c r="I489" s="24"/>
      <c r="J489" s="24"/>
    </row>
    <row r="490" spans="1:10" x14ac:dyDescent="0.35">
      <c r="A490" t="s">
        <v>1619</v>
      </c>
      <c r="B490" s="21"/>
      <c r="C490" s="21"/>
      <c r="D490" s="4"/>
      <c r="E490" s="4"/>
      <c r="F490" s="24"/>
      <c r="G490" s="24"/>
      <c r="H490" s="24"/>
      <c r="I490" s="24"/>
      <c r="J490" s="24"/>
    </row>
    <row r="491" spans="1:10" x14ac:dyDescent="0.35">
      <c r="A491" t="s">
        <v>1620</v>
      </c>
      <c r="B491" s="21"/>
      <c r="C491" s="21"/>
      <c r="D491" s="4"/>
      <c r="E491" s="4"/>
      <c r="F491" s="24"/>
      <c r="G491" s="24"/>
      <c r="H491" s="24"/>
      <c r="I491" s="24"/>
      <c r="J491" s="24"/>
    </row>
    <row r="492" spans="1:10" x14ac:dyDescent="0.35">
      <c r="A492" t="s">
        <v>1621</v>
      </c>
      <c r="B492" s="21"/>
      <c r="C492" s="21"/>
      <c r="D492" s="4"/>
      <c r="E492" s="4"/>
      <c r="F492" s="24"/>
      <c r="G492" s="24"/>
      <c r="H492" s="24"/>
      <c r="I492" s="24"/>
      <c r="J492" s="24"/>
    </row>
    <row r="493" spans="1:10" x14ac:dyDescent="0.35">
      <c r="A493" t="s">
        <v>1622</v>
      </c>
      <c r="B493" s="21"/>
      <c r="C493" s="21"/>
      <c r="D493" s="4"/>
      <c r="E493" s="4"/>
      <c r="F493" s="24"/>
      <c r="G493" s="24"/>
      <c r="H493" s="24"/>
      <c r="I493" s="24"/>
      <c r="J493" s="24"/>
    </row>
    <row r="494" spans="1:10" x14ac:dyDescent="0.35">
      <c r="A494" t="s">
        <v>1623</v>
      </c>
      <c r="B494" s="21"/>
      <c r="C494" s="21"/>
      <c r="D494" s="4"/>
      <c r="E494" s="4"/>
      <c r="F494" s="24"/>
      <c r="G494" s="24"/>
      <c r="H494" s="24"/>
      <c r="I494" s="24"/>
      <c r="J494" s="24"/>
    </row>
    <row r="495" spans="1:10" x14ac:dyDescent="0.35">
      <c r="A495" t="s">
        <v>1624</v>
      </c>
      <c r="B495" s="21"/>
      <c r="C495" s="21"/>
      <c r="D495" s="4"/>
      <c r="E495" s="4"/>
      <c r="F495" s="24"/>
      <c r="G495" s="24"/>
      <c r="H495" s="24"/>
      <c r="I495" s="24"/>
      <c r="J495" s="24"/>
    </row>
    <row r="496" spans="1:10" x14ac:dyDescent="0.35">
      <c r="A496" t="s">
        <v>1625</v>
      </c>
      <c r="B496" s="21"/>
      <c r="C496" s="21"/>
      <c r="D496" s="4"/>
      <c r="E496" s="4"/>
      <c r="F496" s="24"/>
      <c r="G496" s="24"/>
      <c r="H496" s="24"/>
      <c r="I496" s="24"/>
      <c r="J496" s="24"/>
    </row>
    <row r="497" spans="1:10" x14ac:dyDescent="0.35">
      <c r="A497" t="s">
        <v>1626</v>
      </c>
      <c r="B497" s="21"/>
      <c r="C497" s="21"/>
      <c r="D497" s="4"/>
      <c r="E497" s="4"/>
      <c r="F497" s="24"/>
      <c r="G497" s="24"/>
      <c r="H497" s="24"/>
      <c r="I497" s="24"/>
      <c r="J497" s="24"/>
    </row>
    <row r="498" spans="1:10" x14ac:dyDescent="0.35">
      <c r="A498" t="s">
        <v>1627</v>
      </c>
      <c r="B498" s="21"/>
      <c r="C498" s="21"/>
      <c r="D498" s="4"/>
      <c r="E498" s="4"/>
      <c r="F498" s="24"/>
      <c r="G498" s="24"/>
      <c r="H498" s="24"/>
      <c r="I498" s="24"/>
      <c r="J498" s="24"/>
    </row>
    <row r="499" spans="1:10" x14ac:dyDescent="0.35">
      <c r="A499" t="s">
        <v>1628</v>
      </c>
      <c r="B499" s="21"/>
      <c r="C499" s="21"/>
      <c r="D499" s="4"/>
      <c r="E499" s="4"/>
      <c r="F499" s="24"/>
      <c r="G499" s="24"/>
      <c r="H499" s="24"/>
      <c r="I499" s="24"/>
      <c r="J499" s="24"/>
    </row>
    <row r="500" spans="1:10" x14ac:dyDescent="0.35">
      <c r="A500" t="s">
        <v>1629</v>
      </c>
      <c r="B500" s="21"/>
      <c r="C500" s="21"/>
      <c r="D500" s="4"/>
      <c r="E500" s="4"/>
      <c r="F500" s="24"/>
      <c r="G500" s="24"/>
      <c r="H500" s="24"/>
      <c r="I500" s="24"/>
      <c r="J500" s="24"/>
    </row>
    <row r="501" spans="1:10" x14ac:dyDescent="0.35">
      <c r="A501" t="s">
        <v>1630</v>
      </c>
      <c r="B501" s="21"/>
      <c r="C501" s="21"/>
      <c r="D501" s="4"/>
      <c r="E501" s="4"/>
      <c r="F501" s="24"/>
      <c r="G501" s="24"/>
      <c r="H501" s="24"/>
      <c r="I501" s="24"/>
      <c r="J501" s="24"/>
    </row>
    <row r="502" spans="1:10" x14ac:dyDescent="0.35">
      <c r="A502" t="s">
        <v>1631</v>
      </c>
      <c r="B502" s="21"/>
      <c r="C502" s="21"/>
      <c r="D502" s="4"/>
      <c r="E502" s="4"/>
      <c r="F502" s="24"/>
      <c r="G502" s="24"/>
      <c r="H502" s="24"/>
      <c r="I502" s="24"/>
      <c r="J502" s="24"/>
    </row>
    <row r="503" spans="1:10" x14ac:dyDescent="0.35">
      <c r="A503" t="s">
        <v>1632</v>
      </c>
      <c r="B503" s="21"/>
      <c r="C503" s="21"/>
      <c r="D503" s="4"/>
      <c r="E503" s="4"/>
      <c r="F503" s="24"/>
      <c r="G503" s="24"/>
      <c r="H503" s="24"/>
      <c r="I503" s="24"/>
      <c r="J503" s="24"/>
    </row>
    <row r="504" spans="1:10" x14ac:dyDescent="0.35">
      <c r="A504" t="s">
        <v>1633</v>
      </c>
      <c r="B504" s="21"/>
      <c r="C504" s="21"/>
      <c r="D504" s="4"/>
      <c r="E504" s="4"/>
      <c r="F504" s="24"/>
      <c r="G504" s="24"/>
      <c r="H504" s="24"/>
      <c r="I504" s="24"/>
      <c r="J504" s="24"/>
    </row>
    <row r="505" spans="1:10" x14ac:dyDescent="0.35">
      <c r="A505" t="s">
        <v>1634</v>
      </c>
      <c r="B505" s="21"/>
      <c r="C505" s="21"/>
      <c r="D505" s="4"/>
      <c r="E505" s="4"/>
      <c r="F505" s="24"/>
      <c r="G505" s="24"/>
      <c r="H505" s="24"/>
      <c r="I505" s="24"/>
      <c r="J505" s="24"/>
    </row>
    <row r="506" spans="1:10" x14ac:dyDescent="0.35">
      <c r="A506" t="s">
        <v>1635</v>
      </c>
      <c r="B506" s="21"/>
      <c r="C506" s="21"/>
      <c r="D506" s="4"/>
      <c r="E506" s="4"/>
      <c r="F506" s="24"/>
      <c r="G506" s="24"/>
      <c r="H506" s="24"/>
      <c r="I506" s="24"/>
      <c r="J506" s="24"/>
    </row>
    <row r="507" spans="1:10" x14ac:dyDescent="0.35">
      <c r="A507" t="s">
        <v>1636</v>
      </c>
      <c r="B507" s="21"/>
      <c r="C507" s="21"/>
      <c r="D507" s="4"/>
      <c r="E507" s="4"/>
      <c r="F507" s="24"/>
      <c r="G507" s="24"/>
      <c r="H507" s="24"/>
      <c r="I507" s="24"/>
      <c r="J507" s="24"/>
    </row>
    <row r="508" spans="1:10" x14ac:dyDescent="0.35">
      <c r="A508" t="s">
        <v>1637</v>
      </c>
      <c r="B508" s="21"/>
      <c r="C508" s="21"/>
      <c r="D508" s="4"/>
      <c r="E508" s="4"/>
      <c r="F508" s="24"/>
      <c r="G508" s="24"/>
      <c r="H508" s="24"/>
      <c r="I508" s="24"/>
      <c r="J508" s="24"/>
    </row>
    <row r="509" spans="1:10" x14ac:dyDescent="0.35">
      <c r="A509" t="s">
        <v>1638</v>
      </c>
      <c r="B509" s="21"/>
      <c r="C509" s="21"/>
      <c r="D509" s="4"/>
      <c r="E509" s="4"/>
      <c r="F509" s="24"/>
      <c r="G509" s="24"/>
      <c r="H509" s="24"/>
      <c r="I509" s="24"/>
      <c r="J509" s="24"/>
    </row>
    <row r="510" spans="1:10" x14ac:dyDescent="0.35">
      <c r="A510" t="s">
        <v>1639</v>
      </c>
      <c r="B510" s="21"/>
      <c r="C510" s="21"/>
      <c r="D510" s="4"/>
      <c r="E510" s="4"/>
      <c r="F510" s="24"/>
      <c r="G510" s="24"/>
      <c r="H510" s="24"/>
      <c r="I510" s="24"/>
      <c r="J510" s="24"/>
    </row>
    <row r="511" spans="1:10" x14ac:dyDescent="0.35">
      <c r="A511" t="s">
        <v>1640</v>
      </c>
      <c r="B511" s="21"/>
      <c r="C511" s="21"/>
      <c r="D511" s="4"/>
      <c r="E511" s="4"/>
      <c r="F511" s="24"/>
      <c r="G511" s="24"/>
      <c r="H511" s="24"/>
      <c r="I511" s="24"/>
      <c r="J511" s="24"/>
    </row>
    <row r="512" spans="1:10" x14ac:dyDescent="0.35">
      <c r="A512" t="s">
        <v>1641</v>
      </c>
      <c r="B512" s="21"/>
      <c r="C512" s="21"/>
      <c r="D512" s="4"/>
      <c r="E512" s="4"/>
      <c r="F512" s="24"/>
      <c r="G512" s="24"/>
      <c r="H512" s="24"/>
      <c r="I512" s="24"/>
      <c r="J512" s="24"/>
    </row>
    <row r="513" spans="1:10" x14ac:dyDescent="0.35">
      <c r="A513" t="s">
        <v>1642</v>
      </c>
      <c r="B513" s="21"/>
      <c r="C513" s="21"/>
      <c r="D513" s="4"/>
      <c r="E513" s="4"/>
      <c r="F513" s="24"/>
      <c r="G513" s="24"/>
      <c r="H513" s="24"/>
      <c r="I513" s="24"/>
      <c r="J513" s="24"/>
    </row>
    <row r="514" spans="1:10" x14ac:dyDescent="0.35">
      <c r="A514" t="s">
        <v>1643</v>
      </c>
      <c r="B514" s="21"/>
      <c r="C514" s="21"/>
      <c r="D514" s="4"/>
      <c r="E514" s="4"/>
      <c r="F514" s="24"/>
      <c r="G514" s="24"/>
      <c r="H514" s="24"/>
      <c r="I514" s="24"/>
      <c r="J514" s="24"/>
    </row>
    <row r="515" spans="1:10" x14ac:dyDescent="0.35">
      <c r="A515" t="s">
        <v>1644</v>
      </c>
      <c r="B515" s="21"/>
      <c r="C515" s="21"/>
      <c r="D515" s="4"/>
      <c r="E515" s="4"/>
      <c r="F515" s="24"/>
      <c r="G515" s="24"/>
      <c r="H515" s="24"/>
      <c r="I515" s="24"/>
      <c r="J515" s="24"/>
    </row>
    <row r="516" spans="1:10" x14ac:dyDescent="0.35">
      <c r="A516" t="s">
        <v>1645</v>
      </c>
      <c r="B516" s="21"/>
      <c r="C516" s="21"/>
      <c r="D516" s="4"/>
      <c r="E516" s="4"/>
      <c r="F516" s="24"/>
      <c r="G516" s="24"/>
      <c r="H516" s="24"/>
      <c r="I516" s="24"/>
      <c r="J516" s="24"/>
    </row>
    <row r="517" spans="1:10" x14ac:dyDescent="0.35">
      <c r="A517" t="s">
        <v>1646</v>
      </c>
      <c r="B517" s="21"/>
      <c r="C517" s="21"/>
      <c r="D517" s="4"/>
      <c r="E517" s="4"/>
      <c r="F517" s="24"/>
      <c r="G517" s="24"/>
      <c r="H517" s="24"/>
      <c r="I517" s="24"/>
      <c r="J517" s="24"/>
    </row>
    <row r="518" spans="1:10" x14ac:dyDescent="0.35">
      <c r="A518" t="s">
        <v>1647</v>
      </c>
      <c r="B518" s="21"/>
      <c r="C518" s="21"/>
      <c r="D518" s="4"/>
      <c r="E518" s="4"/>
      <c r="F518" s="24"/>
      <c r="G518" s="24"/>
      <c r="H518" s="24"/>
      <c r="I518" s="24"/>
      <c r="J518" s="24"/>
    </row>
    <row r="519" spans="1:10" x14ac:dyDescent="0.35">
      <c r="A519" t="s">
        <v>1648</v>
      </c>
      <c r="B519" s="21"/>
      <c r="C519" s="21"/>
      <c r="D519" s="4"/>
      <c r="E519" s="4"/>
      <c r="F519" s="24"/>
      <c r="G519" s="24"/>
      <c r="H519" s="24"/>
      <c r="I519" s="24"/>
      <c r="J519" s="24"/>
    </row>
    <row r="520" spans="1:10" x14ac:dyDescent="0.35">
      <c r="A520" t="s">
        <v>1649</v>
      </c>
      <c r="B520" s="21"/>
      <c r="C520" s="21"/>
      <c r="D520" s="4"/>
      <c r="E520" s="4"/>
      <c r="F520" s="24"/>
      <c r="G520" s="24"/>
      <c r="H520" s="24"/>
      <c r="I520" s="24"/>
      <c r="J520" s="24"/>
    </row>
    <row r="521" spans="1:10" x14ac:dyDescent="0.35">
      <c r="A521" t="s">
        <v>1650</v>
      </c>
      <c r="B521" s="21"/>
      <c r="C521" s="21"/>
      <c r="D521" s="4"/>
      <c r="E521" s="4"/>
      <c r="F521" s="24"/>
      <c r="G521" s="24"/>
      <c r="H521" s="24"/>
      <c r="I521" s="24"/>
      <c r="J521" s="24"/>
    </row>
    <row r="522" spans="1:10" x14ac:dyDescent="0.35">
      <c r="A522" t="s">
        <v>1651</v>
      </c>
      <c r="B522" s="21"/>
      <c r="C522" s="21"/>
      <c r="D522" s="4"/>
      <c r="E522" s="4"/>
      <c r="F522" s="24"/>
      <c r="G522" s="24"/>
      <c r="H522" s="24"/>
      <c r="I522" s="24"/>
      <c r="J522" s="24"/>
    </row>
    <row r="523" spans="1:10" x14ac:dyDescent="0.35">
      <c r="A523" t="s">
        <v>1652</v>
      </c>
      <c r="B523" s="21"/>
      <c r="C523" s="21"/>
      <c r="D523" s="4"/>
      <c r="E523" s="4"/>
      <c r="F523" s="24"/>
      <c r="G523" s="24"/>
      <c r="H523" s="24"/>
      <c r="I523" s="24"/>
      <c r="J523" s="24"/>
    </row>
    <row r="524" spans="1:10" x14ac:dyDescent="0.35">
      <c r="A524" t="s">
        <v>1653</v>
      </c>
      <c r="B524" s="21"/>
      <c r="C524" s="21"/>
      <c r="D524" s="4"/>
      <c r="E524" s="4"/>
      <c r="F524" s="24"/>
      <c r="G524" s="24"/>
      <c r="H524" s="24"/>
      <c r="I524" s="24"/>
      <c r="J524" s="24"/>
    </row>
    <row r="525" spans="1:10" x14ac:dyDescent="0.35">
      <c r="A525" t="s">
        <v>1654</v>
      </c>
      <c r="B525" s="21"/>
      <c r="C525" s="21"/>
      <c r="D525" s="4"/>
      <c r="E525" s="4"/>
      <c r="F525" s="24"/>
      <c r="G525" s="24"/>
      <c r="H525" s="24"/>
      <c r="I525" s="24"/>
      <c r="J525" s="24"/>
    </row>
    <row r="526" spans="1:10" x14ac:dyDescent="0.35">
      <c r="A526" t="s">
        <v>1655</v>
      </c>
      <c r="B526" s="21"/>
      <c r="C526" s="21"/>
      <c r="D526" s="4"/>
      <c r="E526" s="4"/>
      <c r="F526" s="24"/>
      <c r="G526" s="24"/>
      <c r="H526" s="24"/>
      <c r="I526" s="24"/>
      <c r="J526" s="24"/>
    </row>
    <row r="527" spans="1:10" x14ac:dyDescent="0.35">
      <c r="A527" t="s">
        <v>1656</v>
      </c>
      <c r="B527" s="21"/>
      <c r="C527" s="21"/>
      <c r="D527" s="4"/>
      <c r="E527" s="4"/>
      <c r="F527" s="24"/>
      <c r="G527" s="24"/>
      <c r="H527" s="24"/>
      <c r="I527" s="24"/>
      <c r="J527" s="24"/>
    </row>
    <row r="528" spans="1:10" x14ac:dyDescent="0.35">
      <c r="A528" t="s">
        <v>1657</v>
      </c>
      <c r="B528" s="21"/>
      <c r="C528" s="21"/>
      <c r="D528" s="4"/>
      <c r="E528" s="4"/>
      <c r="F528" s="24"/>
      <c r="G528" s="24"/>
      <c r="H528" s="24"/>
      <c r="I528" s="24"/>
      <c r="J528" s="24"/>
    </row>
    <row r="529" spans="1:10" x14ac:dyDescent="0.35">
      <c r="A529" t="s">
        <v>1658</v>
      </c>
      <c r="B529" s="21"/>
      <c r="C529" s="21"/>
      <c r="D529" s="4"/>
      <c r="E529" s="4"/>
      <c r="F529" s="24"/>
      <c r="G529" s="24"/>
      <c r="H529" s="24"/>
      <c r="I529" s="24"/>
      <c r="J529" s="24"/>
    </row>
    <row r="530" spans="1:10" x14ac:dyDescent="0.35">
      <c r="A530" t="s">
        <v>1659</v>
      </c>
      <c r="B530" s="21"/>
      <c r="C530" s="21"/>
      <c r="D530" s="4"/>
      <c r="E530" s="4"/>
      <c r="F530" s="24"/>
      <c r="G530" s="24"/>
      <c r="H530" s="24"/>
      <c r="I530" s="24"/>
      <c r="J530" s="24"/>
    </row>
    <row r="531" spans="1:10" x14ac:dyDescent="0.35">
      <c r="A531" t="s">
        <v>1660</v>
      </c>
      <c r="B531" s="21"/>
      <c r="C531" s="21"/>
      <c r="D531" s="4"/>
      <c r="E531" s="4"/>
      <c r="F531" s="24"/>
      <c r="G531" s="24"/>
      <c r="H531" s="24"/>
      <c r="I531" s="24"/>
      <c r="J531" s="24"/>
    </row>
    <row r="532" spans="1:10" x14ac:dyDescent="0.35">
      <c r="A532" t="s">
        <v>1661</v>
      </c>
      <c r="B532" s="21"/>
      <c r="C532" s="21"/>
      <c r="D532" s="4"/>
      <c r="E532" s="4"/>
      <c r="F532" s="24"/>
      <c r="G532" s="24"/>
      <c r="H532" s="24"/>
      <c r="I532" s="24"/>
      <c r="J532" s="24"/>
    </row>
    <row r="533" spans="1:10" x14ac:dyDescent="0.35">
      <c r="A533" t="s">
        <v>1662</v>
      </c>
      <c r="B533" s="21"/>
      <c r="C533" s="21"/>
      <c r="D533" s="4"/>
      <c r="E533" s="4"/>
      <c r="F533" s="24"/>
      <c r="G533" s="24"/>
      <c r="H533" s="24"/>
      <c r="I533" s="24"/>
      <c r="J533" s="24"/>
    </row>
    <row r="534" spans="1:10" x14ac:dyDescent="0.35">
      <c r="A534" t="s">
        <v>1663</v>
      </c>
      <c r="B534" s="21"/>
      <c r="C534" s="21"/>
      <c r="D534" s="4"/>
      <c r="E534" s="4"/>
      <c r="F534" s="24"/>
      <c r="G534" s="24"/>
      <c r="H534" s="24"/>
      <c r="I534" s="24"/>
      <c r="J534" s="24"/>
    </row>
    <row r="535" spans="1:10" x14ac:dyDescent="0.35">
      <c r="A535" t="s">
        <v>1664</v>
      </c>
      <c r="B535" s="21"/>
      <c r="C535" s="21"/>
      <c r="D535" s="4"/>
      <c r="E535" s="4"/>
      <c r="F535" s="24"/>
      <c r="G535" s="24"/>
      <c r="H535" s="24"/>
      <c r="I535" s="24"/>
      <c r="J535" s="24"/>
    </row>
    <row r="536" spans="1:10" x14ac:dyDescent="0.35">
      <c r="A536" t="s">
        <v>1665</v>
      </c>
      <c r="B536" s="21"/>
      <c r="C536" s="21"/>
      <c r="D536" s="4"/>
      <c r="E536" s="4"/>
      <c r="F536" s="24"/>
      <c r="G536" s="24"/>
      <c r="H536" s="24"/>
      <c r="I536" s="24"/>
      <c r="J536" s="24"/>
    </row>
    <row r="537" spans="1:10" x14ac:dyDescent="0.35">
      <c r="A537" t="s">
        <v>1666</v>
      </c>
      <c r="B537" s="21"/>
      <c r="C537" s="21"/>
      <c r="D537" s="4"/>
      <c r="E537" s="4"/>
      <c r="F537" s="24"/>
      <c r="G537" s="24"/>
      <c r="H537" s="24"/>
      <c r="I537" s="24"/>
      <c r="J537" s="24"/>
    </row>
    <row r="538" spans="1:10" x14ac:dyDescent="0.35">
      <c r="A538" t="s">
        <v>1667</v>
      </c>
      <c r="B538" s="21"/>
      <c r="C538" s="21"/>
      <c r="D538" s="4"/>
      <c r="E538" s="4"/>
      <c r="F538" s="24"/>
      <c r="G538" s="24"/>
      <c r="H538" s="24"/>
      <c r="I538" s="24"/>
      <c r="J538" s="24"/>
    </row>
    <row r="539" spans="1:10" x14ac:dyDescent="0.35">
      <c r="A539" t="s">
        <v>1668</v>
      </c>
      <c r="B539" s="21"/>
      <c r="C539" s="21"/>
      <c r="D539" s="4"/>
      <c r="E539" s="4"/>
      <c r="F539" s="24"/>
      <c r="G539" s="24"/>
      <c r="H539" s="24"/>
      <c r="I539" s="24"/>
      <c r="J539" s="24"/>
    </row>
    <row r="540" spans="1:10" x14ac:dyDescent="0.35">
      <c r="A540" t="s">
        <v>1669</v>
      </c>
      <c r="B540" s="21"/>
      <c r="C540" s="21"/>
      <c r="D540" s="4"/>
      <c r="E540" s="4"/>
      <c r="F540" s="24"/>
      <c r="G540" s="24"/>
      <c r="H540" s="24"/>
      <c r="I540" s="24"/>
      <c r="J540" s="24"/>
    </row>
    <row r="541" spans="1:10" x14ac:dyDescent="0.35">
      <c r="A541" t="s">
        <v>1670</v>
      </c>
      <c r="B541" s="21"/>
      <c r="C541" s="21"/>
      <c r="D541" s="4"/>
      <c r="E541" s="4"/>
      <c r="F541" s="24"/>
      <c r="G541" s="24"/>
      <c r="H541" s="24"/>
      <c r="I541" s="24"/>
      <c r="J541" s="24"/>
    </row>
    <row r="542" spans="1:10" x14ac:dyDescent="0.35">
      <c r="A542" t="s">
        <v>1671</v>
      </c>
      <c r="B542" s="21"/>
      <c r="C542" s="21"/>
      <c r="D542" s="4"/>
      <c r="E542" s="4"/>
      <c r="F542" s="24"/>
      <c r="G542" s="24"/>
      <c r="H542" s="24"/>
      <c r="I542" s="24"/>
      <c r="J542" s="24"/>
    </row>
    <row r="543" spans="1:10" x14ac:dyDescent="0.35">
      <c r="A543" t="s">
        <v>1672</v>
      </c>
      <c r="B543" s="21"/>
      <c r="C543" s="21"/>
      <c r="D543" s="4"/>
      <c r="E543" s="4"/>
      <c r="F543" s="24"/>
      <c r="G543" s="24"/>
      <c r="H543" s="24"/>
      <c r="I543" s="24"/>
      <c r="J543" s="24"/>
    </row>
    <row r="544" spans="1:10" x14ac:dyDescent="0.35">
      <c r="A544" t="s">
        <v>1673</v>
      </c>
      <c r="B544" s="21"/>
      <c r="C544" s="21"/>
      <c r="D544" s="4"/>
      <c r="E544" s="4"/>
      <c r="F544" s="24"/>
      <c r="G544" s="24"/>
      <c r="H544" s="24"/>
      <c r="I544" s="24"/>
      <c r="J544" s="24"/>
    </row>
    <row r="545" spans="1:10" x14ac:dyDescent="0.35">
      <c r="A545" t="s">
        <v>1674</v>
      </c>
      <c r="B545" s="21"/>
      <c r="C545" s="21"/>
      <c r="D545" s="4"/>
      <c r="E545" s="4"/>
      <c r="F545" s="24"/>
      <c r="G545" s="24"/>
      <c r="H545" s="24"/>
      <c r="I545" s="24"/>
      <c r="J545" s="24"/>
    </row>
    <row r="546" spans="1:10" x14ac:dyDescent="0.35">
      <c r="A546" t="s">
        <v>1675</v>
      </c>
      <c r="B546" s="21"/>
      <c r="C546" s="21"/>
      <c r="D546" s="4"/>
      <c r="E546" s="4"/>
      <c r="F546" s="24"/>
      <c r="G546" s="24"/>
      <c r="H546" s="24"/>
      <c r="I546" s="24"/>
      <c r="J546" s="24"/>
    </row>
    <row r="547" spans="1:10" x14ac:dyDescent="0.35">
      <c r="A547" t="s">
        <v>1676</v>
      </c>
      <c r="B547" s="21"/>
      <c r="C547" s="21"/>
      <c r="D547" s="4"/>
      <c r="E547" s="4"/>
      <c r="F547" s="24"/>
      <c r="G547" s="24"/>
      <c r="H547" s="24"/>
      <c r="I547" s="24"/>
      <c r="J547" s="24"/>
    </row>
    <row r="548" spans="1:10" x14ac:dyDescent="0.35">
      <c r="A548" t="s">
        <v>1677</v>
      </c>
      <c r="B548" s="21"/>
      <c r="C548" s="21"/>
      <c r="D548" s="4"/>
      <c r="E548" s="4"/>
      <c r="F548" s="24"/>
      <c r="G548" s="24"/>
      <c r="H548" s="24"/>
      <c r="I548" s="24"/>
      <c r="J548" s="24"/>
    </row>
    <row r="549" spans="1:10" x14ac:dyDescent="0.35">
      <c r="A549" t="s">
        <v>1678</v>
      </c>
      <c r="B549" s="21"/>
      <c r="C549" s="21"/>
      <c r="D549" s="4"/>
      <c r="E549" s="4"/>
      <c r="F549" s="24"/>
      <c r="G549" s="24"/>
      <c r="H549" s="24"/>
      <c r="I549" s="24"/>
      <c r="J549" s="24"/>
    </row>
    <row r="550" spans="1:10" x14ac:dyDescent="0.35">
      <c r="A550" t="s">
        <v>1679</v>
      </c>
      <c r="B550" s="21"/>
      <c r="C550" s="21"/>
      <c r="D550" s="4"/>
      <c r="E550" s="4"/>
      <c r="F550" s="24"/>
      <c r="G550" s="24"/>
      <c r="H550" s="24"/>
      <c r="I550" s="24"/>
      <c r="J550" s="24"/>
    </row>
    <row r="551" spans="1:10" x14ac:dyDescent="0.35">
      <c r="A551" t="s">
        <v>1680</v>
      </c>
      <c r="B551" s="21"/>
      <c r="C551" s="21"/>
      <c r="D551" s="4"/>
      <c r="E551" s="4"/>
      <c r="F551" s="24"/>
      <c r="G551" s="24"/>
      <c r="H551" s="24"/>
      <c r="I551" s="24"/>
      <c r="J551" s="24"/>
    </row>
    <row r="552" spans="1:10" x14ac:dyDescent="0.35">
      <c r="A552" t="s">
        <v>1681</v>
      </c>
      <c r="B552" s="21"/>
      <c r="C552" s="21"/>
      <c r="D552" s="4"/>
      <c r="E552" s="4"/>
      <c r="F552" s="24"/>
      <c r="G552" s="24"/>
      <c r="H552" s="24"/>
      <c r="I552" s="24"/>
      <c r="J552" s="24"/>
    </row>
    <row r="553" spans="1:10" x14ac:dyDescent="0.35">
      <c r="A553" t="s">
        <v>1682</v>
      </c>
      <c r="B553" s="21"/>
      <c r="C553" s="21"/>
      <c r="D553" s="4"/>
      <c r="E553" s="4"/>
      <c r="F553" s="24"/>
      <c r="G553" s="24"/>
      <c r="H553" s="24"/>
      <c r="I553" s="24"/>
      <c r="J553" s="24"/>
    </row>
    <row r="554" spans="1:10" x14ac:dyDescent="0.35">
      <c r="A554" t="s">
        <v>1683</v>
      </c>
      <c r="B554" s="21"/>
      <c r="C554" s="21"/>
      <c r="D554" s="4"/>
      <c r="E554" s="4"/>
      <c r="F554" s="24"/>
      <c r="G554" s="24"/>
      <c r="H554" s="24"/>
      <c r="I554" s="24"/>
      <c r="J554" s="24"/>
    </row>
    <row r="555" spans="1:10" x14ac:dyDescent="0.35">
      <c r="A555" t="s">
        <v>1684</v>
      </c>
      <c r="B555" s="21"/>
      <c r="C555" s="21"/>
      <c r="D555" s="4"/>
      <c r="E555" s="4"/>
      <c r="F555" s="24"/>
      <c r="G555" s="24"/>
      <c r="H555" s="24"/>
      <c r="I555" s="24"/>
      <c r="J555" s="24"/>
    </row>
    <row r="556" spans="1:10" x14ac:dyDescent="0.35">
      <c r="A556" t="s">
        <v>1685</v>
      </c>
      <c r="B556" s="21"/>
      <c r="C556" s="21"/>
      <c r="D556" s="4"/>
      <c r="E556" s="4"/>
      <c r="F556" s="24"/>
      <c r="G556" s="24"/>
      <c r="H556" s="24"/>
      <c r="I556" s="24"/>
      <c r="J556" s="24"/>
    </row>
    <row r="557" spans="1:10" x14ac:dyDescent="0.35">
      <c r="A557" t="s">
        <v>1686</v>
      </c>
      <c r="B557" s="21"/>
      <c r="C557" s="21"/>
      <c r="D557" s="4"/>
      <c r="E557" s="4"/>
      <c r="F557" s="24"/>
      <c r="G557" s="24"/>
      <c r="H557" s="24"/>
      <c r="I557" s="24"/>
      <c r="J557" s="24"/>
    </row>
    <row r="558" spans="1:10" x14ac:dyDescent="0.35">
      <c r="A558" t="s">
        <v>1687</v>
      </c>
      <c r="B558" s="21"/>
      <c r="C558" s="21"/>
      <c r="D558" s="4"/>
      <c r="E558" s="4"/>
      <c r="F558" s="24"/>
      <c r="G558" s="24"/>
      <c r="H558" s="24"/>
      <c r="I558" s="24"/>
      <c r="J558" s="24"/>
    </row>
    <row r="559" spans="1:10" x14ac:dyDescent="0.35">
      <c r="A559" t="s">
        <v>1688</v>
      </c>
      <c r="B559" s="21"/>
      <c r="C559" s="21"/>
      <c r="D559" s="4"/>
      <c r="E559" s="4"/>
      <c r="F559" s="24"/>
      <c r="G559" s="24"/>
      <c r="H559" s="24"/>
      <c r="I559" s="24"/>
      <c r="J559" s="24"/>
    </row>
    <row r="560" spans="1:10" x14ac:dyDescent="0.35">
      <c r="A560" t="s">
        <v>1689</v>
      </c>
      <c r="B560" s="21"/>
      <c r="C560" s="21"/>
      <c r="D560" s="4"/>
      <c r="E560" s="4"/>
      <c r="F560" s="24"/>
      <c r="G560" s="24"/>
      <c r="H560" s="24"/>
      <c r="I560" s="24"/>
      <c r="J560" s="24"/>
    </row>
    <row r="561" spans="1:10" x14ac:dyDescent="0.35">
      <c r="A561" t="s">
        <v>1690</v>
      </c>
      <c r="B561" s="21"/>
      <c r="C561" s="21"/>
      <c r="D561" s="4"/>
      <c r="E561" s="4"/>
      <c r="F561" s="24"/>
      <c r="G561" s="24"/>
      <c r="H561" s="24"/>
      <c r="I561" s="24"/>
      <c r="J561" s="24"/>
    </row>
    <row r="562" spans="1:10" x14ac:dyDescent="0.35">
      <c r="A562" t="s">
        <v>1691</v>
      </c>
      <c r="B562" s="21"/>
      <c r="C562" s="21"/>
      <c r="D562" s="4"/>
      <c r="E562" s="4"/>
      <c r="F562" s="24"/>
      <c r="G562" s="24"/>
      <c r="H562" s="24"/>
      <c r="I562" s="24"/>
      <c r="J562" s="24"/>
    </row>
    <row r="563" spans="1:10" x14ac:dyDescent="0.35">
      <c r="A563" t="s">
        <v>1692</v>
      </c>
      <c r="B563" s="21"/>
      <c r="C563" s="21"/>
      <c r="D563" s="4"/>
      <c r="E563" s="4"/>
      <c r="F563" s="24"/>
      <c r="G563" s="24"/>
      <c r="H563" s="24"/>
      <c r="I563" s="24"/>
      <c r="J563" s="24"/>
    </row>
    <row r="564" spans="1:10" x14ac:dyDescent="0.35">
      <c r="A564" t="s">
        <v>1693</v>
      </c>
      <c r="B564" s="21"/>
      <c r="C564" s="21"/>
      <c r="D564" s="4"/>
      <c r="E564" s="4"/>
      <c r="F564" s="24"/>
      <c r="G564" s="24"/>
      <c r="H564" s="24"/>
      <c r="I564" s="24"/>
      <c r="J564" s="24"/>
    </row>
    <row r="565" spans="1:10" x14ac:dyDescent="0.35">
      <c r="A565" t="s">
        <v>1694</v>
      </c>
      <c r="B565" s="21"/>
      <c r="C565" s="21"/>
      <c r="D565" s="4"/>
      <c r="E565" s="4"/>
      <c r="F565" s="24"/>
      <c r="G565" s="24"/>
      <c r="H565" s="24"/>
      <c r="I565" s="24"/>
      <c r="J565" s="24"/>
    </row>
    <row r="566" spans="1:10" x14ac:dyDescent="0.35">
      <c r="A566" t="s">
        <v>1695</v>
      </c>
      <c r="B566" s="21"/>
      <c r="C566" s="21"/>
      <c r="D566" s="4"/>
      <c r="E566" s="4"/>
      <c r="F566" s="24"/>
      <c r="G566" s="24"/>
      <c r="H566" s="24"/>
      <c r="I566" s="24"/>
      <c r="J566" s="24"/>
    </row>
    <row r="567" spans="1:10" x14ac:dyDescent="0.35">
      <c r="A567" t="s">
        <v>1696</v>
      </c>
      <c r="B567" s="21"/>
      <c r="C567" s="21"/>
      <c r="D567" s="4"/>
      <c r="E567" s="4"/>
      <c r="F567" s="24"/>
      <c r="G567" s="24"/>
      <c r="H567" s="24"/>
      <c r="I567" s="24"/>
      <c r="J567" s="24"/>
    </row>
    <row r="568" spans="1:10" x14ac:dyDescent="0.35">
      <c r="A568" t="s">
        <v>1697</v>
      </c>
      <c r="B568" s="21"/>
      <c r="C568" s="21"/>
      <c r="D568" s="4"/>
      <c r="E568" s="4"/>
      <c r="F568" s="24"/>
      <c r="G568" s="24"/>
      <c r="H568" s="24"/>
      <c r="I568" s="24"/>
      <c r="J568" s="24"/>
    </row>
    <row r="569" spans="1:10" x14ac:dyDescent="0.35">
      <c r="A569" t="s">
        <v>1698</v>
      </c>
      <c r="B569" s="21"/>
      <c r="C569" s="21"/>
      <c r="D569" s="4"/>
      <c r="E569" s="4"/>
      <c r="F569" s="24"/>
      <c r="G569" s="24"/>
      <c r="H569" s="24"/>
      <c r="I569" s="24"/>
      <c r="J569" s="24"/>
    </row>
    <row r="570" spans="1:10" x14ac:dyDescent="0.35">
      <c r="A570" t="s">
        <v>1699</v>
      </c>
      <c r="B570" s="21"/>
      <c r="C570" s="21"/>
      <c r="D570" s="4"/>
      <c r="E570" s="4"/>
      <c r="F570" s="24"/>
      <c r="G570" s="24"/>
      <c r="H570" s="24"/>
      <c r="I570" s="24"/>
      <c r="J570" s="24"/>
    </row>
    <row r="571" spans="1:10" x14ac:dyDescent="0.35">
      <c r="A571" t="s">
        <v>1700</v>
      </c>
      <c r="B571" s="21"/>
      <c r="C571" s="21"/>
      <c r="D571" s="4"/>
      <c r="E571" s="4"/>
      <c r="F571" s="24"/>
      <c r="G571" s="24"/>
      <c r="H571" s="24"/>
      <c r="I571" s="24"/>
      <c r="J571" s="24"/>
    </row>
    <row r="572" spans="1:10" x14ac:dyDescent="0.35">
      <c r="A572" t="s">
        <v>1701</v>
      </c>
      <c r="B572" s="21"/>
      <c r="C572" s="21"/>
      <c r="D572" s="4"/>
      <c r="E572" s="4"/>
      <c r="F572" s="24"/>
      <c r="G572" s="24"/>
      <c r="H572" s="24"/>
      <c r="I572" s="24"/>
      <c r="J572" s="24"/>
    </row>
    <row r="573" spans="1:10" x14ac:dyDescent="0.35">
      <c r="A573" t="s">
        <v>1702</v>
      </c>
      <c r="B573" s="21"/>
      <c r="C573" s="21"/>
      <c r="D573" s="4"/>
      <c r="E573" s="4"/>
      <c r="F573" s="24"/>
      <c r="G573" s="24"/>
      <c r="H573" s="24"/>
      <c r="I573" s="24"/>
      <c r="J573" s="24"/>
    </row>
    <row r="574" spans="1:10" x14ac:dyDescent="0.35">
      <c r="A574" t="s">
        <v>1703</v>
      </c>
      <c r="B574" s="21"/>
      <c r="C574" s="21"/>
      <c r="D574" s="4"/>
      <c r="E574" s="4"/>
      <c r="F574" s="24"/>
      <c r="G574" s="24"/>
      <c r="H574" s="24"/>
      <c r="I574" s="24"/>
      <c r="J574" s="24"/>
    </row>
    <row r="575" spans="1:10" x14ac:dyDescent="0.35">
      <c r="A575" t="s">
        <v>1704</v>
      </c>
      <c r="B575" s="21"/>
      <c r="C575" s="21"/>
      <c r="D575" s="4"/>
      <c r="E575" s="4"/>
      <c r="F575" s="24"/>
      <c r="G575" s="24"/>
      <c r="H575" s="24"/>
      <c r="I575" s="24"/>
      <c r="J575" s="24"/>
    </row>
    <row r="576" spans="1:10" x14ac:dyDescent="0.35">
      <c r="A576" t="s">
        <v>1705</v>
      </c>
      <c r="B576" s="21"/>
      <c r="C576" s="21"/>
      <c r="D576" s="4"/>
      <c r="E576" s="4"/>
      <c r="F576" s="24"/>
      <c r="G576" s="24"/>
      <c r="H576" s="24"/>
      <c r="I576" s="24"/>
      <c r="J576" s="24"/>
    </row>
    <row r="577" spans="1:10" x14ac:dyDescent="0.35">
      <c r="A577" t="s">
        <v>1706</v>
      </c>
      <c r="B577" s="21"/>
      <c r="C577" s="21"/>
      <c r="D577" s="4"/>
      <c r="E577" s="4"/>
      <c r="F577" s="24"/>
      <c r="G577" s="24"/>
      <c r="H577" s="24"/>
      <c r="I577" s="24"/>
      <c r="J577" s="24"/>
    </row>
    <row r="578" spans="1:10" x14ac:dyDescent="0.35">
      <c r="A578" t="s">
        <v>1707</v>
      </c>
      <c r="B578" s="21"/>
      <c r="C578" s="21"/>
      <c r="D578" s="4"/>
      <c r="E578" s="4"/>
      <c r="F578" s="24"/>
      <c r="G578" s="24"/>
      <c r="H578" s="24"/>
      <c r="I578" s="24"/>
      <c r="J578" s="24"/>
    </row>
    <row r="579" spans="1:10" x14ac:dyDescent="0.35">
      <c r="A579" t="s">
        <v>1708</v>
      </c>
      <c r="B579" s="21"/>
      <c r="C579" s="21"/>
      <c r="D579" s="4"/>
      <c r="E579" s="4"/>
      <c r="F579" s="24"/>
      <c r="G579" s="24"/>
      <c r="H579" s="24"/>
      <c r="I579" s="24"/>
      <c r="J579" s="24"/>
    </row>
    <row r="580" spans="1:10" x14ac:dyDescent="0.35">
      <c r="A580" t="s">
        <v>1709</v>
      </c>
      <c r="B580" s="21"/>
      <c r="C580" s="21"/>
      <c r="D580" s="4"/>
      <c r="E580" s="4"/>
      <c r="F580" s="24"/>
      <c r="G580" s="24"/>
      <c r="H580" s="24"/>
      <c r="I580" s="24"/>
      <c r="J580" s="24"/>
    </row>
    <row r="581" spans="1:10" x14ac:dyDescent="0.35">
      <c r="A581" t="s">
        <v>1710</v>
      </c>
      <c r="B581" s="21"/>
      <c r="C581" s="21"/>
      <c r="D581" s="4"/>
      <c r="E581" s="4"/>
      <c r="F581" s="24"/>
      <c r="G581" s="24"/>
      <c r="H581" s="24"/>
      <c r="I581" s="24"/>
      <c r="J581" s="24"/>
    </row>
    <row r="582" spans="1:10" x14ac:dyDescent="0.35">
      <c r="A582" t="s">
        <v>1711</v>
      </c>
      <c r="B582" s="21"/>
      <c r="C582" s="21"/>
      <c r="D582" s="4"/>
      <c r="E582" s="4"/>
      <c r="F582" s="24"/>
      <c r="G582" s="24"/>
      <c r="H582" s="24"/>
      <c r="I582" s="24"/>
      <c r="J582" s="24"/>
    </row>
    <row r="583" spans="1:10" x14ac:dyDescent="0.35">
      <c r="A583" t="s">
        <v>1712</v>
      </c>
      <c r="B583" s="21"/>
      <c r="C583" s="21"/>
      <c r="D583" s="4"/>
      <c r="E583" s="4"/>
      <c r="F583" s="24"/>
      <c r="G583" s="24"/>
      <c r="H583" s="24"/>
      <c r="I583" s="24"/>
      <c r="J583" s="24"/>
    </row>
    <row r="584" spans="1:10" x14ac:dyDescent="0.35">
      <c r="A584" t="s">
        <v>1713</v>
      </c>
      <c r="B584" s="21"/>
      <c r="C584" s="21"/>
      <c r="D584" s="4"/>
      <c r="E584" s="4"/>
      <c r="F584" s="24"/>
      <c r="G584" s="24"/>
      <c r="H584" s="24"/>
      <c r="I584" s="24"/>
      <c r="J584" s="24"/>
    </row>
    <row r="585" spans="1:10" x14ac:dyDescent="0.35">
      <c r="A585" t="s">
        <v>1714</v>
      </c>
      <c r="B585" s="21"/>
      <c r="C585" s="21"/>
      <c r="D585" s="4"/>
      <c r="E585" s="4"/>
      <c r="F585" s="24"/>
      <c r="G585" s="24"/>
      <c r="H585" s="24"/>
      <c r="I585" s="24"/>
      <c r="J585" s="24"/>
    </row>
    <row r="586" spans="1:10" x14ac:dyDescent="0.35">
      <c r="A586" t="s">
        <v>1715</v>
      </c>
      <c r="B586" s="21"/>
      <c r="C586" s="21"/>
      <c r="D586" s="4"/>
      <c r="E586" s="4"/>
      <c r="F586" s="24"/>
      <c r="G586" s="24"/>
      <c r="H586" s="24"/>
      <c r="I586" s="24"/>
      <c r="J586" s="24"/>
    </row>
    <row r="587" spans="1:10" x14ac:dyDescent="0.35">
      <c r="A587" t="s">
        <v>1716</v>
      </c>
      <c r="B587" s="21"/>
      <c r="C587" s="21"/>
      <c r="D587" s="4"/>
      <c r="E587" s="4"/>
      <c r="F587" s="24"/>
      <c r="G587" s="24"/>
      <c r="H587" s="24"/>
      <c r="I587" s="24"/>
      <c r="J587" s="24"/>
    </row>
    <row r="588" spans="1:10" x14ac:dyDescent="0.35">
      <c r="A588" t="s">
        <v>1717</v>
      </c>
      <c r="B588" s="21"/>
      <c r="C588" s="21"/>
      <c r="D588" s="4"/>
      <c r="E588" s="4"/>
      <c r="F588" s="24"/>
      <c r="G588" s="24"/>
      <c r="H588" s="24"/>
      <c r="I588" s="24"/>
      <c r="J588" s="24"/>
    </row>
    <row r="589" spans="1:10" x14ac:dyDescent="0.35">
      <c r="A589" t="s">
        <v>1718</v>
      </c>
      <c r="B589" s="21"/>
      <c r="C589" s="21"/>
      <c r="D589" s="4"/>
      <c r="E589" s="4"/>
      <c r="F589" s="24"/>
      <c r="G589" s="24"/>
      <c r="H589" s="24"/>
      <c r="I589" s="24"/>
      <c r="J589" s="24"/>
    </row>
    <row r="590" spans="1:10" x14ac:dyDescent="0.35">
      <c r="A590" t="s">
        <v>1719</v>
      </c>
      <c r="B590" s="21"/>
      <c r="C590" s="21"/>
      <c r="D590" s="4"/>
      <c r="E590" s="4"/>
      <c r="F590" s="24"/>
      <c r="G590" s="24"/>
      <c r="H590" s="24"/>
      <c r="I590" s="24"/>
      <c r="J590" s="24"/>
    </row>
    <row r="591" spans="1:10" x14ac:dyDescent="0.35">
      <c r="A591" t="s">
        <v>1720</v>
      </c>
      <c r="B591" s="21"/>
      <c r="C591" s="21"/>
      <c r="D591" s="4"/>
      <c r="E591" s="4"/>
      <c r="F591" s="24"/>
      <c r="G591" s="24"/>
      <c r="H591" s="24"/>
      <c r="I591" s="24"/>
      <c r="J591" s="24"/>
    </row>
    <row r="592" spans="1:10" x14ac:dyDescent="0.35">
      <c r="A592" t="s">
        <v>1721</v>
      </c>
      <c r="B592" s="21"/>
      <c r="C592" s="21"/>
      <c r="D592" s="4"/>
      <c r="E592" s="4"/>
      <c r="F592" s="24"/>
      <c r="G592" s="24"/>
      <c r="H592" s="24"/>
      <c r="I592" s="24"/>
      <c r="J592" s="24"/>
    </row>
    <row r="593" spans="1:10" x14ac:dyDescent="0.35">
      <c r="A593" t="s">
        <v>1722</v>
      </c>
      <c r="B593" s="21"/>
      <c r="C593" s="21"/>
      <c r="D593" s="4"/>
      <c r="E593" s="4"/>
      <c r="F593" s="24"/>
      <c r="G593" s="24"/>
      <c r="H593" s="24"/>
      <c r="I593" s="24"/>
      <c r="J593" s="24"/>
    </row>
    <row r="594" spans="1:10" x14ac:dyDescent="0.35">
      <c r="A594" t="s">
        <v>1723</v>
      </c>
      <c r="B594" s="21"/>
      <c r="C594" s="21"/>
      <c r="D594" s="4"/>
      <c r="E594" s="4"/>
      <c r="F594" s="24"/>
      <c r="G594" s="24"/>
      <c r="H594" s="24"/>
      <c r="I594" s="24"/>
      <c r="J594" s="24"/>
    </row>
    <row r="595" spans="1:10" x14ac:dyDescent="0.35">
      <c r="A595" t="s">
        <v>1724</v>
      </c>
      <c r="B595" s="21"/>
      <c r="C595" s="21"/>
      <c r="D595" s="4"/>
      <c r="E595" s="4"/>
      <c r="F595" s="24"/>
      <c r="G595" s="24"/>
      <c r="H595" s="24"/>
      <c r="I595" s="24"/>
      <c r="J595" s="24"/>
    </row>
    <row r="596" spans="1:10" x14ac:dyDescent="0.35">
      <c r="A596" t="s">
        <v>1725</v>
      </c>
      <c r="B596" s="21"/>
      <c r="C596" s="21"/>
      <c r="D596" s="4"/>
      <c r="E596" s="4"/>
      <c r="F596" s="24"/>
      <c r="G596" s="24"/>
      <c r="H596" s="24"/>
      <c r="I596" s="24"/>
      <c r="J596" s="24"/>
    </row>
    <row r="597" spans="1:10" x14ac:dyDescent="0.35">
      <c r="A597" t="s">
        <v>1726</v>
      </c>
      <c r="B597" s="21"/>
      <c r="C597" s="21"/>
      <c r="D597" s="4"/>
      <c r="E597" s="4"/>
      <c r="F597" s="24"/>
      <c r="G597" s="24"/>
      <c r="H597" s="24"/>
      <c r="I597" s="24"/>
      <c r="J597" s="24"/>
    </row>
    <row r="598" spans="1:10" x14ac:dyDescent="0.35">
      <c r="A598" t="s">
        <v>1727</v>
      </c>
      <c r="B598" s="21"/>
      <c r="C598" s="21"/>
      <c r="D598" s="4"/>
      <c r="E598" s="4"/>
      <c r="F598" s="24"/>
      <c r="G598" s="24"/>
      <c r="H598" s="24"/>
      <c r="I598" s="24"/>
      <c r="J598" s="24"/>
    </row>
    <row r="599" spans="1:10" x14ac:dyDescent="0.35">
      <c r="A599" t="s">
        <v>1728</v>
      </c>
      <c r="B599" s="21"/>
      <c r="C599" s="21"/>
      <c r="D599" s="4"/>
      <c r="E599" s="4"/>
      <c r="F599" s="24"/>
      <c r="G599" s="24"/>
      <c r="H599" s="24"/>
      <c r="I599" s="24"/>
      <c r="J599" s="24"/>
    </row>
    <row r="600" spans="1:10" x14ac:dyDescent="0.35">
      <c r="A600" t="s">
        <v>1729</v>
      </c>
      <c r="B600" s="21"/>
      <c r="C600" s="21"/>
      <c r="D600" s="4"/>
      <c r="E600" s="4"/>
      <c r="F600" s="24"/>
      <c r="G600" s="24"/>
      <c r="H600" s="24"/>
      <c r="I600" s="24"/>
      <c r="J600" s="24"/>
    </row>
    <row r="601" spans="1:10" x14ac:dyDescent="0.35">
      <c r="A601" t="s">
        <v>1730</v>
      </c>
      <c r="B601" s="21"/>
      <c r="C601" s="21"/>
      <c r="D601" s="4"/>
      <c r="E601" s="4"/>
      <c r="F601" s="24"/>
      <c r="G601" s="24"/>
      <c r="H601" s="24"/>
      <c r="I601" s="24"/>
      <c r="J601" s="24"/>
    </row>
    <row r="602" spans="1:10" x14ac:dyDescent="0.35">
      <c r="A602" t="s">
        <v>1731</v>
      </c>
      <c r="B602" s="21"/>
      <c r="C602" s="21"/>
      <c r="D602" s="4"/>
      <c r="E602" s="4"/>
      <c r="F602" s="24"/>
      <c r="G602" s="24"/>
      <c r="H602" s="24"/>
      <c r="I602" s="24"/>
      <c r="J602" s="24"/>
    </row>
    <row r="603" spans="1:10" x14ac:dyDescent="0.35">
      <c r="A603" t="s">
        <v>1732</v>
      </c>
      <c r="B603" s="21"/>
      <c r="C603" s="21"/>
      <c r="D603" s="4"/>
      <c r="E603" s="4"/>
      <c r="F603" s="24"/>
      <c r="G603" s="24"/>
      <c r="H603" s="24"/>
      <c r="I603" s="24"/>
      <c r="J603" s="24"/>
    </row>
    <row r="604" spans="1:10" x14ac:dyDescent="0.35">
      <c r="A604" t="s">
        <v>1733</v>
      </c>
      <c r="B604" s="21"/>
      <c r="C604" s="21"/>
      <c r="D604" s="4"/>
      <c r="E604" s="4"/>
      <c r="F604" s="24"/>
      <c r="G604" s="24"/>
      <c r="H604" s="24"/>
      <c r="I604" s="24"/>
      <c r="J604" s="24"/>
    </row>
    <row r="605" spans="1:10" x14ac:dyDescent="0.35">
      <c r="A605" t="s">
        <v>1734</v>
      </c>
      <c r="B605" s="21"/>
      <c r="C605" s="21"/>
      <c r="D605" s="4"/>
      <c r="E605" s="4"/>
      <c r="F605" s="24"/>
      <c r="G605" s="24"/>
      <c r="H605" s="24"/>
      <c r="I605" s="24"/>
      <c r="J605" s="24"/>
    </row>
    <row r="606" spans="1:10" x14ac:dyDescent="0.35">
      <c r="A606" t="s">
        <v>1735</v>
      </c>
      <c r="B606" s="21"/>
      <c r="C606" s="21"/>
      <c r="D606" s="4"/>
      <c r="E606" s="4"/>
      <c r="F606" s="24"/>
      <c r="G606" s="24"/>
      <c r="H606" s="24"/>
      <c r="I606" s="24"/>
      <c r="J606" s="24"/>
    </row>
    <row r="607" spans="1:10" x14ac:dyDescent="0.35">
      <c r="A607" t="s">
        <v>1736</v>
      </c>
      <c r="B607" s="21"/>
      <c r="C607" s="21"/>
      <c r="D607" s="4"/>
      <c r="E607" s="4"/>
      <c r="F607" s="24"/>
      <c r="G607" s="24"/>
      <c r="H607" s="24"/>
      <c r="I607" s="24"/>
      <c r="J607" s="24"/>
    </row>
    <row r="608" spans="1:10" x14ac:dyDescent="0.35">
      <c r="A608" t="s">
        <v>1737</v>
      </c>
      <c r="B608" s="21"/>
      <c r="C608" s="21"/>
      <c r="D608" s="4"/>
      <c r="E608" s="4"/>
      <c r="F608" s="24"/>
      <c r="G608" s="24"/>
      <c r="H608" s="24"/>
      <c r="I608" s="24"/>
      <c r="J608" s="24"/>
    </row>
    <row r="609" spans="1:10" x14ac:dyDescent="0.35">
      <c r="A609" t="s">
        <v>1738</v>
      </c>
      <c r="B609" s="21"/>
      <c r="C609" s="21"/>
      <c r="D609" s="4"/>
      <c r="E609" s="4"/>
      <c r="F609" s="24"/>
      <c r="G609" s="24"/>
      <c r="H609" s="24"/>
      <c r="I609" s="24"/>
      <c r="J609" s="24"/>
    </row>
    <row r="610" spans="1:10" x14ac:dyDescent="0.35">
      <c r="A610" t="s">
        <v>1739</v>
      </c>
      <c r="B610" s="21"/>
      <c r="C610" s="21"/>
      <c r="D610" s="4"/>
      <c r="E610" s="4"/>
      <c r="F610" s="24"/>
      <c r="G610" s="24"/>
      <c r="H610" s="24"/>
      <c r="I610" s="24"/>
      <c r="J610" s="24"/>
    </row>
    <row r="611" spans="1:10" x14ac:dyDescent="0.35">
      <c r="A611" t="s">
        <v>1740</v>
      </c>
      <c r="B611" s="21"/>
      <c r="C611" s="21"/>
      <c r="D611" s="4"/>
      <c r="E611" s="4"/>
      <c r="F611" s="24"/>
      <c r="G611" s="24"/>
      <c r="H611" s="24"/>
      <c r="I611" s="24"/>
      <c r="J611" s="24"/>
    </row>
    <row r="612" spans="1:10" x14ac:dyDescent="0.35">
      <c r="A612" t="s">
        <v>1741</v>
      </c>
      <c r="B612" s="21"/>
      <c r="C612" s="21"/>
      <c r="D612" s="4"/>
      <c r="E612" s="4"/>
      <c r="F612" s="24"/>
      <c r="G612" s="24"/>
      <c r="H612" s="24"/>
      <c r="I612" s="24"/>
      <c r="J612" s="24"/>
    </row>
    <row r="613" spans="1:10" x14ac:dyDescent="0.35">
      <c r="A613" t="s">
        <v>1742</v>
      </c>
      <c r="B613" s="21"/>
      <c r="C613" s="21"/>
      <c r="D613" s="4"/>
      <c r="E613" s="4"/>
      <c r="F613" s="24"/>
      <c r="G613" s="24"/>
      <c r="H613" s="24"/>
      <c r="I613" s="24"/>
      <c r="J613" s="24"/>
    </row>
    <row r="614" spans="1:10" x14ac:dyDescent="0.35">
      <c r="A614" t="s">
        <v>1743</v>
      </c>
      <c r="B614" s="21"/>
      <c r="C614" s="21"/>
      <c r="D614" s="4"/>
      <c r="E614" s="4"/>
      <c r="F614" s="24"/>
      <c r="G614" s="24"/>
      <c r="H614" s="24"/>
      <c r="I614" s="24"/>
      <c r="J614" s="24"/>
    </row>
    <row r="615" spans="1:10" x14ac:dyDescent="0.35">
      <c r="A615" t="s">
        <v>1744</v>
      </c>
      <c r="B615" s="21"/>
      <c r="C615" s="21"/>
      <c r="D615" s="4"/>
      <c r="E615" s="4"/>
      <c r="F615" s="24"/>
      <c r="G615" s="24"/>
      <c r="H615" s="24"/>
      <c r="I615" s="24"/>
      <c r="J615" s="24"/>
    </row>
    <row r="616" spans="1:10" x14ac:dyDescent="0.35">
      <c r="A616" t="s">
        <v>1745</v>
      </c>
      <c r="B616" s="21"/>
      <c r="C616" s="21"/>
      <c r="D616" s="4"/>
      <c r="E616" s="4"/>
      <c r="F616" s="24"/>
      <c r="G616" s="24"/>
      <c r="H616" s="24"/>
      <c r="I616" s="24"/>
      <c r="J616" s="24"/>
    </row>
    <row r="617" spans="1:10" x14ac:dyDescent="0.35">
      <c r="A617" t="s">
        <v>1746</v>
      </c>
      <c r="B617" s="21"/>
      <c r="C617" s="21"/>
      <c r="D617" s="4"/>
      <c r="E617" s="4"/>
      <c r="F617" s="24"/>
      <c r="G617" s="24"/>
      <c r="H617" s="24"/>
      <c r="I617" s="24"/>
      <c r="J617" s="24"/>
    </row>
    <row r="618" spans="1:10" x14ac:dyDescent="0.35">
      <c r="A618" t="s">
        <v>1747</v>
      </c>
      <c r="B618" s="21"/>
      <c r="C618" s="21"/>
      <c r="D618" s="4"/>
      <c r="E618" s="4"/>
      <c r="F618" s="24"/>
      <c r="G618" s="24"/>
      <c r="H618" s="24"/>
      <c r="I618" s="24"/>
      <c r="J618" s="24"/>
    </row>
    <row r="619" spans="1:10" x14ac:dyDescent="0.35">
      <c r="A619" t="s">
        <v>1748</v>
      </c>
      <c r="B619" s="21"/>
      <c r="C619" s="21"/>
      <c r="D619" s="4"/>
      <c r="E619" s="4"/>
      <c r="F619" s="24"/>
      <c r="G619" s="24"/>
      <c r="H619" s="24"/>
      <c r="I619" s="24"/>
      <c r="J619" s="24"/>
    </row>
    <row r="620" spans="1:10" x14ac:dyDescent="0.35">
      <c r="A620" t="s">
        <v>1749</v>
      </c>
      <c r="B620" s="21"/>
      <c r="C620" s="21"/>
      <c r="D620" s="4"/>
      <c r="E620" s="4"/>
      <c r="F620" s="24"/>
      <c r="G620" s="24"/>
      <c r="H620" s="24"/>
      <c r="I620" s="24"/>
      <c r="J620" s="24"/>
    </row>
    <row r="621" spans="1:10" x14ac:dyDescent="0.35">
      <c r="A621" t="s">
        <v>1750</v>
      </c>
      <c r="B621" s="21"/>
      <c r="C621" s="21"/>
      <c r="D621" s="4"/>
      <c r="E621" s="4"/>
      <c r="F621" s="24"/>
      <c r="G621" s="24"/>
      <c r="H621" s="24"/>
      <c r="I621" s="24"/>
      <c r="J621" s="24"/>
    </row>
    <row r="622" spans="1:10" x14ac:dyDescent="0.35">
      <c r="A622" t="s">
        <v>1751</v>
      </c>
      <c r="B622" s="21"/>
      <c r="C622" s="21"/>
      <c r="D622" s="4"/>
      <c r="E622" s="4"/>
      <c r="F622" s="24"/>
      <c r="G622" s="24"/>
      <c r="H622" s="24"/>
      <c r="I622" s="24"/>
      <c r="J622" s="24"/>
    </row>
    <row r="623" spans="1:10" x14ac:dyDescent="0.35">
      <c r="A623" t="s">
        <v>1752</v>
      </c>
      <c r="B623" s="21"/>
      <c r="C623" s="21"/>
      <c r="D623" s="4"/>
      <c r="E623" s="4"/>
      <c r="F623" s="24"/>
      <c r="G623" s="24"/>
      <c r="H623" s="24"/>
      <c r="I623" s="24"/>
      <c r="J623" s="24"/>
    </row>
    <row r="624" spans="1:10" x14ac:dyDescent="0.35">
      <c r="A624" t="s">
        <v>1753</v>
      </c>
      <c r="B624" s="21"/>
      <c r="C624" s="21"/>
      <c r="D624" s="4"/>
      <c r="E624" s="4"/>
      <c r="F624" s="24"/>
      <c r="G624" s="24"/>
      <c r="H624" s="24"/>
      <c r="I624" s="24"/>
      <c r="J624" s="24"/>
    </row>
    <row r="625" spans="1:10" x14ac:dyDescent="0.35">
      <c r="A625" t="s">
        <v>1754</v>
      </c>
      <c r="B625" s="21"/>
      <c r="C625" s="21"/>
      <c r="D625" s="4"/>
      <c r="E625" s="4"/>
      <c r="F625" s="24"/>
      <c r="G625" s="24"/>
      <c r="H625" s="24"/>
      <c r="I625" s="24"/>
      <c r="J625" s="24"/>
    </row>
    <row r="626" spans="1:10" x14ac:dyDescent="0.35">
      <c r="A626" t="s">
        <v>1755</v>
      </c>
      <c r="B626" s="21"/>
      <c r="C626" s="21"/>
      <c r="D626" s="4"/>
      <c r="E626" s="4"/>
      <c r="F626" s="24"/>
      <c r="G626" s="24"/>
      <c r="H626" s="24"/>
      <c r="I626" s="24"/>
      <c r="J626" s="24"/>
    </row>
    <row r="627" spans="1:10" x14ac:dyDescent="0.35">
      <c r="A627" t="s">
        <v>1756</v>
      </c>
      <c r="B627" s="21"/>
      <c r="C627" s="21"/>
      <c r="D627" s="4"/>
      <c r="E627" s="4"/>
      <c r="F627" s="24"/>
      <c r="G627" s="24"/>
      <c r="H627" s="24"/>
      <c r="I627" s="24"/>
      <c r="J627" s="24"/>
    </row>
    <row r="628" spans="1:10" x14ac:dyDescent="0.35">
      <c r="A628" t="s">
        <v>1757</v>
      </c>
      <c r="B628" s="21"/>
      <c r="C628" s="21"/>
      <c r="D628" s="4"/>
      <c r="E628" s="4"/>
      <c r="F628" s="24"/>
      <c r="G628" s="24"/>
      <c r="H628" s="24"/>
      <c r="I628" s="24"/>
      <c r="J628" s="24"/>
    </row>
    <row r="629" spans="1:10" x14ac:dyDescent="0.35">
      <c r="A629" t="s">
        <v>1758</v>
      </c>
      <c r="B629" s="21"/>
      <c r="C629" s="21"/>
      <c r="D629" s="4"/>
      <c r="E629" s="4"/>
      <c r="F629" s="24"/>
      <c r="G629" s="24"/>
      <c r="H629" s="24"/>
      <c r="I629" s="24"/>
      <c r="J629" s="24"/>
    </row>
    <row r="630" spans="1:10" x14ac:dyDescent="0.35">
      <c r="A630" t="s">
        <v>1759</v>
      </c>
      <c r="B630" s="21"/>
      <c r="C630" s="21"/>
      <c r="D630" s="4"/>
      <c r="E630" s="4"/>
      <c r="F630" s="24"/>
      <c r="G630" s="24"/>
      <c r="H630" s="24"/>
      <c r="I630" s="24"/>
      <c r="J630" s="24"/>
    </row>
    <row r="631" spans="1:10" x14ac:dyDescent="0.35">
      <c r="A631" t="s">
        <v>1760</v>
      </c>
      <c r="B631" s="21"/>
      <c r="C631" s="21"/>
      <c r="D631" s="4"/>
      <c r="E631" s="4"/>
      <c r="F631" s="24"/>
      <c r="G631" s="24"/>
      <c r="H631" s="24"/>
      <c r="I631" s="24"/>
      <c r="J631" s="24"/>
    </row>
    <row r="632" spans="1:10" x14ac:dyDescent="0.35">
      <c r="A632" t="s">
        <v>1761</v>
      </c>
      <c r="B632" s="21"/>
      <c r="C632" s="21"/>
      <c r="D632" s="4"/>
      <c r="E632" s="4"/>
      <c r="F632" s="24"/>
      <c r="G632" s="24"/>
      <c r="H632" s="24"/>
      <c r="I632" s="24"/>
      <c r="J632" s="24"/>
    </row>
    <row r="633" spans="1:10" x14ac:dyDescent="0.35">
      <c r="A633" t="s">
        <v>1762</v>
      </c>
      <c r="B633" s="21"/>
      <c r="C633" s="21"/>
      <c r="D633" s="4"/>
      <c r="E633" s="4"/>
      <c r="F633" s="24"/>
      <c r="G633" s="24"/>
      <c r="H633" s="24"/>
      <c r="I633" s="24"/>
      <c r="J633" s="24"/>
    </row>
    <row r="634" spans="1:10" x14ac:dyDescent="0.35">
      <c r="A634" t="s">
        <v>1763</v>
      </c>
      <c r="B634" s="21"/>
      <c r="C634" s="21"/>
      <c r="D634" s="4"/>
      <c r="E634" s="4"/>
      <c r="F634" s="24"/>
      <c r="G634" s="24"/>
      <c r="H634" s="24"/>
      <c r="I634" s="24"/>
      <c r="J634" s="24"/>
    </row>
    <row r="635" spans="1:10" x14ac:dyDescent="0.35">
      <c r="A635" t="s">
        <v>1764</v>
      </c>
      <c r="B635" s="21"/>
      <c r="C635" s="21"/>
      <c r="D635" s="4"/>
      <c r="E635" s="4"/>
      <c r="F635" s="24"/>
      <c r="G635" s="24"/>
      <c r="H635" s="24"/>
      <c r="I635" s="24"/>
      <c r="J635" s="24"/>
    </row>
    <row r="636" spans="1:10" x14ac:dyDescent="0.35">
      <c r="A636" t="s">
        <v>1765</v>
      </c>
      <c r="B636" s="21"/>
      <c r="C636" s="21"/>
      <c r="D636" s="4"/>
      <c r="E636" s="4"/>
      <c r="F636" s="24"/>
      <c r="G636" s="24"/>
      <c r="H636" s="24"/>
      <c r="I636" s="24"/>
      <c r="J636" s="24"/>
    </row>
    <row r="637" spans="1:10" x14ac:dyDescent="0.35">
      <c r="A637" t="s">
        <v>1766</v>
      </c>
      <c r="B637" s="21"/>
      <c r="C637" s="21"/>
      <c r="D637" s="4"/>
      <c r="E637" s="4"/>
      <c r="F637" s="24"/>
      <c r="G637" s="24"/>
      <c r="H637" s="24"/>
      <c r="I637" s="24"/>
      <c r="J637" s="24"/>
    </row>
    <row r="638" spans="1:10" x14ac:dyDescent="0.35">
      <c r="A638" t="s">
        <v>1767</v>
      </c>
      <c r="B638" s="21"/>
      <c r="C638" s="21"/>
      <c r="D638" s="4"/>
      <c r="E638" s="4"/>
      <c r="F638" s="24"/>
      <c r="G638" s="24"/>
      <c r="H638" s="24"/>
      <c r="I638" s="24"/>
      <c r="J638" s="24"/>
    </row>
    <row r="639" spans="1:10" x14ac:dyDescent="0.35">
      <c r="A639" t="s">
        <v>1768</v>
      </c>
      <c r="B639" s="21"/>
      <c r="C639" s="21"/>
      <c r="D639" s="4"/>
      <c r="E639" s="4"/>
      <c r="F639" s="24"/>
      <c r="G639" s="24"/>
      <c r="H639" s="24"/>
      <c r="I639" s="24"/>
      <c r="J639" s="24"/>
    </row>
    <row r="640" spans="1:10" x14ac:dyDescent="0.35">
      <c r="A640" t="s">
        <v>1769</v>
      </c>
      <c r="B640" s="21"/>
      <c r="C640" s="21"/>
      <c r="D640" s="4"/>
      <c r="E640" s="4"/>
      <c r="F640" s="24"/>
      <c r="G640" s="24"/>
      <c r="H640" s="24"/>
      <c r="I640" s="24"/>
      <c r="J640" s="24"/>
    </row>
    <row r="641" spans="1:10" x14ac:dyDescent="0.35">
      <c r="A641" t="s">
        <v>1770</v>
      </c>
      <c r="B641" s="21"/>
      <c r="C641" s="21"/>
      <c r="D641" s="4"/>
      <c r="E641" s="4"/>
      <c r="F641" s="24"/>
      <c r="G641" s="24"/>
      <c r="H641" s="24"/>
      <c r="I641" s="24"/>
      <c r="J641" s="24"/>
    </row>
    <row r="642" spans="1:10" x14ac:dyDescent="0.35">
      <c r="A642" t="s">
        <v>1771</v>
      </c>
      <c r="B642" s="21"/>
      <c r="C642" s="21"/>
      <c r="D642" s="4"/>
      <c r="E642" s="4"/>
      <c r="F642" s="24"/>
      <c r="G642" s="24"/>
      <c r="H642" s="24"/>
      <c r="I642" s="24"/>
      <c r="J642" s="24"/>
    </row>
    <row r="643" spans="1:10" x14ac:dyDescent="0.35">
      <c r="A643" t="s">
        <v>1772</v>
      </c>
      <c r="B643" s="21"/>
      <c r="C643" s="21"/>
      <c r="D643" s="4"/>
      <c r="E643" s="4"/>
      <c r="F643" s="24"/>
      <c r="G643" s="24"/>
      <c r="H643" s="24"/>
      <c r="I643" s="24"/>
      <c r="J643" s="24"/>
    </row>
    <row r="644" spans="1:10" x14ac:dyDescent="0.35">
      <c r="A644" t="s">
        <v>1773</v>
      </c>
      <c r="B644" s="21"/>
      <c r="C644" s="21"/>
      <c r="D644" s="4"/>
      <c r="E644" s="4"/>
      <c r="F644" s="24"/>
      <c r="G644" s="24"/>
      <c r="H644" s="24"/>
      <c r="I644" s="24"/>
      <c r="J644" s="24"/>
    </row>
    <row r="645" spans="1:10" x14ac:dyDescent="0.35">
      <c r="A645" t="s">
        <v>1774</v>
      </c>
      <c r="B645" s="21"/>
      <c r="C645" s="21"/>
      <c r="D645" s="4"/>
      <c r="E645" s="4"/>
      <c r="F645" s="24"/>
      <c r="G645" s="24"/>
      <c r="H645" s="24"/>
      <c r="I645" s="24"/>
      <c r="J645" s="24"/>
    </row>
    <row r="646" spans="1:10" x14ac:dyDescent="0.35">
      <c r="A646" t="s">
        <v>1775</v>
      </c>
      <c r="B646" s="21"/>
      <c r="C646" s="21"/>
      <c r="D646" s="4"/>
      <c r="E646" s="4"/>
      <c r="F646" s="24"/>
      <c r="G646" s="24"/>
      <c r="H646" s="24"/>
      <c r="I646" s="24"/>
      <c r="J646" s="24"/>
    </row>
    <row r="647" spans="1:10" x14ac:dyDescent="0.35">
      <c r="A647" t="s">
        <v>1776</v>
      </c>
      <c r="B647" s="21"/>
      <c r="C647" s="21"/>
      <c r="D647" s="4"/>
      <c r="E647" s="4"/>
      <c r="F647" s="24"/>
      <c r="G647" s="24"/>
      <c r="H647" s="24"/>
      <c r="I647" s="24"/>
      <c r="J647" s="24"/>
    </row>
    <row r="648" spans="1:10" x14ac:dyDescent="0.35">
      <c r="A648" t="s">
        <v>1777</v>
      </c>
      <c r="B648" s="21"/>
      <c r="C648" s="21"/>
      <c r="D648" s="4"/>
      <c r="E648" s="4"/>
      <c r="F648" s="24"/>
      <c r="G648" s="24"/>
      <c r="H648" s="24"/>
      <c r="I648" s="24"/>
      <c r="J648" s="24"/>
    </row>
    <row r="649" spans="1:10" x14ac:dyDescent="0.35">
      <c r="A649" t="s">
        <v>1778</v>
      </c>
      <c r="B649" s="21"/>
      <c r="C649" s="21"/>
      <c r="D649" s="4"/>
      <c r="E649" s="4"/>
      <c r="F649" s="24"/>
      <c r="G649" s="24"/>
      <c r="H649" s="24"/>
      <c r="I649" s="24"/>
      <c r="J649" s="24"/>
    </row>
    <row r="650" spans="1:10" x14ac:dyDescent="0.35">
      <c r="A650" t="s">
        <v>1779</v>
      </c>
      <c r="B650" s="21"/>
      <c r="C650" s="21"/>
      <c r="D650" s="4"/>
      <c r="E650" s="4"/>
      <c r="F650" s="24"/>
      <c r="G650" s="24"/>
      <c r="H650" s="24"/>
      <c r="I650" s="24"/>
      <c r="J650" s="24"/>
    </row>
    <row r="651" spans="1:10" x14ac:dyDescent="0.35">
      <c r="A651" t="s">
        <v>1780</v>
      </c>
      <c r="B651" s="21"/>
      <c r="C651" s="21"/>
      <c r="D651" s="4"/>
      <c r="E651" s="4"/>
      <c r="F651" s="24"/>
      <c r="G651" s="24"/>
      <c r="H651" s="24"/>
      <c r="I651" s="24"/>
      <c r="J651" s="24"/>
    </row>
    <row r="652" spans="1:10" x14ac:dyDescent="0.35">
      <c r="A652" t="s">
        <v>1781</v>
      </c>
      <c r="B652" s="21"/>
      <c r="C652" s="21"/>
      <c r="D652" s="4"/>
      <c r="E652" s="4"/>
      <c r="F652" s="24"/>
      <c r="G652" s="24"/>
      <c r="H652" s="24"/>
      <c r="I652" s="24"/>
      <c r="J652" s="24"/>
    </row>
    <row r="653" spans="1:10" x14ac:dyDescent="0.35">
      <c r="A653" t="s">
        <v>1782</v>
      </c>
      <c r="B653" s="21"/>
      <c r="C653" s="21"/>
      <c r="D653" s="4"/>
      <c r="E653" s="4"/>
      <c r="F653" s="24"/>
      <c r="G653" s="24"/>
      <c r="H653" s="24"/>
      <c r="I653" s="24"/>
      <c r="J653" s="24"/>
    </row>
    <row r="654" spans="1:10" x14ac:dyDescent="0.35">
      <c r="A654" t="s">
        <v>1783</v>
      </c>
      <c r="B654" s="21"/>
      <c r="C654" s="21"/>
      <c r="D654" s="4"/>
      <c r="E654" s="4"/>
      <c r="F654" s="24"/>
      <c r="G654" s="24"/>
      <c r="H654" s="24"/>
      <c r="I654" s="24"/>
      <c r="J654" s="24"/>
    </row>
    <row r="655" spans="1:10" x14ac:dyDescent="0.35">
      <c r="A655" t="s">
        <v>1784</v>
      </c>
      <c r="B655" s="21"/>
      <c r="C655" s="21"/>
      <c r="D655" s="4"/>
      <c r="E655" s="4"/>
      <c r="F655" s="24"/>
      <c r="G655" s="24"/>
      <c r="H655" s="24"/>
      <c r="I655" s="24"/>
      <c r="J655" s="24"/>
    </row>
    <row r="656" spans="1:10" x14ac:dyDescent="0.35">
      <c r="A656" t="s">
        <v>1785</v>
      </c>
      <c r="B656" s="21"/>
      <c r="C656" s="21"/>
      <c r="D656" s="4"/>
      <c r="E656" s="4"/>
      <c r="F656" s="24"/>
      <c r="G656" s="24"/>
      <c r="H656" s="24"/>
      <c r="I656" s="24"/>
      <c r="J656" s="24"/>
    </row>
    <row r="657" spans="1:10" x14ac:dyDescent="0.35">
      <c r="A657" t="s">
        <v>1786</v>
      </c>
      <c r="B657" s="21"/>
      <c r="C657" s="21"/>
      <c r="D657" s="4"/>
      <c r="E657" s="4"/>
      <c r="F657" s="24"/>
      <c r="G657" s="24"/>
      <c r="H657" s="24"/>
      <c r="I657" s="24"/>
      <c r="J657" s="24"/>
    </row>
    <row r="658" spans="1:10" x14ac:dyDescent="0.35">
      <c r="A658" t="s">
        <v>1787</v>
      </c>
      <c r="B658" s="21"/>
      <c r="C658" s="21"/>
      <c r="D658" s="4"/>
      <c r="E658" s="4"/>
      <c r="F658" s="24"/>
      <c r="G658" s="24"/>
      <c r="H658" s="24"/>
      <c r="I658" s="24"/>
      <c r="J658" s="24"/>
    </row>
    <row r="659" spans="1:10" x14ac:dyDescent="0.35">
      <c r="A659" t="s">
        <v>1788</v>
      </c>
      <c r="B659" s="21"/>
      <c r="C659" s="21"/>
      <c r="D659" s="4"/>
      <c r="E659" s="4"/>
      <c r="F659" s="24"/>
      <c r="G659" s="24"/>
      <c r="H659" s="24"/>
      <c r="I659" s="24"/>
      <c r="J659" s="24"/>
    </row>
    <row r="660" spans="1:10" x14ac:dyDescent="0.35">
      <c r="A660" t="s">
        <v>1789</v>
      </c>
      <c r="B660" s="21"/>
      <c r="C660" s="21"/>
      <c r="D660" s="4"/>
      <c r="E660" s="4"/>
      <c r="F660" s="24"/>
      <c r="G660" s="24"/>
      <c r="H660" s="24"/>
      <c r="I660" s="24"/>
      <c r="J660" s="24"/>
    </row>
    <row r="661" spans="1:10" x14ac:dyDescent="0.35">
      <c r="A661" t="s">
        <v>1790</v>
      </c>
      <c r="B661" s="21"/>
      <c r="C661" s="21"/>
      <c r="D661" s="4"/>
      <c r="E661" s="4"/>
      <c r="F661" s="24"/>
      <c r="G661" s="24"/>
      <c r="H661" s="24"/>
      <c r="I661" s="24"/>
      <c r="J661" s="24"/>
    </row>
    <row r="662" spans="1:10" x14ac:dyDescent="0.35">
      <c r="A662" t="s">
        <v>1791</v>
      </c>
      <c r="B662" s="21"/>
      <c r="C662" s="21"/>
      <c r="D662" s="4"/>
      <c r="E662" s="4"/>
      <c r="F662" s="24"/>
      <c r="G662" s="24"/>
      <c r="H662" s="24"/>
      <c r="I662" s="24"/>
      <c r="J662" s="24"/>
    </row>
    <row r="663" spans="1:10" x14ac:dyDescent="0.35">
      <c r="A663" t="s">
        <v>1792</v>
      </c>
      <c r="B663" s="21"/>
      <c r="C663" s="21"/>
      <c r="D663" s="4"/>
      <c r="E663" s="4"/>
      <c r="F663" s="24"/>
      <c r="G663" s="24"/>
      <c r="H663" s="24"/>
      <c r="I663" s="24"/>
      <c r="J663" s="24"/>
    </row>
    <row r="664" spans="1:10" x14ac:dyDescent="0.35">
      <c r="A664" t="s">
        <v>1793</v>
      </c>
      <c r="B664" s="21"/>
      <c r="C664" s="21"/>
      <c r="D664" s="4"/>
      <c r="E664" s="4"/>
      <c r="F664" s="24"/>
      <c r="G664" s="24"/>
      <c r="H664" s="24"/>
      <c r="I664" s="24"/>
      <c r="J664" s="24"/>
    </row>
    <row r="665" spans="1:10" x14ac:dyDescent="0.35">
      <c r="A665" t="s">
        <v>1794</v>
      </c>
      <c r="B665" s="21"/>
      <c r="C665" s="21"/>
      <c r="D665" s="4"/>
      <c r="E665" s="4"/>
      <c r="F665" s="24"/>
      <c r="G665" s="24"/>
      <c r="H665" s="24"/>
      <c r="I665" s="24"/>
      <c r="J665" s="24"/>
    </row>
    <row r="666" spans="1:10" x14ac:dyDescent="0.35">
      <c r="A666" t="s">
        <v>1795</v>
      </c>
      <c r="B666" s="21"/>
      <c r="C666" s="21"/>
      <c r="D666" s="4"/>
      <c r="E666" s="4"/>
      <c r="F666" s="24"/>
      <c r="G666" s="24"/>
      <c r="H666" s="24"/>
      <c r="I666" s="24"/>
      <c r="J666" s="24"/>
    </row>
    <row r="667" spans="1:10" x14ac:dyDescent="0.35">
      <c r="A667" t="s">
        <v>1796</v>
      </c>
      <c r="B667" s="21"/>
      <c r="C667" s="21"/>
      <c r="D667" s="4"/>
      <c r="E667" s="4"/>
      <c r="F667" s="24"/>
      <c r="G667" s="24"/>
      <c r="H667" s="24"/>
      <c r="I667" s="24"/>
      <c r="J667" s="24"/>
    </row>
    <row r="668" spans="1:10" x14ac:dyDescent="0.35">
      <c r="A668" t="s">
        <v>1797</v>
      </c>
      <c r="B668" s="21"/>
      <c r="C668" s="21"/>
      <c r="D668" s="4"/>
      <c r="E668" s="4"/>
      <c r="F668" s="24"/>
      <c r="G668" s="24"/>
      <c r="H668" s="24"/>
      <c r="I668" s="24"/>
      <c r="J668" s="24"/>
    </row>
    <row r="669" spans="1:10" x14ac:dyDescent="0.35">
      <c r="A669" t="s">
        <v>1798</v>
      </c>
      <c r="B669" s="21"/>
      <c r="C669" s="21"/>
      <c r="D669" s="4"/>
      <c r="E669" s="4"/>
      <c r="F669" s="24"/>
      <c r="G669" s="24"/>
      <c r="H669" s="24"/>
      <c r="I669" s="24"/>
      <c r="J669" s="24"/>
    </row>
    <row r="670" spans="1:10" x14ac:dyDescent="0.35">
      <c r="A670" t="s">
        <v>1799</v>
      </c>
      <c r="B670" s="21"/>
      <c r="C670" s="21"/>
      <c r="D670" s="4"/>
      <c r="E670" s="4"/>
      <c r="F670" s="24"/>
      <c r="G670" s="24"/>
      <c r="H670" s="24"/>
      <c r="I670" s="24"/>
      <c r="J670" s="24"/>
    </row>
    <row r="671" spans="1:10" x14ac:dyDescent="0.35">
      <c r="A671" t="s">
        <v>1800</v>
      </c>
      <c r="B671" s="21"/>
      <c r="C671" s="21"/>
      <c r="D671" s="4"/>
      <c r="E671" s="4"/>
      <c r="F671" s="24"/>
      <c r="G671" s="24"/>
      <c r="H671" s="24"/>
      <c r="I671" s="24"/>
      <c r="J671" s="24"/>
    </row>
    <row r="672" spans="1:10" x14ac:dyDescent="0.35">
      <c r="A672" t="s">
        <v>1801</v>
      </c>
      <c r="B672" s="21"/>
      <c r="C672" s="21"/>
      <c r="D672" s="4"/>
      <c r="E672" s="4"/>
      <c r="F672" s="24"/>
      <c r="G672" s="24"/>
      <c r="H672" s="24"/>
      <c r="I672" s="24"/>
      <c r="J672" s="24"/>
    </row>
    <row r="673" spans="1:10" x14ac:dyDescent="0.35">
      <c r="A673" t="s">
        <v>1802</v>
      </c>
      <c r="B673" s="21"/>
      <c r="C673" s="21"/>
      <c r="D673" s="4"/>
      <c r="E673" s="4"/>
      <c r="F673" s="24"/>
      <c r="G673" s="24"/>
      <c r="H673" s="24"/>
      <c r="I673" s="24"/>
      <c r="J673" s="24"/>
    </row>
    <row r="674" spans="1:10" x14ac:dyDescent="0.35">
      <c r="A674" t="s">
        <v>1803</v>
      </c>
      <c r="B674" s="21"/>
      <c r="C674" s="21"/>
      <c r="D674" s="4"/>
      <c r="E674" s="4"/>
      <c r="F674" s="24"/>
      <c r="G674" s="24"/>
      <c r="H674" s="24"/>
      <c r="I674" s="24"/>
      <c r="J674" s="24"/>
    </row>
    <row r="675" spans="1:10" x14ac:dyDescent="0.35">
      <c r="A675" t="s">
        <v>1804</v>
      </c>
      <c r="B675" s="21"/>
      <c r="C675" s="21"/>
      <c r="D675" s="4"/>
      <c r="E675" s="4"/>
      <c r="F675" s="24"/>
      <c r="G675" s="24"/>
      <c r="H675" s="24"/>
      <c r="I675" s="24"/>
      <c r="J675" s="24"/>
    </row>
    <row r="676" spans="1:10" x14ac:dyDescent="0.35">
      <c r="A676" t="s">
        <v>1805</v>
      </c>
      <c r="B676" s="21"/>
      <c r="C676" s="21"/>
      <c r="D676" s="4"/>
      <c r="E676" s="4"/>
      <c r="F676" s="24"/>
      <c r="G676" s="24"/>
      <c r="H676" s="24"/>
      <c r="I676" s="24"/>
      <c r="J676" s="24"/>
    </row>
    <row r="677" spans="1:10" x14ac:dyDescent="0.35">
      <c r="A677" t="s">
        <v>1806</v>
      </c>
      <c r="B677" s="21"/>
      <c r="C677" s="21"/>
      <c r="D677" s="4"/>
      <c r="E677" s="4"/>
      <c r="F677" s="24"/>
      <c r="G677" s="24"/>
      <c r="H677" s="24"/>
      <c r="I677" s="24"/>
      <c r="J677" s="24"/>
    </row>
    <row r="678" spans="1:10" x14ac:dyDescent="0.35">
      <c r="A678" t="s">
        <v>1807</v>
      </c>
      <c r="B678" s="21"/>
      <c r="C678" s="21"/>
      <c r="D678" s="4"/>
      <c r="E678" s="4"/>
      <c r="F678" s="24"/>
      <c r="G678" s="24"/>
      <c r="H678" s="24"/>
      <c r="I678" s="24"/>
      <c r="J678" s="24"/>
    </row>
    <row r="679" spans="1:10" x14ac:dyDescent="0.35">
      <c r="A679" t="s">
        <v>1808</v>
      </c>
      <c r="B679" s="21"/>
      <c r="C679" s="21"/>
      <c r="D679" s="4"/>
      <c r="E679" s="4"/>
      <c r="F679" s="24"/>
      <c r="G679" s="24"/>
      <c r="H679" s="24"/>
      <c r="I679" s="24"/>
      <c r="J679" s="24"/>
    </row>
    <row r="680" spans="1:10" x14ac:dyDescent="0.35">
      <c r="A680" t="s">
        <v>1809</v>
      </c>
      <c r="B680" s="21"/>
      <c r="C680" s="21"/>
      <c r="D680" s="4"/>
      <c r="E680" s="4"/>
      <c r="F680" s="24"/>
      <c r="G680" s="24"/>
      <c r="H680" s="24"/>
      <c r="I680" s="24"/>
      <c r="J680" s="24"/>
    </row>
    <row r="681" spans="1:10" x14ac:dyDescent="0.35">
      <c r="A681" t="s">
        <v>1810</v>
      </c>
      <c r="B681" s="21"/>
      <c r="C681" s="21"/>
      <c r="D681" s="4"/>
      <c r="E681" s="4"/>
      <c r="F681" s="24"/>
      <c r="G681" s="24"/>
      <c r="H681" s="24"/>
      <c r="I681" s="24"/>
      <c r="J681" s="24"/>
    </row>
    <row r="682" spans="1:10" x14ac:dyDescent="0.35">
      <c r="A682" t="s">
        <v>1811</v>
      </c>
      <c r="B682" s="21"/>
      <c r="C682" s="21"/>
      <c r="D682" s="4"/>
      <c r="E682" s="4"/>
      <c r="F682" s="24"/>
      <c r="G682" s="24"/>
      <c r="H682" s="24"/>
      <c r="I682" s="24"/>
      <c r="J682" s="24"/>
    </row>
    <row r="683" spans="1:10" x14ac:dyDescent="0.35">
      <c r="A683" t="s">
        <v>1812</v>
      </c>
      <c r="B683" s="21"/>
      <c r="C683" s="21"/>
      <c r="D683" s="4"/>
      <c r="E683" s="4"/>
      <c r="F683" s="24"/>
      <c r="G683" s="24"/>
      <c r="H683" s="24"/>
      <c r="I683" s="24"/>
      <c r="J683" s="24"/>
    </row>
    <row r="684" spans="1:10" x14ac:dyDescent="0.35">
      <c r="A684" t="s">
        <v>1813</v>
      </c>
      <c r="B684" s="21"/>
      <c r="C684" s="21"/>
      <c r="D684" s="4"/>
      <c r="E684" s="4"/>
      <c r="F684" s="24"/>
      <c r="G684" s="24"/>
      <c r="H684" s="24"/>
      <c r="I684" s="24"/>
      <c r="J684" s="24"/>
    </row>
    <row r="685" spans="1:10" x14ac:dyDescent="0.35">
      <c r="A685" t="s">
        <v>1814</v>
      </c>
      <c r="B685" s="21"/>
      <c r="C685" s="21"/>
      <c r="D685" s="4"/>
      <c r="E685" s="4"/>
      <c r="F685" s="24"/>
      <c r="G685" s="24"/>
      <c r="H685" s="24"/>
      <c r="I685" s="24"/>
      <c r="J685" s="24"/>
    </row>
    <row r="686" spans="1:10" x14ac:dyDescent="0.35">
      <c r="A686" t="s">
        <v>1815</v>
      </c>
      <c r="B686" s="21"/>
      <c r="C686" s="21"/>
      <c r="D686" s="4"/>
      <c r="E686" s="4"/>
      <c r="F686" s="24"/>
      <c r="G686" s="24"/>
      <c r="H686" s="24"/>
      <c r="I686" s="24"/>
      <c r="J686" s="24"/>
    </row>
    <row r="687" spans="1:10" x14ac:dyDescent="0.35">
      <c r="A687" t="s">
        <v>1816</v>
      </c>
      <c r="B687" s="21"/>
      <c r="C687" s="21"/>
      <c r="D687" s="4"/>
      <c r="E687" s="4"/>
      <c r="F687" s="24"/>
      <c r="G687" s="24"/>
      <c r="H687" s="24"/>
      <c r="I687" s="24"/>
      <c r="J687" s="24"/>
    </row>
    <row r="688" spans="1:10" x14ac:dyDescent="0.35">
      <c r="A688" t="s">
        <v>1817</v>
      </c>
      <c r="B688" s="21"/>
      <c r="C688" s="21"/>
      <c r="D688" s="4"/>
      <c r="E688" s="4"/>
      <c r="F688" s="24"/>
      <c r="G688" s="24"/>
      <c r="H688" s="24"/>
      <c r="I688" s="24"/>
      <c r="J688" s="24"/>
    </row>
    <row r="689" spans="1:10" x14ac:dyDescent="0.35">
      <c r="A689" t="s">
        <v>1818</v>
      </c>
      <c r="B689" s="21"/>
      <c r="C689" s="21"/>
      <c r="D689" s="4"/>
      <c r="E689" s="4"/>
      <c r="F689" s="24"/>
      <c r="G689" s="24"/>
      <c r="H689" s="24"/>
      <c r="I689" s="24"/>
      <c r="J689" s="24"/>
    </row>
    <row r="690" spans="1:10" x14ac:dyDescent="0.35">
      <c r="A690" t="s">
        <v>1819</v>
      </c>
      <c r="B690" s="21"/>
      <c r="C690" s="21"/>
      <c r="D690" s="4"/>
      <c r="E690" s="4"/>
      <c r="F690" s="24"/>
      <c r="G690" s="24"/>
      <c r="H690" s="24"/>
      <c r="I690" s="24"/>
      <c r="J690" s="24"/>
    </row>
    <row r="691" spans="1:10" x14ac:dyDescent="0.35">
      <c r="A691" t="s">
        <v>1820</v>
      </c>
      <c r="B691" s="21"/>
      <c r="C691" s="21"/>
      <c r="D691" s="4"/>
      <c r="E691" s="4"/>
      <c r="F691" s="24"/>
      <c r="G691" s="24"/>
      <c r="H691" s="24"/>
      <c r="I691" s="24"/>
      <c r="J691" s="24"/>
    </row>
    <row r="692" spans="1:10" x14ac:dyDescent="0.35">
      <c r="A692" t="s">
        <v>1821</v>
      </c>
      <c r="B692" s="21"/>
      <c r="C692" s="21"/>
      <c r="D692" s="4"/>
      <c r="E692" s="4"/>
      <c r="F692" s="24"/>
      <c r="G692" s="24"/>
      <c r="H692" s="24"/>
      <c r="I692" s="24"/>
      <c r="J692" s="24"/>
    </row>
    <row r="693" spans="1:10" x14ac:dyDescent="0.35">
      <c r="A693" t="s">
        <v>1822</v>
      </c>
      <c r="B693" s="21"/>
      <c r="C693" s="21"/>
      <c r="D693" s="4"/>
      <c r="E693" s="4"/>
      <c r="F693" s="24"/>
      <c r="G693" s="24"/>
      <c r="H693" s="24"/>
      <c r="I693" s="24"/>
      <c r="J693" s="24"/>
    </row>
    <row r="694" spans="1:10" x14ac:dyDescent="0.35">
      <c r="A694" t="s">
        <v>1823</v>
      </c>
      <c r="B694" s="21"/>
      <c r="C694" s="21"/>
      <c r="D694" s="4"/>
      <c r="E694" s="4"/>
      <c r="F694" s="24"/>
      <c r="G694" s="24"/>
      <c r="H694" s="24"/>
      <c r="I694" s="24"/>
      <c r="J694" s="24"/>
    </row>
    <row r="695" spans="1:10" x14ac:dyDescent="0.35">
      <c r="A695" t="s">
        <v>1824</v>
      </c>
      <c r="B695" s="21"/>
      <c r="C695" s="21"/>
      <c r="D695" s="4"/>
      <c r="E695" s="4"/>
      <c r="F695" s="24"/>
      <c r="G695" s="24"/>
      <c r="H695" s="24"/>
      <c r="I695" s="24"/>
      <c r="J695" s="24"/>
    </row>
    <row r="696" spans="1:10" x14ac:dyDescent="0.35">
      <c r="A696" t="s">
        <v>1825</v>
      </c>
      <c r="B696" s="21"/>
      <c r="C696" s="21"/>
      <c r="D696" s="4"/>
      <c r="E696" s="4"/>
      <c r="F696" s="24"/>
      <c r="G696" s="24"/>
      <c r="H696" s="24"/>
      <c r="I696" s="24"/>
      <c r="J696" s="24"/>
    </row>
    <row r="697" spans="1:10" x14ac:dyDescent="0.35">
      <c r="A697" t="s">
        <v>1826</v>
      </c>
      <c r="B697" s="21"/>
      <c r="C697" s="21"/>
      <c r="D697" s="4"/>
      <c r="E697" s="4"/>
      <c r="F697" s="24"/>
      <c r="G697" s="24"/>
      <c r="H697" s="24"/>
      <c r="I697" s="24"/>
      <c r="J697" s="24"/>
    </row>
    <row r="698" spans="1:10" x14ac:dyDescent="0.35">
      <c r="A698" t="s">
        <v>1827</v>
      </c>
      <c r="B698" s="21"/>
      <c r="C698" s="21"/>
      <c r="D698" s="4"/>
      <c r="E698" s="4"/>
      <c r="F698" s="24"/>
      <c r="G698" s="24"/>
      <c r="H698" s="24"/>
      <c r="I698" s="24"/>
      <c r="J698" s="24"/>
    </row>
    <row r="699" spans="1:10" x14ac:dyDescent="0.35">
      <c r="A699" t="s">
        <v>1828</v>
      </c>
      <c r="B699" s="21"/>
      <c r="C699" s="21"/>
      <c r="D699" s="4"/>
      <c r="E699" s="4"/>
      <c r="F699" s="24"/>
      <c r="G699" s="24"/>
      <c r="H699" s="24"/>
      <c r="I699" s="24"/>
      <c r="J699" s="24"/>
    </row>
    <row r="700" spans="1:10" x14ac:dyDescent="0.35">
      <c r="A700" t="s">
        <v>1829</v>
      </c>
      <c r="B700" s="21"/>
      <c r="C700" s="21"/>
      <c r="D700" s="4"/>
      <c r="E700" s="4"/>
      <c r="F700" s="24"/>
      <c r="G700" s="24"/>
      <c r="H700" s="24"/>
      <c r="I700" s="24"/>
      <c r="J700" s="24"/>
    </row>
    <row r="701" spans="1:10" x14ac:dyDescent="0.35">
      <c r="A701" t="s">
        <v>1830</v>
      </c>
      <c r="B701" s="21"/>
      <c r="C701" s="21"/>
      <c r="D701" s="4"/>
      <c r="E701" s="4"/>
      <c r="F701" s="24"/>
      <c r="G701" s="24"/>
      <c r="H701" s="24"/>
      <c r="I701" s="24"/>
      <c r="J701" s="24"/>
    </row>
    <row r="702" spans="1:10" x14ac:dyDescent="0.35">
      <c r="A702" t="s">
        <v>1831</v>
      </c>
      <c r="B702" s="21"/>
      <c r="C702" s="21"/>
      <c r="D702" s="4"/>
      <c r="E702" s="4"/>
      <c r="F702" s="24"/>
      <c r="G702" s="24"/>
      <c r="H702" s="24"/>
      <c r="I702" s="24"/>
      <c r="J702" s="24"/>
    </row>
    <row r="703" spans="1:10" x14ac:dyDescent="0.35">
      <c r="A703" t="s">
        <v>1832</v>
      </c>
      <c r="B703" s="21"/>
      <c r="C703" s="21"/>
      <c r="D703" s="4"/>
      <c r="E703" s="4"/>
      <c r="F703" s="24"/>
      <c r="G703" s="24"/>
      <c r="H703" s="24"/>
      <c r="I703" s="24"/>
      <c r="J703" s="24"/>
    </row>
    <row r="704" spans="1:10" x14ac:dyDescent="0.35">
      <c r="A704" t="s">
        <v>1833</v>
      </c>
      <c r="B704" s="21"/>
      <c r="C704" s="21"/>
      <c r="D704" s="4"/>
      <c r="E704" s="4"/>
      <c r="F704" s="24"/>
      <c r="G704" s="24"/>
      <c r="H704" s="24"/>
      <c r="I704" s="24"/>
      <c r="J704" s="24"/>
    </row>
    <row r="705" spans="1:10" x14ac:dyDescent="0.35">
      <c r="A705" t="s">
        <v>1834</v>
      </c>
      <c r="B705" s="21"/>
      <c r="C705" s="21"/>
      <c r="D705" s="4"/>
      <c r="E705" s="4"/>
      <c r="F705" s="24"/>
      <c r="G705" s="24"/>
      <c r="H705" s="24"/>
      <c r="I705" s="24"/>
      <c r="J705" s="24"/>
    </row>
    <row r="706" spans="1:10" x14ac:dyDescent="0.35">
      <c r="A706" t="s">
        <v>1835</v>
      </c>
      <c r="B706" s="21"/>
      <c r="C706" s="21"/>
      <c r="D706" s="4"/>
      <c r="E706" s="4"/>
      <c r="F706" s="24"/>
      <c r="G706" s="24"/>
      <c r="H706" s="24"/>
      <c r="I706" s="24"/>
      <c r="J706" s="24"/>
    </row>
    <row r="707" spans="1:10" x14ac:dyDescent="0.35">
      <c r="A707" t="s">
        <v>1836</v>
      </c>
      <c r="B707" s="21"/>
      <c r="C707" s="21"/>
      <c r="D707" s="4"/>
      <c r="E707" s="4"/>
      <c r="F707" s="24"/>
      <c r="G707" s="24"/>
      <c r="H707" s="24"/>
      <c r="I707" s="24"/>
      <c r="J707" s="24"/>
    </row>
    <row r="708" spans="1:10" x14ac:dyDescent="0.35">
      <c r="A708" t="s">
        <v>1837</v>
      </c>
      <c r="B708" s="21"/>
      <c r="C708" s="21"/>
      <c r="D708" s="4"/>
      <c r="E708" s="4"/>
      <c r="F708" s="24"/>
      <c r="G708" s="24"/>
      <c r="H708" s="24"/>
      <c r="I708" s="24"/>
      <c r="J708" s="24"/>
    </row>
    <row r="709" spans="1:10" x14ac:dyDescent="0.35">
      <c r="A709" t="s">
        <v>1838</v>
      </c>
      <c r="B709" s="21"/>
      <c r="C709" s="21"/>
      <c r="D709" s="4"/>
      <c r="E709" s="4"/>
      <c r="F709" s="24"/>
      <c r="G709" s="24"/>
      <c r="H709" s="24"/>
      <c r="I709" s="24"/>
      <c r="J709" s="24"/>
    </row>
    <row r="710" spans="1:10" x14ac:dyDescent="0.35">
      <c r="A710" t="s">
        <v>1839</v>
      </c>
      <c r="B710" s="21"/>
      <c r="C710" s="21"/>
      <c r="D710" s="4"/>
      <c r="E710" s="4"/>
      <c r="F710" s="24"/>
      <c r="G710" s="24"/>
      <c r="H710" s="24"/>
      <c r="I710" s="24"/>
      <c r="J710" s="24"/>
    </row>
    <row r="711" spans="1:10" x14ac:dyDescent="0.35">
      <c r="A711" t="s">
        <v>1840</v>
      </c>
      <c r="B711" s="21"/>
      <c r="C711" s="21"/>
      <c r="D711" s="4"/>
      <c r="E711" s="4"/>
      <c r="F711" s="24"/>
      <c r="G711" s="24"/>
      <c r="H711" s="24"/>
      <c r="I711" s="24"/>
      <c r="J711" s="24"/>
    </row>
    <row r="712" spans="1:10" x14ac:dyDescent="0.35">
      <c r="A712" t="s">
        <v>1841</v>
      </c>
      <c r="B712" s="21"/>
      <c r="C712" s="21"/>
      <c r="D712" s="4"/>
      <c r="E712" s="4"/>
      <c r="F712" s="24"/>
      <c r="G712" s="24"/>
      <c r="H712" s="24"/>
      <c r="I712" s="24"/>
      <c r="J712" s="24"/>
    </row>
    <row r="713" spans="1:10" x14ac:dyDescent="0.35">
      <c r="A713" t="s">
        <v>1842</v>
      </c>
      <c r="B713" s="21"/>
      <c r="C713" s="21"/>
      <c r="D713" s="4"/>
      <c r="E713" s="4"/>
      <c r="F713" s="24"/>
      <c r="G713" s="24"/>
      <c r="H713" s="24"/>
      <c r="I713" s="24"/>
      <c r="J713" s="24"/>
    </row>
    <row r="714" spans="1:10" x14ac:dyDescent="0.35">
      <c r="A714" t="s">
        <v>1843</v>
      </c>
      <c r="B714" s="21"/>
      <c r="C714" s="21"/>
      <c r="D714" s="4"/>
      <c r="E714" s="4"/>
      <c r="F714" s="24"/>
      <c r="G714" s="24"/>
      <c r="H714" s="24"/>
      <c r="I714" s="24"/>
      <c r="J714" s="24"/>
    </row>
    <row r="715" spans="1:10" x14ac:dyDescent="0.35">
      <c r="A715" t="s">
        <v>1844</v>
      </c>
      <c r="B715" s="21"/>
      <c r="C715" s="21"/>
      <c r="D715" s="4"/>
      <c r="E715" s="4"/>
      <c r="F715" s="24"/>
      <c r="G715" s="24"/>
      <c r="H715" s="24"/>
      <c r="I715" s="24"/>
      <c r="J715" s="24"/>
    </row>
    <row r="716" spans="1:10" x14ac:dyDescent="0.35">
      <c r="A716" t="s">
        <v>1845</v>
      </c>
      <c r="B716" s="21"/>
      <c r="C716" s="21"/>
      <c r="D716" s="4"/>
      <c r="E716" s="4"/>
      <c r="F716" s="24"/>
      <c r="G716" s="24"/>
      <c r="H716" s="24"/>
      <c r="I716" s="24"/>
      <c r="J716" s="24"/>
    </row>
    <row r="717" spans="1:10" x14ac:dyDescent="0.35">
      <c r="A717" t="s">
        <v>1846</v>
      </c>
      <c r="B717" s="21"/>
      <c r="C717" s="21"/>
      <c r="D717" s="4"/>
      <c r="E717" s="4"/>
      <c r="F717" s="24"/>
      <c r="G717" s="24"/>
      <c r="H717" s="24"/>
      <c r="I717" s="24"/>
      <c r="J717" s="24"/>
    </row>
    <row r="718" spans="1:10" x14ac:dyDescent="0.35">
      <c r="A718" t="s">
        <v>1847</v>
      </c>
      <c r="B718" s="21"/>
      <c r="C718" s="21"/>
      <c r="D718" s="4"/>
      <c r="E718" s="4"/>
      <c r="F718" s="24"/>
      <c r="G718" s="24"/>
      <c r="H718" s="24"/>
      <c r="I718" s="24"/>
      <c r="J718" s="24"/>
    </row>
    <row r="719" spans="1:10" x14ac:dyDescent="0.35">
      <c r="A719" t="s">
        <v>1848</v>
      </c>
      <c r="B719" s="21"/>
      <c r="C719" s="21"/>
      <c r="D719" s="4"/>
      <c r="E719" s="4"/>
      <c r="F719" s="24"/>
      <c r="G719" s="24"/>
      <c r="H719" s="24"/>
      <c r="I719" s="24"/>
      <c r="J719" s="24"/>
    </row>
    <row r="720" spans="1:10" x14ac:dyDescent="0.35">
      <c r="A720" t="s">
        <v>1849</v>
      </c>
      <c r="B720" s="21"/>
      <c r="C720" s="21"/>
      <c r="D720" s="4"/>
      <c r="E720" s="4"/>
      <c r="F720" s="24"/>
      <c r="G720" s="24"/>
      <c r="H720" s="24"/>
      <c r="I720" s="24"/>
      <c r="J720" s="24"/>
    </row>
    <row r="721" spans="1:10" x14ac:dyDescent="0.35">
      <c r="A721" t="s">
        <v>1850</v>
      </c>
      <c r="B721" s="21"/>
      <c r="C721" s="21"/>
      <c r="D721" s="4"/>
      <c r="E721" s="4"/>
      <c r="F721" s="24"/>
      <c r="G721" s="24"/>
      <c r="H721" s="24"/>
      <c r="I721" s="24"/>
      <c r="J721" s="24"/>
    </row>
    <row r="722" spans="1:10" x14ac:dyDescent="0.35">
      <c r="A722" t="s">
        <v>1851</v>
      </c>
      <c r="B722" s="21"/>
      <c r="C722" s="21"/>
      <c r="D722" s="4"/>
      <c r="E722" s="4"/>
      <c r="F722" s="24"/>
      <c r="G722" s="24"/>
      <c r="H722" s="24"/>
      <c r="I722" s="24"/>
      <c r="J722" s="24"/>
    </row>
    <row r="723" spans="1:10" x14ac:dyDescent="0.35">
      <c r="A723" t="s">
        <v>1852</v>
      </c>
      <c r="B723" s="21"/>
      <c r="C723" s="21"/>
      <c r="D723" s="4"/>
      <c r="E723" s="4"/>
      <c r="F723" s="24"/>
      <c r="G723" s="24"/>
      <c r="H723" s="24"/>
      <c r="I723" s="24"/>
      <c r="J723" s="24"/>
    </row>
    <row r="724" spans="1:10" x14ac:dyDescent="0.35">
      <c r="A724" t="s">
        <v>1853</v>
      </c>
      <c r="B724" s="21"/>
      <c r="C724" s="21"/>
      <c r="D724" s="4"/>
      <c r="E724" s="4"/>
      <c r="F724" s="24"/>
      <c r="G724" s="24"/>
      <c r="H724" s="24"/>
      <c r="I724" s="24"/>
      <c r="J724" s="24"/>
    </row>
    <row r="725" spans="1:10" x14ac:dyDescent="0.35">
      <c r="A725" t="s">
        <v>1854</v>
      </c>
      <c r="B725" s="21"/>
      <c r="C725" s="21"/>
      <c r="D725" s="4"/>
      <c r="E725" s="4"/>
      <c r="F725" s="24"/>
      <c r="G725" s="24"/>
      <c r="H725" s="24"/>
      <c r="I725" s="24"/>
      <c r="J725" s="24"/>
    </row>
    <row r="726" spans="1:10" x14ac:dyDescent="0.35">
      <c r="A726" t="s">
        <v>1855</v>
      </c>
      <c r="B726" s="21"/>
      <c r="C726" s="21"/>
      <c r="D726" s="4"/>
      <c r="E726" s="4"/>
      <c r="F726" s="24"/>
      <c r="G726" s="24"/>
      <c r="H726" s="24"/>
      <c r="I726" s="24"/>
      <c r="J726" s="24"/>
    </row>
    <row r="727" spans="1:10" x14ac:dyDescent="0.35">
      <c r="A727" t="s">
        <v>1856</v>
      </c>
      <c r="B727" s="21"/>
      <c r="C727" s="21"/>
      <c r="D727" s="4"/>
      <c r="E727" s="4"/>
      <c r="F727" s="24"/>
      <c r="G727" s="24"/>
      <c r="H727" s="24"/>
      <c r="I727" s="24"/>
      <c r="J727" s="24"/>
    </row>
    <row r="728" spans="1:10" x14ac:dyDescent="0.35">
      <c r="A728" t="s">
        <v>1857</v>
      </c>
      <c r="B728" s="21"/>
      <c r="C728" s="21"/>
      <c r="D728" s="4"/>
      <c r="E728" s="4"/>
      <c r="F728" s="24"/>
      <c r="G728" s="24"/>
      <c r="H728" s="24"/>
      <c r="I728" s="24"/>
      <c r="J728" s="24"/>
    </row>
    <row r="729" spans="1:10" x14ac:dyDescent="0.35">
      <c r="A729" t="s">
        <v>1858</v>
      </c>
      <c r="B729" s="21"/>
      <c r="C729" s="21"/>
      <c r="D729" s="4"/>
      <c r="E729" s="4"/>
      <c r="F729" s="24"/>
      <c r="G729" s="24"/>
      <c r="H729" s="24"/>
      <c r="I729" s="24"/>
      <c r="J729" s="24"/>
    </row>
    <row r="730" spans="1:10" x14ac:dyDescent="0.35">
      <c r="A730" t="s">
        <v>1859</v>
      </c>
      <c r="B730" s="21"/>
      <c r="C730" s="21"/>
      <c r="D730" s="4"/>
      <c r="E730" s="4"/>
      <c r="F730" s="24"/>
      <c r="G730" s="24"/>
      <c r="H730" s="24"/>
      <c r="I730" s="24"/>
      <c r="J730" s="24"/>
    </row>
    <row r="731" spans="1:10" x14ac:dyDescent="0.35">
      <c r="A731" t="s">
        <v>1860</v>
      </c>
      <c r="B731" s="21"/>
      <c r="C731" s="21"/>
      <c r="D731" s="4"/>
      <c r="E731" s="4"/>
      <c r="F731" s="24"/>
      <c r="G731" s="24"/>
      <c r="H731" s="24"/>
      <c r="I731" s="24"/>
      <c r="J731" s="24"/>
    </row>
    <row r="732" spans="1:10" x14ac:dyDescent="0.35">
      <c r="A732" t="s">
        <v>1861</v>
      </c>
      <c r="B732" s="21"/>
      <c r="C732" s="21"/>
      <c r="D732" s="4"/>
      <c r="E732" s="4"/>
      <c r="F732" s="24"/>
      <c r="G732" s="24"/>
      <c r="H732" s="24"/>
      <c r="I732" s="24"/>
      <c r="J732" s="24"/>
    </row>
    <row r="733" spans="1:10" x14ac:dyDescent="0.35">
      <c r="A733" t="s">
        <v>1862</v>
      </c>
      <c r="B733" s="21"/>
      <c r="C733" s="21"/>
      <c r="D733" s="4"/>
      <c r="E733" s="4"/>
      <c r="F733" s="24"/>
      <c r="G733" s="24"/>
      <c r="H733" s="24"/>
      <c r="I733" s="24"/>
      <c r="J733" s="24"/>
    </row>
    <row r="734" spans="1:10" x14ac:dyDescent="0.35">
      <c r="A734" t="s">
        <v>1863</v>
      </c>
      <c r="B734" s="21"/>
      <c r="C734" s="21"/>
      <c r="D734" s="4"/>
      <c r="E734" s="4"/>
      <c r="F734" s="24"/>
      <c r="G734" s="24"/>
      <c r="H734" s="24"/>
      <c r="I734" s="24"/>
      <c r="J734" s="24"/>
    </row>
    <row r="735" spans="1:10" x14ac:dyDescent="0.35">
      <c r="A735" t="s">
        <v>1864</v>
      </c>
      <c r="B735" s="21"/>
      <c r="C735" s="21"/>
      <c r="D735" s="4"/>
      <c r="E735" s="4"/>
      <c r="F735" s="24"/>
      <c r="G735" s="24"/>
      <c r="H735" s="24"/>
      <c r="I735" s="24"/>
      <c r="J735" s="24"/>
    </row>
    <row r="736" spans="1:10" x14ac:dyDescent="0.35">
      <c r="A736" t="s">
        <v>1865</v>
      </c>
      <c r="B736" s="21"/>
      <c r="C736" s="21"/>
      <c r="D736" s="4"/>
      <c r="E736" s="4"/>
      <c r="F736" s="24"/>
      <c r="G736" s="24"/>
      <c r="H736" s="24"/>
      <c r="I736" s="24"/>
      <c r="J736" s="24"/>
    </row>
    <row r="737" spans="1:10" x14ac:dyDescent="0.35">
      <c r="A737" t="s">
        <v>1866</v>
      </c>
      <c r="B737" s="21"/>
      <c r="C737" s="21"/>
      <c r="D737" s="4"/>
      <c r="E737" s="4"/>
      <c r="F737" s="24"/>
      <c r="G737" s="24"/>
      <c r="H737" s="24"/>
      <c r="I737" s="24"/>
      <c r="J737" s="24"/>
    </row>
    <row r="738" spans="1:10" x14ac:dyDescent="0.35">
      <c r="A738" t="s">
        <v>1867</v>
      </c>
      <c r="B738" s="21"/>
      <c r="C738" s="21"/>
      <c r="D738" s="4"/>
      <c r="E738" s="4"/>
      <c r="F738" s="24"/>
      <c r="G738" s="24"/>
      <c r="H738" s="24"/>
      <c r="I738" s="24"/>
      <c r="J738" s="24"/>
    </row>
    <row r="739" spans="1:10" x14ac:dyDescent="0.35">
      <c r="A739" t="s">
        <v>1868</v>
      </c>
      <c r="B739" s="21"/>
      <c r="C739" s="21"/>
      <c r="D739" s="4"/>
      <c r="E739" s="4"/>
      <c r="F739" s="24"/>
      <c r="G739" s="24"/>
      <c r="H739" s="24"/>
      <c r="I739" s="24"/>
      <c r="J739" s="24"/>
    </row>
    <row r="740" spans="1:10" x14ac:dyDescent="0.35">
      <c r="A740" t="s">
        <v>1869</v>
      </c>
      <c r="B740" s="21"/>
      <c r="C740" s="21"/>
      <c r="D740" s="4"/>
      <c r="E740" s="4"/>
      <c r="F740" s="24"/>
      <c r="G740" s="24"/>
      <c r="H740" s="24"/>
      <c r="I740" s="24"/>
      <c r="J740" s="24"/>
    </row>
    <row r="741" spans="1:10" x14ac:dyDescent="0.35">
      <c r="A741" t="s">
        <v>1870</v>
      </c>
      <c r="B741" s="21"/>
      <c r="C741" s="21"/>
      <c r="D741" s="4"/>
      <c r="E741" s="4"/>
      <c r="F741" s="24"/>
      <c r="G741" s="24"/>
      <c r="H741" s="24"/>
      <c r="I741" s="24"/>
      <c r="J741" s="24"/>
    </row>
    <row r="742" spans="1:10" x14ac:dyDescent="0.35">
      <c r="A742" t="s">
        <v>1871</v>
      </c>
      <c r="B742" s="21"/>
      <c r="C742" s="21"/>
      <c r="D742" s="4"/>
      <c r="E742" s="4"/>
      <c r="F742" s="24"/>
      <c r="G742" s="24"/>
      <c r="H742" s="24"/>
      <c r="I742" s="24"/>
      <c r="J742" s="24"/>
    </row>
    <row r="743" spans="1:10" x14ac:dyDescent="0.35">
      <c r="A743" t="s">
        <v>1872</v>
      </c>
      <c r="B743" s="21"/>
      <c r="C743" s="21"/>
      <c r="D743" s="4"/>
      <c r="E743" s="4"/>
      <c r="F743" s="24"/>
      <c r="G743" s="24"/>
      <c r="H743" s="24"/>
      <c r="I743" s="24"/>
      <c r="J743" s="24"/>
    </row>
    <row r="744" spans="1:10" x14ac:dyDescent="0.35">
      <c r="A744" t="s">
        <v>1873</v>
      </c>
      <c r="B744" s="21"/>
      <c r="C744" s="21"/>
      <c r="D744" s="4"/>
      <c r="E744" s="4"/>
      <c r="F744" s="24"/>
      <c r="G744" s="24"/>
      <c r="H744" s="24"/>
      <c r="I744" s="24"/>
      <c r="J744" s="24"/>
    </row>
    <row r="745" spans="1:10" x14ac:dyDescent="0.35">
      <c r="A745" t="s">
        <v>1874</v>
      </c>
      <c r="B745" s="21"/>
      <c r="C745" s="21"/>
      <c r="D745" s="4"/>
      <c r="E745" s="4"/>
      <c r="F745" s="24"/>
      <c r="G745" s="24"/>
      <c r="H745" s="24"/>
      <c r="I745" s="24"/>
      <c r="J745" s="24"/>
    </row>
    <row r="746" spans="1:10" x14ac:dyDescent="0.35">
      <c r="A746" t="s">
        <v>1875</v>
      </c>
      <c r="B746" s="21"/>
      <c r="C746" s="21"/>
      <c r="D746" s="4"/>
      <c r="E746" s="4"/>
      <c r="F746" s="24"/>
      <c r="G746" s="24"/>
      <c r="H746" s="24"/>
      <c r="I746" s="24"/>
      <c r="J746" s="24"/>
    </row>
    <row r="747" spans="1:10" x14ac:dyDescent="0.35">
      <c r="A747" t="s">
        <v>1876</v>
      </c>
      <c r="B747" s="21"/>
      <c r="C747" s="21"/>
      <c r="D747" s="4"/>
      <c r="E747" s="4"/>
      <c r="F747" s="24"/>
      <c r="G747" s="24"/>
      <c r="H747" s="24"/>
      <c r="I747" s="24"/>
      <c r="J747" s="24"/>
    </row>
    <row r="748" spans="1:10" x14ac:dyDescent="0.35">
      <c r="A748" t="s">
        <v>1877</v>
      </c>
      <c r="B748" s="21"/>
      <c r="C748" s="21"/>
      <c r="D748" s="4"/>
      <c r="E748" s="4"/>
      <c r="F748" s="24"/>
      <c r="G748" s="24"/>
      <c r="H748" s="24"/>
      <c r="I748" s="24"/>
      <c r="J748" s="24"/>
    </row>
    <row r="749" spans="1:10" x14ac:dyDescent="0.35">
      <c r="A749" t="s">
        <v>1878</v>
      </c>
      <c r="B749" s="21"/>
      <c r="C749" s="21"/>
      <c r="D749" s="4"/>
      <c r="E749" s="4"/>
      <c r="F749" s="24"/>
      <c r="G749" s="24"/>
      <c r="H749" s="24"/>
      <c r="I749" s="24"/>
      <c r="J749" s="24"/>
    </row>
    <row r="750" spans="1:10" x14ac:dyDescent="0.35">
      <c r="A750" t="s">
        <v>1879</v>
      </c>
      <c r="B750" s="21"/>
      <c r="C750" s="21"/>
      <c r="D750" s="4"/>
      <c r="E750" s="4"/>
      <c r="F750" s="24"/>
      <c r="G750" s="24"/>
      <c r="H750" s="24"/>
      <c r="I750" s="24"/>
      <c r="J750" s="24"/>
    </row>
    <row r="751" spans="1:10" x14ac:dyDescent="0.35">
      <c r="A751" t="s">
        <v>1880</v>
      </c>
      <c r="B751" s="21"/>
      <c r="C751" s="21"/>
      <c r="D751" s="4"/>
      <c r="E751" s="4"/>
      <c r="F751" s="24"/>
      <c r="G751" s="24"/>
      <c r="H751" s="24"/>
      <c r="I751" s="24"/>
      <c r="J751" s="24"/>
    </row>
    <row r="752" spans="1:10" x14ac:dyDescent="0.35">
      <c r="A752" t="s">
        <v>1881</v>
      </c>
      <c r="B752" s="21"/>
      <c r="C752" s="21"/>
      <c r="D752" s="4"/>
      <c r="E752" s="4"/>
      <c r="F752" s="24"/>
      <c r="G752" s="24"/>
      <c r="H752" s="24"/>
      <c r="I752" s="24"/>
      <c r="J752" s="24"/>
    </row>
    <row r="753" spans="1:10" x14ac:dyDescent="0.35">
      <c r="A753" t="s">
        <v>1882</v>
      </c>
      <c r="B753" s="21"/>
      <c r="C753" s="21"/>
      <c r="D753" s="4"/>
      <c r="E753" s="4"/>
      <c r="F753" s="24"/>
      <c r="G753" s="24"/>
      <c r="H753" s="24"/>
      <c r="I753" s="24"/>
      <c r="J753" s="24"/>
    </row>
    <row r="754" spans="1:10" x14ac:dyDescent="0.35">
      <c r="A754" t="s">
        <v>1883</v>
      </c>
      <c r="B754" s="21"/>
      <c r="C754" s="21"/>
      <c r="D754" s="4"/>
      <c r="E754" s="4"/>
      <c r="F754" s="24"/>
      <c r="G754" s="24"/>
      <c r="H754" s="24"/>
      <c r="I754" s="24"/>
      <c r="J754" s="24"/>
    </row>
    <row r="755" spans="1:10" x14ac:dyDescent="0.35">
      <c r="A755" t="s">
        <v>1884</v>
      </c>
      <c r="B755" s="21"/>
      <c r="C755" s="21"/>
      <c r="D755" s="4"/>
      <c r="E755" s="4"/>
      <c r="F755" s="24"/>
      <c r="G755" s="24"/>
      <c r="H755" s="24"/>
      <c r="I755" s="24"/>
      <c r="J755" s="24"/>
    </row>
    <row r="756" spans="1:10" x14ac:dyDescent="0.35">
      <c r="A756" t="s">
        <v>1885</v>
      </c>
      <c r="B756" s="21"/>
      <c r="C756" s="21"/>
      <c r="D756" s="4"/>
      <c r="E756" s="4"/>
      <c r="F756" s="24"/>
      <c r="G756" s="24"/>
      <c r="H756" s="24"/>
      <c r="I756" s="24"/>
      <c r="J756" s="24"/>
    </row>
    <row r="757" spans="1:10" x14ac:dyDescent="0.35">
      <c r="A757" t="s">
        <v>1886</v>
      </c>
      <c r="B757" s="21"/>
      <c r="C757" s="21"/>
      <c r="D757" s="4"/>
      <c r="E757" s="4"/>
      <c r="F757" s="24"/>
      <c r="G757" s="24"/>
      <c r="H757" s="24"/>
      <c r="I757" s="24"/>
      <c r="J757" s="24"/>
    </row>
    <row r="758" spans="1:10" x14ac:dyDescent="0.35">
      <c r="A758" t="s">
        <v>1887</v>
      </c>
      <c r="B758" s="21"/>
      <c r="C758" s="21"/>
      <c r="D758" s="4"/>
      <c r="E758" s="4"/>
      <c r="F758" s="24"/>
      <c r="G758" s="24"/>
      <c r="H758" s="24"/>
      <c r="I758" s="24"/>
      <c r="J758" s="24"/>
    </row>
    <row r="759" spans="1:10" x14ac:dyDescent="0.35">
      <c r="A759" t="s">
        <v>1888</v>
      </c>
      <c r="B759" s="21"/>
      <c r="C759" s="21"/>
      <c r="D759" s="4"/>
      <c r="E759" s="4"/>
      <c r="F759" s="24"/>
      <c r="G759" s="24"/>
      <c r="H759" s="24"/>
      <c r="I759" s="24"/>
      <c r="J759" s="24"/>
    </row>
    <row r="760" spans="1:10" x14ac:dyDescent="0.35">
      <c r="A760" t="s">
        <v>1889</v>
      </c>
      <c r="B760" s="21"/>
      <c r="C760" s="21"/>
      <c r="D760" s="4"/>
      <c r="E760" s="4"/>
      <c r="F760" s="24"/>
      <c r="G760" s="24"/>
      <c r="H760" s="24"/>
      <c r="I760" s="24"/>
      <c r="J760" s="24"/>
    </row>
    <row r="761" spans="1:10" x14ac:dyDescent="0.35">
      <c r="A761" t="s">
        <v>1890</v>
      </c>
      <c r="B761" s="21"/>
      <c r="C761" s="21"/>
      <c r="D761" s="4"/>
      <c r="E761" s="4"/>
      <c r="F761" s="24"/>
      <c r="G761" s="24"/>
      <c r="H761" s="24"/>
      <c r="I761" s="24"/>
      <c r="J761" s="24"/>
    </row>
    <row r="762" spans="1:10" x14ac:dyDescent="0.35">
      <c r="A762" t="s">
        <v>1891</v>
      </c>
      <c r="B762" s="21"/>
      <c r="C762" s="21"/>
      <c r="D762" s="4"/>
      <c r="E762" s="4"/>
      <c r="F762" s="24"/>
      <c r="G762" s="24"/>
      <c r="H762" s="24"/>
      <c r="I762" s="24"/>
      <c r="J762" s="24"/>
    </row>
    <row r="763" spans="1:10" x14ac:dyDescent="0.35">
      <c r="A763" t="s">
        <v>1892</v>
      </c>
      <c r="B763" s="21"/>
      <c r="C763" s="21"/>
      <c r="D763" s="4"/>
      <c r="E763" s="4"/>
      <c r="F763" s="24"/>
      <c r="G763" s="24"/>
      <c r="H763" s="24"/>
      <c r="I763" s="24"/>
      <c r="J763" s="24"/>
    </row>
    <row r="764" spans="1:10" x14ac:dyDescent="0.35">
      <c r="A764" t="s">
        <v>1893</v>
      </c>
      <c r="B764" s="21"/>
      <c r="C764" s="21"/>
      <c r="D764" s="4"/>
      <c r="E764" s="4"/>
      <c r="F764" s="24"/>
      <c r="G764" s="24"/>
      <c r="H764" s="24"/>
      <c r="I764" s="24"/>
      <c r="J764" s="24"/>
    </row>
    <row r="765" spans="1:10" x14ac:dyDescent="0.35">
      <c r="A765" t="s">
        <v>1894</v>
      </c>
      <c r="B765" s="21"/>
      <c r="C765" s="21"/>
      <c r="D765" s="4"/>
      <c r="E765" s="4"/>
      <c r="F765" s="24"/>
      <c r="G765" s="24"/>
      <c r="H765" s="24"/>
      <c r="I765" s="24"/>
      <c r="J765" s="24"/>
    </row>
    <row r="766" spans="1:10" x14ac:dyDescent="0.35">
      <c r="A766" t="s">
        <v>1895</v>
      </c>
      <c r="B766" s="21"/>
      <c r="C766" s="21"/>
      <c r="D766" s="4"/>
      <c r="E766" s="4"/>
      <c r="F766" s="24"/>
      <c r="G766" s="24"/>
      <c r="H766" s="24"/>
      <c r="I766" s="24"/>
      <c r="J766" s="24"/>
    </row>
    <row r="767" spans="1:10" x14ac:dyDescent="0.35">
      <c r="A767" t="s">
        <v>1896</v>
      </c>
      <c r="B767" s="21"/>
      <c r="C767" s="21"/>
      <c r="D767" s="4"/>
      <c r="E767" s="4"/>
      <c r="F767" s="24"/>
      <c r="G767" s="24"/>
      <c r="H767" s="24"/>
      <c r="I767" s="24"/>
      <c r="J767" s="24"/>
    </row>
    <row r="768" spans="1:10" x14ac:dyDescent="0.35">
      <c r="A768" t="s">
        <v>1897</v>
      </c>
      <c r="B768" s="21"/>
      <c r="C768" s="21"/>
      <c r="D768" s="4"/>
      <c r="E768" s="4"/>
      <c r="F768" s="24"/>
      <c r="G768" s="24"/>
      <c r="H768" s="24"/>
      <c r="I768" s="24"/>
      <c r="J768" s="24"/>
    </row>
    <row r="769" spans="1:10" x14ac:dyDescent="0.35">
      <c r="A769" t="s">
        <v>1898</v>
      </c>
      <c r="B769" s="21"/>
      <c r="C769" s="21"/>
      <c r="D769" s="4"/>
      <c r="E769" s="4"/>
      <c r="F769" s="24"/>
      <c r="G769" s="24"/>
      <c r="H769" s="24"/>
      <c r="I769" s="24"/>
      <c r="J769" s="24"/>
    </row>
    <row r="770" spans="1:10" x14ac:dyDescent="0.35">
      <c r="A770" t="s">
        <v>1899</v>
      </c>
      <c r="B770" s="21"/>
      <c r="C770" s="21"/>
      <c r="D770" s="4"/>
      <c r="E770" s="4"/>
      <c r="F770" s="24"/>
      <c r="G770" s="24"/>
      <c r="H770" s="24"/>
      <c r="I770" s="24"/>
      <c r="J770" s="24"/>
    </row>
    <row r="771" spans="1:10" x14ac:dyDescent="0.35">
      <c r="A771" t="s">
        <v>1900</v>
      </c>
      <c r="B771" s="21"/>
      <c r="C771" s="21"/>
      <c r="D771" s="4"/>
      <c r="E771" s="4"/>
      <c r="F771" s="24"/>
      <c r="G771" s="24"/>
      <c r="H771" s="24"/>
      <c r="I771" s="24"/>
      <c r="J771" s="24"/>
    </row>
    <row r="772" spans="1:10" x14ac:dyDescent="0.35">
      <c r="A772" t="s">
        <v>1901</v>
      </c>
      <c r="B772" s="21"/>
      <c r="C772" s="21"/>
      <c r="D772" s="4"/>
      <c r="E772" s="4"/>
      <c r="F772" s="24"/>
      <c r="G772" s="24"/>
      <c r="H772" s="24"/>
      <c r="I772" s="24"/>
      <c r="J772" s="24"/>
    </row>
    <row r="773" spans="1:10" x14ac:dyDescent="0.35">
      <c r="A773" t="s">
        <v>1902</v>
      </c>
      <c r="B773" s="21"/>
      <c r="C773" s="21"/>
      <c r="D773" s="4"/>
      <c r="E773" s="4"/>
      <c r="F773" s="24"/>
      <c r="G773" s="24"/>
      <c r="H773" s="24"/>
      <c r="I773" s="24"/>
      <c r="J773" s="24"/>
    </row>
    <row r="774" spans="1:10" x14ac:dyDescent="0.35">
      <c r="A774" t="s">
        <v>1903</v>
      </c>
      <c r="B774" s="21"/>
      <c r="C774" s="21"/>
      <c r="D774" s="4"/>
      <c r="E774" s="4"/>
      <c r="F774" s="24"/>
      <c r="G774" s="24"/>
      <c r="H774" s="24"/>
      <c r="I774" s="24"/>
      <c r="J774" s="24"/>
    </row>
    <row r="775" spans="1:10" x14ac:dyDescent="0.35">
      <c r="A775" t="s">
        <v>1904</v>
      </c>
      <c r="B775" s="21"/>
      <c r="C775" s="21"/>
      <c r="D775" s="4"/>
      <c r="E775" s="4"/>
      <c r="F775" s="24"/>
      <c r="G775" s="24"/>
      <c r="H775" s="24"/>
      <c r="I775" s="24"/>
      <c r="J775" s="24"/>
    </row>
    <row r="776" spans="1:10" x14ac:dyDescent="0.35">
      <c r="A776" t="s">
        <v>1905</v>
      </c>
      <c r="B776" s="21"/>
      <c r="C776" s="21"/>
      <c r="D776" s="4"/>
      <c r="E776" s="4"/>
      <c r="F776" s="24"/>
      <c r="G776" s="24"/>
      <c r="H776" s="24"/>
      <c r="I776" s="24"/>
      <c r="J776" s="24"/>
    </row>
    <row r="777" spans="1:10" x14ac:dyDescent="0.35">
      <c r="A777" t="s">
        <v>1906</v>
      </c>
      <c r="B777" s="21"/>
      <c r="C777" s="21"/>
      <c r="D777" s="4"/>
      <c r="E777" s="4"/>
      <c r="F777" s="24"/>
      <c r="G777" s="24"/>
      <c r="H777" s="24"/>
      <c r="I777" s="24"/>
      <c r="J777" s="24"/>
    </row>
    <row r="778" spans="1:10" x14ac:dyDescent="0.35">
      <c r="A778" t="s">
        <v>1907</v>
      </c>
      <c r="B778" s="21"/>
      <c r="C778" s="21"/>
      <c r="D778" s="4"/>
      <c r="E778" s="4"/>
      <c r="F778" s="24"/>
      <c r="G778" s="24"/>
      <c r="H778" s="24"/>
      <c r="I778" s="24"/>
      <c r="J778" s="24"/>
    </row>
    <row r="779" spans="1:10" x14ac:dyDescent="0.35">
      <c r="A779" t="s">
        <v>1908</v>
      </c>
      <c r="B779" s="21"/>
      <c r="C779" s="21"/>
      <c r="D779" s="4"/>
      <c r="E779" s="4"/>
      <c r="F779" s="24"/>
      <c r="G779" s="24"/>
      <c r="H779" s="24"/>
      <c r="I779" s="24"/>
      <c r="J779" s="24"/>
    </row>
    <row r="780" spans="1:10" x14ac:dyDescent="0.35">
      <c r="A780" t="s">
        <v>1909</v>
      </c>
      <c r="B780" s="21"/>
      <c r="C780" s="21"/>
      <c r="D780" s="4"/>
      <c r="E780" s="4"/>
      <c r="F780" s="24"/>
      <c r="G780" s="24"/>
      <c r="H780" s="24"/>
      <c r="I780" s="24"/>
      <c r="J780" s="24"/>
    </row>
    <row r="781" spans="1:10" x14ac:dyDescent="0.35">
      <c r="A781" t="s">
        <v>1910</v>
      </c>
      <c r="B781" s="21"/>
      <c r="C781" s="21"/>
      <c r="D781" s="4"/>
      <c r="E781" s="4"/>
      <c r="F781" s="24"/>
      <c r="G781" s="24"/>
      <c r="H781" s="24"/>
      <c r="I781" s="24"/>
      <c r="J781" s="24"/>
    </row>
    <row r="782" spans="1:10" x14ac:dyDescent="0.35">
      <c r="A782" t="s">
        <v>1911</v>
      </c>
      <c r="B782" s="21"/>
      <c r="C782" s="21"/>
      <c r="D782" s="4"/>
      <c r="E782" s="4"/>
      <c r="F782" s="24"/>
      <c r="G782" s="24"/>
      <c r="H782" s="24"/>
      <c r="I782" s="24"/>
      <c r="J782" s="24"/>
    </row>
    <row r="783" spans="1:10" x14ac:dyDescent="0.35">
      <c r="A783" t="s">
        <v>1912</v>
      </c>
      <c r="B783" s="21"/>
      <c r="C783" s="21"/>
      <c r="D783" s="4"/>
      <c r="E783" s="4"/>
      <c r="F783" s="24"/>
      <c r="G783" s="24"/>
      <c r="H783" s="24"/>
      <c r="I783" s="24"/>
      <c r="J783" s="24"/>
    </row>
    <row r="784" spans="1:10" x14ac:dyDescent="0.35">
      <c r="A784" t="s">
        <v>1913</v>
      </c>
      <c r="B784" s="21"/>
      <c r="C784" s="21"/>
      <c r="D784" s="4"/>
      <c r="E784" s="4"/>
      <c r="F784" s="24"/>
      <c r="G784" s="24"/>
      <c r="H784" s="24"/>
      <c r="I784" s="24"/>
      <c r="J784" s="24"/>
    </row>
    <row r="785" spans="1:10" x14ac:dyDescent="0.35">
      <c r="A785" t="s">
        <v>1914</v>
      </c>
      <c r="B785" s="21"/>
      <c r="C785" s="21"/>
      <c r="D785" s="4"/>
      <c r="E785" s="4"/>
      <c r="F785" s="24"/>
      <c r="G785" s="24"/>
      <c r="H785" s="24"/>
      <c r="I785" s="24"/>
      <c r="J785" s="24"/>
    </row>
    <row r="786" spans="1:10" x14ac:dyDescent="0.35">
      <c r="A786" t="s">
        <v>1915</v>
      </c>
      <c r="B786" s="21"/>
      <c r="C786" s="21"/>
      <c r="D786" s="4"/>
      <c r="E786" s="4"/>
      <c r="F786" s="24"/>
      <c r="G786" s="24"/>
      <c r="H786" s="24"/>
      <c r="I786" s="24"/>
      <c r="J786" s="24"/>
    </row>
    <row r="787" spans="1:10" x14ac:dyDescent="0.35">
      <c r="A787" t="s">
        <v>1916</v>
      </c>
      <c r="B787" s="21"/>
      <c r="C787" s="21"/>
      <c r="D787" s="4"/>
      <c r="E787" s="4"/>
      <c r="F787" s="24"/>
      <c r="G787" s="24"/>
      <c r="H787" s="24"/>
      <c r="I787" s="24"/>
      <c r="J787" s="24"/>
    </row>
    <row r="788" spans="1:10" x14ac:dyDescent="0.35">
      <c r="A788" t="s">
        <v>1917</v>
      </c>
      <c r="B788" s="21"/>
      <c r="C788" s="21"/>
      <c r="D788" s="4"/>
      <c r="E788" s="4"/>
      <c r="F788" s="24"/>
      <c r="G788" s="24"/>
      <c r="H788" s="24"/>
      <c r="I788" s="24"/>
      <c r="J788" s="24"/>
    </row>
    <row r="789" spans="1:10" x14ac:dyDescent="0.35">
      <c r="A789" t="s">
        <v>1918</v>
      </c>
      <c r="B789" s="21"/>
      <c r="C789" s="21"/>
      <c r="D789" s="4"/>
      <c r="E789" s="4"/>
      <c r="F789" s="24"/>
      <c r="G789" s="24"/>
      <c r="H789" s="24"/>
      <c r="I789" s="24"/>
      <c r="J789" s="24"/>
    </row>
    <row r="790" spans="1:10" x14ac:dyDescent="0.35">
      <c r="A790" t="s">
        <v>1919</v>
      </c>
      <c r="B790" s="21"/>
      <c r="C790" s="21"/>
      <c r="D790" s="4"/>
      <c r="E790" s="4"/>
      <c r="F790" s="24"/>
      <c r="G790" s="24"/>
      <c r="H790" s="24"/>
      <c r="I790" s="24"/>
      <c r="J790" s="24"/>
    </row>
    <row r="791" spans="1:10" x14ac:dyDescent="0.35">
      <c r="A791" t="s">
        <v>1920</v>
      </c>
      <c r="B791" s="21"/>
      <c r="C791" s="21"/>
      <c r="D791" s="4"/>
      <c r="E791" s="4"/>
      <c r="F791" s="24"/>
      <c r="G791" s="24"/>
      <c r="H791" s="24"/>
      <c r="I791" s="24"/>
      <c r="J791" s="24"/>
    </row>
    <row r="792" spans="1:10" x14ac:dyDescent="0.35">
      <c r="A792" t="s">
        <v>1921</v>
      </c>
      <c r="B792" s="21"/>
      <c r="C792" s="21"/>
      <c r="D792" s="4"/>
      <c r="E792" s="4"/>
      <c r="F792" s="24"/>
      <c r="G792" s="24"/>
      <c r="H792" s="24"/>
      <c r="I792" s="24"/>
      <c r="J792" s="24"/>
    </row>
    <row r="793" spans="1:10" x14ac:dyDescent="0.35">
      <c r="A793" t="s">
        <v>1922</v>
      </c>
      <c r="B793" s="21"/>
      <c r="C793" s="21"/>
      <c r="D793" s="4"/>
      <c r="E793" s="4"/>
      <c r="F793" s="24"/>
      <c r="G793" s="24"/>
      <c r="H793" s="24"/>
      <c r="I793" s="24"/>
      <c r="J793" s="24"/>
    </row>
    <row r="794" spans="1:10" x14ac:dyDescent="0.35">
      <c r="A794" t="s">
        <v>1923</v>
      </c>
      <c r="B794" s="21"/>
      <c r="C794" s="21"/>
      <c r="D794" s="4"/>
      <c r="E794" s="4"/>
      <c r="F794" s="24"/>
      <c r="G794" s="24"/>
      <c r="H794" s="24"/>
      <c r="I794" s="24"/>
      <c r="J794" s="24"/>
    </row>
    <row r="795" spans="1:10" x14ac:dyDescent="0.35">
      <c r="A795" t="s">
        <v>1924</v>
      </c>
      <c r="B795" s="21"/>
      <c r="C795" s="21"/>
      <c r="D795" s="4"/>
      <c r="E795" s="4"/>
      <c r="F795" s="24"/>
      <c r="G795" s="24"/>
      <c r="H795" s="24"/>
      <c r="I795" s="24"/>
      <c r="J795" s="24"/>
    </row>
    <row r="796" spans="1:10" x14ac:dyDescent="0.35">
      <c r="A796" t="s">
        <v>1925</v>
      </c>
      <c r="B796" s="21"/>
      <c r="C796" s="21"/>
      <c r="D796" s="4"/>
      <c r="E796" s="4"/>
      <c r="F796" s="24"/>
      <c r="G796" s="24"/>
      <c r="H796" s="24"/>
      <c r="I796" s="24"/>
      <c r="J796" s="24"/>
    </row>
    <row r="797" spans="1:10" x14ac:dyDescent="0.35">
      <c r="A797" t="s">
        <v>1926</v>
      </c>
      <c r="B797" s="21"/>
      <c r="C797" s="21"/>
      <c r="D797" s="4"/>
      <c r="E797" s="4"/>
      <c r="F797" s="24"/>
      <c r="G797" s="24"/>
      <c r="H797" s="24"/>
      <c r="I797" s="24"/>
      <c r="J797" s="24"/>
    </row>
    <row r="798" spans="1:10" x14ac:dyDescent="0.35">
      <c r="A798" t="s">
        <v>1927</v>
      </c>
      <c r="B798" s="21"/>
      <c r="C798" s="21"/>
      <c r="D798" s="4"/>
      <c r="E798" s="4"/>
      <c r="F798" s="24"/>
      <c r="G798" s="24"/>
      <c r="H798" s="24"/>
      <c r="I798" s="24"/>
      <c r="J798" s="24"/>
    </row>
    <row r="799" spans="1:10" x14ac:dyDescent="0.35">
      <c r="A799" t="s">
        <v>1928</v>
      </c>
      <c r="B799" s="21"/>
      <c r="C799" s="21"/>
      <c r="D799" s="4"/>
      <c r="E799" s="4"/>
      <c r="F799" s="24"/>
      <c r="G799" s="24"/>
      <c r="H799" s="24"/>
      <c r="I799" s="24"/>
      <c r="J799" s="24"/>
    </row>
    <row r="800" spans="1:10" x14ac:dyDescent="0.35">
      <c r="A800" t="s">
        <v>1929</v>
      </c>
      <c r="B800" s="21"/>
      <c r="C800" s="21"/>
      <c r="D800" s="4"/>
      <c r="E800" s="4"/>
      <c r="F800" s="24"/>
      <c r="G800" s="24"/>
      <c r="H800" s="24"/>
      <c r="I800" s="24"/>
      <c r="J800" s="24"/>
    </row>
    <row r="801" spans="1:10" x14ac:dyDescent="0.35">
      <c r="A801" t="s">
        <v>1930</v>
      </c>
      <c r="B801" s="21"/>
      <c r="C801" s="21"/>
      <c r="D801" s="4"/>
      <c r="E801" s="4"/>
      <c r="F801" s="24"/>
      <c r="G801" s="24"/>
      <c r="H801" s="24"/>
      <c r="I801" s="24"/>
      <c r="J801" s="24"/>
    </row>
    <row r="802" spans="1:10" x14ac:dyDescent="0.35">
      <c r="A802" t="s">
        <v>1931</v>
      </c>
      <c r="B802" s="21"/>
      <c r="C802" s="21"/>
      <c r="D802" s="4"/>
      <c r="E802" s="4"/>
      <c r="F802" s="24"/>
      <c r="G802" s="24"/>
      <c r="H802" s="24"/>
      <c r="I802" s="24"/>
      <c r="J802" s="24"/>
    </row>
    <row r="803" spans="1:10" x14ac:dyDescent="0.35">
      <c r="A803" t="s">
        <v>1932</v>
      </c>
      <c r="B803" s="21"/>
      <c r="C803" s="21"/>
      <c r="D803" s="4"/>
      <c r="E803" s="4"/>
      <c r="F803" s="24"/>
      <c r="G803" s="24"/>
      <c r="H803" s="24"/>
      <c r="I803" s="24"/>
      <c r="J803" s="24"/>
    </row>
    <row r="804" spans="1:10" x14ac:dyDescent="0.35">
      <c r="A804" t="s">
        <v>1933</v>
      </c>
      <c r="B804" s="21"/>
      <c r="C804" s="21"/>
      <c r="D804" s="4"/>
      <c r="E804" s="4"/>
      <c r="F804" s="24"/>
      <c r="G804" s="24"/>
      <c r="H804" s="24"/>
      <c r="I804" s="24"/>
      <c r="J804" s="24"/>
    </row>
    <row r="805" spans="1:10" x14ac:dyDescent="0.35">
      <c r="A805" t="s">
        <v>1934</v>
      </c>
      <c r="B805" s="21"/>
      <c r="C805" s="21"/>
      <c r="D805" s="4"/>
      <c r="E805" s="4"/>
      <c r="F805" s="24"/>
      <c r="G805" s="24"/>
      <c r="H805" s="24"/>
      <c r="I805" s="24"/>
      <c r="J805" s="24"/>
    </row>
    <row r="806" spans="1:10" x14ac:dyDescent="0.35">
      <c r="A806" t="s">
        <v>1935</v>
      </c>
      <c r="B806" s="21"/>
      <c r="C806" s="21"/>
      <c r="D806" s="4"/>
      <c r="E806" s="4"/>
      <c r="F806" s="24"/>
      <c r="G806" s="24"/>
      <c r="H806" s="24"/>
      <c r="I806" s="24"/>
      <c r="J806" s="24"/>
    </row>
    <row r="807" spans="1:10" x14ac:dyDescent="0.35">
      <c r="A807" t="s">
        <v>1936</v>
      </c>
      <c r="B807" s="21"/>
      <c r="C807" s="21"/>
      <c r="D807" s="4"/>
      <c r="E807" s="4"/>
      <c r="F807" s="24"/>
      <c r="G807" s="24"/>
      <c r="H807" s="24"/>
      <c r="I807" s="24"/>
      <c r="J807" s="24"/>
    </row>
    <row r="808" spans="1:10" x14ac:dyDescent="0.35">
      <c r="A808" t="s">
        <v>1937</v>
      </c>
      <c r="B808" s="21"/>
      <c r="C808" s="21"/>
      <c r="D808" s="4"/>
      <c r="E808" s="4"/>
      <c r="F808" s="24"/>
      <c r="G808" s="24"/>
      <c r="H808" s="24"/>
      <c r="I808" s="24"/>
      <c r="J808" s="24"/>
    </row>
    <row r="809" spans="1:10" x14ac:dyDescent="0.35">
      <c r="A809" t="s">
        <v>1938</v>
      </c>
      <c r="B809" s="21"/>
      <c r="C809" s="21"/>
      <c r="D809" s="4"/>
      <c r="E809" s="4"/>
      <c r="F809" s="24"/>
      <c r="G809" s="24"/>
      <c r="H809" s="24"/>
      <c r="I809" s="24"/>
      <c r="J809" s="24"/>
    </row>
    <row r="810" spans="1:10" x14ac:dyDescent="0.35">
      <c r="A810" t="s">
        <v>1939</v>
      </c>
      <c r="B810" s="21"/>
      <c r="C810" s="21"/>
      <c r="D810" s="4"/>
      <c r="E810" s="4"/>
      <c r="F810" s="24"/>
      <c r="G810" s="24"/>
      <c r="H810" s="24"/>
      <c r="I810" s="24"/>
      <c r="J810" s="24"/>
    </row>
    <row r="811" spans="1:10" x14ac:dyDescent="0.35">
      <c r="A811" t="s">
        <v>1940</v>
      </c>
      <c r="B811" s="21"/>
      <c r="C811" s="21"/>
      <c r="D811" s="4"/>
      <c r="E811" s="4"/>
      <c r="F811" s="24"/>
      <c r="G811" s="24"/>
      <c r="H811" s="24"/>
      <c r="I811" s="24"/>
      <c r="J811" s="24"/>
    </row>
    <row r="812" spans="1:10" x14ac:dyDescent="0.35">
      <c r="A812" t="s">
        <v>1941</v>
      </c>
      <c r="B812" s="21"/>
      <c r="C812" s="21"/>
      <c r="D812" s="4"/>
      <c r="E812" s="4"/>
      <c r="F812" s="24"/>
      <c r="G812" s="24"/>
      <c r="H812" s="24"/>
      <c r="I812" s="24"/>
      <c r="J812" s="24"/>
    </row>
    <row r="813" spans="1:10" x14ac:dyDescent="0.35">
      <c r="A813" t="s">
        <v>1942</v>
      </c>
      <c r="B813" s="21"/>
      <c r="C813" s="21"/>
      <c r="D813" s="4"/>
      <c r="E813" s="4"/>
      <c r="F813" s="24"/>
      <c r="G813" s="24"/>
      <c r="H813" s="24"/>
      <c r="I813" s="24"/>
      <c r="J813" s="24"/>
    </row>
    <row r="814" spans="1:10" x14ac:dyDescent="0.35">
      <c r="A814" t="s">
        <v>1943</v>
      </c>
      <c r="B814" s="21"/>
      <c r="C814" s="21"/>
      <c r="D814" s="4"/>
      <c r="E814" s="4"/>
      <c r="F814" s="24"/>
      <c r="G814" s="24"/>
      <c r="H814" s="24"/>
      <c r="I814" s="24"/>
      <c r="J814" s="24"/>
    </row>
    <row r="815" spans="1:10" x14ac:dyDescent="0.35">
      <c r="A815" t="s">
        <v>1944</v>
      </c>
      <c r="B815" s="21"/>
      <c r="C815" s="21"/>
      <c r="D815" s="4"/>
      <c r="E815" s="4"/>
      <c r="F815" s="24"/>
      <c r="G815" s="24"/>
      <c r="H815" s="24"/>
      <c r="I815" s="24"/>
      <c r="J815" s="24"/>
    </row>
    <row r="816" spans="1:10" x14ac:dyDescent="0.35">
      <c r="A816" t="s">
        <v>1945</v>
      </c>
      <c r="B816" s="21"/>
      <c r="C816" s="21"/>
      <c r="D816" s="4"/>
      <c r="E816" s="4"/>
      <c r="F816" s="24"/>
      <c r="G816" s="24"/>
      <c r="H816" s="24"/>
      <c r="I816" s="24"/>
      <c r="J816" s="24"/>
    </row>
    <row r="817" spans="1:10" x14ac:dyDescent="0.35">
      <c r="A817" t="s">
        <v>1946</v>
      </c>
      <c r="B817" s="21"/>
      <c r="C817" s="21"/>
      <c r="D817" s="4"/>
      <c r="E817" s="4"/>
      <c r="F817" s="24"/>
      <c r="G817" s="24"/>
      <c r="H817" s="24"/>
      <c r="I817" s="24"/>
      <c r="J817" s="24"/>
    </row>
    <row r="818" spans="1:10" x14ac:dyDescent="0.35">
      <c r="A818" t="s">
        <v>1947</v>
      </c>
      <c r="B818" s="21"/>
      <c r="C818" s="21"/>
      <c r="D818" s="4"/>
      <c r="E818" s="4"/>
      <c r="F818" s="24"/>
      <c r="G818" s="24"/>
      <c r="H818" s="24"/>
      <c r="I818" s="24"/>
      <c r="J818" s="24"/>
    </row>
    <row r="819" spans="1:10" x14ac:dyDescent="0.35">
      <c r="A819" t="s">
        <v>1948</v>
      </c>
      <c r="B819" s="21"/>
      <c r="C819" s="21"/>
      <c r="D819" s="4"/>
      <c r="E819" s="4"/>
      <c r="F819" s="24"/>
      <c r="G819" s="24"/>
      <c r="H819" s="24"/>
      <c r="I819" s="24"/>
      <c r="J819" s="24"/>
    </row>
    <row r="820" spans="1:10" x14ac:dyDescent="0.35">
      <c r="A820" t="s">
        <v>1949</v>
      </c>
      <c r="B820" s="21"/>
      <c r="C820" s="21"/>
      <c r="D820" s="4"/>
      <c r="E820" s="4"/>
      <c r="F820" s="24"/>
      <c r="G820" s="24"/>
      <c r="H820" s="24"/>
      <c r="I820" s="24"/>
      <c r="J820" s="24"/>
    </row>
    <row r="821" spans="1:10" x14ac:dyDescent="0.35">
      <c r="A821" t="s">
        <v>1950</v>
      </c>
      <c r="B821" s="21"/>
      <c r="C821" s="21"/>
      <c r="D821" s="4"/>
      <c r="E821" s="4"/>
      <c r="F821" s="24"/>
      <c r="G821" s="24"/>
      <c r="H821" s="24"/>
      <c r="I821" s="24"/>
      <c r="J821" s="24"/>
    </row>
    <row r="822" spans="1:10" x14ac:dyDescent="0.35">
      <c r="A822" t="s">
        <v>1951</v>
      </c>
      <c r="B822" s="21"/>
      <c r="C822" s="21"/>
      <c r="D822" s="4"/>
      <c r="E822" s="4"/>
      <c r="F822" s="24"/>
      <c r="G822" s="24"/>
      <c r="H822" s="24"/>
      <c r="I822" s="24"/>
      <c r="J822" s="24"/>
    </row>
    <row r="823" spans="1:10" x14ac:dyDescent="0.35">
      <c r="A823" t="s">
        <v>1952</v>
      </c>
      <c r="B823" s="21"/>
      <c r="C823" s="21"/>
      <c r="D823" s="4"/>
      <c r="E823" s="4"/>
      <c r="F823" s="24"/>
      <c r="G823" s="24"/>
      <c r="H823" s="24"/>
      <c r="I823" s="24"/>
      <c r="J823" s="24"/>
    </row>
    <row r="824" spans="1:10" x14ac:dyDescent="0.35">
      <c r="A824" t="s">
        <v>1953</v>
      </c>
      <c r="B824" s="21"/>
      <c r="C824" s="21"/>
      <c r="D824" s="4"/>
      <c r="E824" s="4"/>
      <c r="F824" s="24"/>
      <c r="G824" s="24"/>
      <c r="H824" s="24"/>
      <c r="I824" s="24"/>
      <c r="J824" s="24"/>
    </row>
    <row r="825" spans="1:10" x14ac:dyDescent="0.35">
      <c r="A825" t="s">
        <v>1954</v>
      </c>
      <c r="B825" s="21"/>
      <c r="C825" s="21"/>
      <c r="D825" s="4"/>
      <c r="E825" s="4"/>
      <c r="F825" s="24"/>
      <c r="G825" s="24"/>
      <c r="H825" s="24"/>
      <c r="I825" s="24"/>
      <c r="J825" s="24"/>
    </row>
    <row r="826" spans="1:10" x14ac:dyDescent="0.35">
      <c r="A826" t="s">
        <v>1955</v>
      </c>
      <c r="B826" s="21"/>
      <c r="C826" s="21"/>
      <c r="D826" s="4"/>
      <c r="E826" s="4"/>
      <c r="F826" s="24"/>
      <c r="G826" s="24"/>
      <c r="H826" s="24"/>
      <c r="I826" s="24"/>
      <c r="J826" s="24"/>
    </row>
    <row r="827" spans="1:10" x14ac:dyDescent="0.35">
      <c r="A827" t="s">
        <v>1956</v>
      </c>
      <c r="B827" s="21"/>
      <c r="C827" s="21"/>
      <c r="D827" s="4"/>
      <c r="E827" s="4"/>
      <c r="F827" s="24"/>
      <c r="G827" s="24"/>
      <c r="H827" s="24"/>
      <c r="I827" s="24"/>
      <c r="J827" s="24"/>
    </row>
    <row r="828" spans="1:10" x14ac:dyDescent="0.35">
      <c r="A828" t="s">
        <v>1957</v>
      </c>
      <c r="B828" s="21"/>
      <c r="C828" s="21"/>
      <c r="D828" s="4"/>
      <c r="E828" s="4"/>
      <c r="F828" s="24"/>
      <c r="G828" s="24"/>
      <c r="H828" s="24"/>
      <c r="I828" s="24"/>
      <c r="J828" s="24"/>
    </row>
    <row r="829" spans="1:10" x14ac:dyDescent="0.35">
      <c r="A829" t="s">
        <v>1958</v>
      </c>
      <c r="B829" s="21"/>
      <c r="C829" s="21"/>
      <c r="D829" s="4"/>
      <c r="E829" s="4"/>
      <c r="F829" s="24"/>
      <c r="G829" s="24"/>
      <c r="H829" s="24"/>
      <c r="I829" s="24"/>
      <c r="J829" s="24"/>
    </row>
    <row r="830" spans="1:10" x14ac:dyDescent="0.35">
      <c r="A830" t="s">
        <v>1959</v>
      </c>
      <c r="B830" s="21"/>
      <c r="C830" s="21"/>
      <c r="D830" s="4"/>
      <c r="E830" s="4"/>
      <c r="F830" s="24"/>
      <c r="G830" s="24"/>
      <c r="H830" s="24"/>
      <c r="I830" s="24"/>
      <c r="J830" s="24"/>
    </row>
    <row r="831" spans="1:10" x14ac:dyDescent="0.35">
      <c r="A831" t="s">
        <v>1960</v>
      </c>
      <c r="B831" s="21"/>
      <c r="C831" s="21"/>
      <c r="D831" s="4"/>
      <c r="E831" s="4"/>
      <c r="F831" s="24"/>
      <c r="G831" s="24"/>
      <c r="H831" s="24"/>
      <c r="I831" s="24"/>
      <c r="J831" s="24"/>
    </row>
    <row r="832" spans="1:10" x14ac:dyDescent="0.35">
      <c r="A832" t="s">
        <v>1961</v>
      </c>
      <c r="B832" s="21"/>
      <c r="C832" s="21"/>
      <c r="D832" s="4"/>
      <c r="E832" s="4"/>
      <c r="F832" s="24"/>
      <c r="G832" s="24"/>
      <c r="H832" s="24"/>
      <c r="I832" s="24"/>
      <c r="J832" s="24"/>
    </row>
    <row r="833" spans="1:10" x14ac:dyDescent="0.35">
      <c r="A833" t="s">
        <v>1962</v>
      </c>
      <c r="B833" s="21"/>
      <c r="C833" s="21"/>
      <c r="D833" s="4"/>
      <c r="E833" s="4"/>
      <c r="F833" s="24"/>
      <c r="G833" s="24"/>
      <c r="H833" s="24"/>
      <c r="I833" s="24"/>
      <c r="J833" s="24"/>
    </row>
    <row r="834" spans="1:10" x14ac:dyDescent="0.35">
      <c r="A834" t="s">
        <v>1963</v>
      </c>
      <c r="B834" s="21"/>
      <c r="C834" s="21"/>
      <c r="D834" s="4"/>
      <c r="E834" s="4"/>
      <c r="F834" s="24"/>
      <c r="G834" s="24"/>
      <c r="H834" s="24"/>
      <c r="I834" s="24"/>
      <c r="J834" s="24"/>
    </row>
    <row r="835" spans="1:10" x14ac:dyDescent="0.35">
      <c r="A835" t="s">
        <v>1964</v>
      </c>
      <c r="B835" s="21"/>
      <c r="C835" s="21"/>
      <c r="D835" s="4"/>
      <c r="E835" s="4"/>
      <c r="F835" s="24"/>
      <c r="G835" s="24"/>
      <c r="H835" s="24"/>
      <c r="I835" s="24"/>
      <c r="J835" s="24"/>
    </row>
    <row r="836" spans="1:10" x14ac:dyDescent="0.35">
      <c r="A836" t="s">
        <v>1965</v>
      </c>
      <c r="B836" s="21"/>
      <c r="C836" s="21"/>
      <c r="D836" s="4"/>
      <c r="E836" s="4"/>
      <c r="F836" s="24"/>
      <c r="G836" s="24"/>
      <c r="H836" s="24"/>
      <c r="I836" s="24"/>
      <c r="J836" s="24"/>
    </row>
    <row r="837" spans="1:10" x14ac:dyDescent="0.35">
      <c r="A837" t="s">
        <v>1966</v>
      </c>
      <c r="B837" s="21"/>
      <c r="C837" s="21"/>
      <c r="D837" s="4"/>
      <c r="E837" s="4"/>
      <c r="F837" s="24"/>
      <c r="G837" s="24"/>
      <c r="H837" s="24"/>
      <c r="I837" s="24"/>
      <c r="J837" s="24"/>
    </row>
    <row r="838" spans="1:10" x14ac:dyDescent="0.35">
      <c r="A838" t="s">
        <v>1967</v>
      </c>
      <c r="B838" s="21"/>
      <c r="C838" s="21"/>
      <c r="D838" s="4"/>
      <c r="E838" s="4"/>
      <c r="F838" s="24"/>
      <c r="G838" s="24"/>
      <c r="H838" s="24"/>
      <c r="I838" s="24"/>
      <c r="J838" s="24"/>
    </row>
    <row r="839" spans="1:10" x14ac:dyDescent="0.35">
      <c r="A839" t="s">
        <v>1968</v>
      </c>
      <c r="B839" s="21"/>
      <c r="C839" s="21"/>
      <c r="D839" s="4"/>
      <c r="E839" s="4"/>
      <c r="F839" s="24"/>
      <c r="G839" s="24"/>
      <c r="H839" s="24"/>
      <c r="I839" s="24"/>
      <c r="J839" s="24"/>
    </row>
    <row r="840" spans="1:10" x14ac:dyDescent="0.35">
      <c r="A840" t="s">
        <v>1969</v>
      </c>
      <c r="B840" s="21"/>
      <c r="C840" s="21"/>
      <c r="D840" s="4"/>
      <c r="E840" s="4"/>
      <c r="F840" s="24"/>
      <c r="G840" s="24"/>
      <c r="H840" s="24"/>
      <c r="I840" s="24"/>
      <c r="J840" s="24"/>
    </row>
    <row r="841" spans="1:10" x14ac:dyDescent="0.35">
      <c r="A841" t="s">
        <v>1970</v>
      </c>
      <c r="B841" s="21"/>
      <c r="C841" s="21"/>
      <c r="D841" s="4"/>
      <c r="E841" s="4"/>
      <c r="F841" s="24"/>
      <c r="G841" s="24"/>
      <c r="H841" s="24"/>
      <c r="I841" s="24"/>
      <c r="J841" s="24"/>
    </row>
    <row r="842" spans="1:10" x14ac:dyDescent="0.35">
      <c r="A842" t="s">
        <v>1971</v>
      </c>
      <c r="B842" s="21"/>
      <c r="C842" s="21"/>
      <c r="D842" s="4"/>
      <c r="E842" s="4"/>
      <c r="F842" s="24"/>
      <c r="G842" s="24"/>
      <c r="H842" s="24"/>
      <c r="I842" s="24"/>
      <c r="J842" s="24"/>
    </row>
    <row r="843" spans="1:10" x14ac:dyDescent="0.35">
      <c r="A843" t="s">
        <v>1972</v>
      </c>
      <c r="B843" s="21"/>
      <c r="C843" s="21"/>
      <c r="D843" s="4"/>
      <c r="E843" s="4"/>
      <c r="F843" s="24"/>
      <c r="G843" s="24"/>
      <c r="H843" s="24"/>
      <c r="I843" s="24"/>
      <c r="J843" s="24"/>
    </row>
    <row r="844" spans="1:10" x14ac:dyDescent="0.35">
      <c r="A844" t="s">
        <v>1973</v>
      </c>
      <c r="B844" s="21"/>
      <c r="C844" s="21"/>
      <c r="D844" s="4"/>
      <c r="E844" s="4"/>
      <c r="F844" s="24"/>
      <c r="G844" s="24"/>
      <c r="H844" s="24"/>
      <c r="I844" s="24"/>
      <c r="J844" s="24"/>
    </row>
    <row r="845" spans="1:10" x14ac:dyDescent="0.35">
      <c r="A845" t="s">
        <v>1974</v>
      </c>
      <c r="B845" s="21"/>
      <c r="C845" s="21"/>
      <c r="D845" s="4"/>
      <c r="E845" s="4"/>
      <c r="F845" s="24"/>
      <c r="G845" s="24"/>
      <c r="H845" s="24"/>
      <c r="I845" s="24"/>
      <c r="J845" s="24"/>
    </row>
    <row r="846" spans="1:10" x14ac:dyDescent="0.35">
      <c r="A846" t="s">
        <v>1975</v>
      </c>
      <c r="B846" s="21"/>
      <c r="C846" s="21"/>
      <c r="D846" s="4"/>
      <c r="E846" s="4"/>
      <c r="F846" s="24"/>
      <c r="G846" s="24"/>
      <c r="H846" s="24"/>
      <c r="I846" s="24"/>
      <c r="J846" s="24"/>
    </row>
    <row r="847" spans="1:10" x14ac:dyDescent="0.35">
      <c r="A847" t="s">
        <v>1976</v>
      </c>
      <c r="B847" s="21"/>
      <c r="C847" s="21"/>
      <c r="D847" s="4"/>
      <c r="E847" s="4"/>
      <c r="F847" s="24"/>
      <c r="G847" s="24"/>
      <c r="H847" s="24"/>
      <c r="I847" s="24"/>
      <c r="J847" s="24"/>
    </row>
    <row r="848" spans="1:10" x14ac:dyDescent="0.35">
      <c r="A848" t="s">
        <v>1977</v>
      </c>
      <c r="B848" s="21"/>
      <c r="C848" s="21"/>
      <c r="D848" s="4"/>
      <c r="E848" s="4"/>
      <c r="F848" s="24"/>
      <c r="G848" s="24"/>
      <c r="H848" s="24"/>
      <c r="I848" s="24"/>
      <c r="J848" s="24"/>
    </row>
    <row r="849" spans="1:10" x14ac:dyDescent="0.35">
      <c r="A849" t="s">
        <v>1978</v>
      </c>
      <c r="B849" s="21"/>
      <c r="C849" s="21"/>
      <c r="D849" s="4"/>
      <c r="E849" s="4"/>
      <c r="F849" s="24"/>
      <c r="G849" s="24"/>
      <c r="H849" s="24"/>
      <c r="I849" s="24"/>
      <c r="J849" s="24"/>
    </row>
    <row r="850" spans="1:10" x14ac:dyDescent="0.35">
      <c r="A850" t="s">
        <v>1979</v>
      </c>
      <c r="B850" s="21"/>
      <c r="C850" s="21"/>
      <c r="D850" s="4"/>
      <c r="E850" s="4"/>
      <c r="F850" s="24"/>
      <c r="G850" s="24"/>
      <c r="H850" s="24"/>
      <c r="I850" s="24"/>
      <c r="J850" s="24"/>
    </row>
    <row r="851" spans="1:10" x14ac:dyDescent="0.35">
      <c r="A851" t="s">
        <v>1980</v>
      </c>
      <c r="B851" s="21"/>
      <c r="C851" s="21"/>
      <c r="D851" s="4"/>
      <c r="E851" s="4"/>
      <c r="F851" s="24"/>
      <c r="G851" s="24"/>
      <c r="H851" s="24"/>
      <c r="I851" s="24"/>
      <c r="J851" s="24"/>
    </row>
    <row r="852" spans="1:10" x14ac:dyDescent="0.35">
      <c r="A852" t="s">
        <v>1981</v>
      </c>
      <c r="B852" s="21"/>
      <c r="C852" s="21"/>
      <c r="D852" s="4"/>
      <c r="E852" s="4"/>
      <c r="F852" s="24"/>
      <c r="G852" s="24"/>
      <c r="H852" s="24"/>
      <c r="I852" s="24"/>
      <c r="J852" s="24"/>
    </row>
    <row r="853" spans="1:10" x14ac:dyDescent="0.35">
      <c r="A853" t="s">
        <v>1982</v>
      </c>
      <c r="B853" s="21"/>
      <c r="C853" s="21"/>
      <c r="D853" s="4"/>
      <c r="E853" s="4"/>
      <c r="F853" s="24"/>
      <c r="G853" s="24"/>
      <c r="H853" s="24"/>
      <c r="I853" s="24"/>
      <c r="J853" s="24"/>
    </row>
    <row r="854" spans="1:10" x14ac:dyDescent="0.35">
      <c r="A854" t="s">
        <v>1983</v>
      </c>
      <c r="B854" s="21"/>
      <c r="C854" s="21"/>
      <c r="D854" s="4"/>
      <c r="E854" s="4"/>
      <c r="F854" s="24"/>
      <c r="G854" s="24"/>
      <c r="H854" s="24"/>
      <c r="I854" s="24"/>
      <c r="J854" s="24"/>
    </row>
    <row r="855" spans="1:10" x14ac:dyDescent="0.35">
      <c r="A855" t="s">
        <v>1984</v>
      </c>
      <c r="B855" s="21"/>
      <c r="C855" s="21"/>
      <c r="D855" s="4"/>
      <c r="E855" s="4"/>
      <c r="F855" s="24"/>
      <c r="G855" s="24"/>
      <c r="H855" s="24"/>
      <c r="I855" s="24"/>
      <c r="J855" s="24"/>
    </row>
    <row r="856" spans="1:10" x14ac:dyDescent="0.35">
      <c r="A856" t="s">
        <v>1985</v>
      </c>
      <c r="B856" s="21"/>
      <c r="C856" s="21"/>
      <c r="D856" s="4"/>
      <c r="E856" s="4"/>
      <c r="F856" s="24"/>
      <c r="G856" s="24"/>
      <c r="H856" s="24"/>
      <c r="I856" s="24"/>
      <c r="J856" s="24"/>
    </row>
    <row r="857" spans="1:10" x14ac:dyDescent="0.35">
      <c r="A857" t="s">
        <v>1986</v>
      </c>
      <c r="B857" s="21"/>
      <c r="C857" s="21"/>
      <c r="D857" s="4"/>
      <c r="E857" s="4"/>
      <c r="F857" s="24"/>
      <c r="G857" s="24"/>
      <c r="H857" s="24"/>
      <c r="I857" s="24"/>
      <c r="J857" s="24"/>
    </row>
    <row r="858" spans="1:10" x14ac:dyDescent="0.35">
      <c r="A858" t="s">
        <v>1987</v>
      </c>
      <c r="B858" s="21"/>
      <c r="C858" s="21"/>
      <c r="D858" s="4"/>
      <c r="E858" s="4"/>
      <c r="F858" s="24"/>
      <c r="G858" s="24"/>
      <c r="H858" s="24"/>
      <c r="I858" s="24"/>
      <c r="J858" s="24"/>
    </row>
    <row r="859" spans="1:10" x14ac:dyDescent="0.35">
      <c r="A859" t="s">
        <v>1988</v>
      </c>
      <c r="B859" s="21"/>
      <c r="C859" s="21"/>
      <c r="D859" s="4"/>
      <c r="E859" s="4"/>
      <c r="F859" s="24"/>
      <c r="G859" s="24"/>
      <c r="H859" s="24"/>
      <c r="I859" s="24"/>
      <c r="J859" s="24"/>
    </row>
    <row r="860" spans="1:10" x14ac:dyDescent="0.35">
      <c r="A860" t="s">
        <v>1989</v>
      </c>
      <c r="B860" s="21"/>
      <c r="C860" s="21"/>
      <c r="D860" s="4"/>
      <c r="E860" s="4"/>
      <c r="F860" s="24"/>
      <c r="G860" s="24"/>
      <c r="H860" s="24"/>
      <c r="I860" s="24"/>
      <c r="J860" s="24"/>
    </row>
    <row r="861" spans="1:10" x14ac:dyDescent="0.35">
      <c r="A861" t="s">
        <v>1990</v>
      </c>
      <c r="B861" s="21"/>
      <c r="C861" s="21"/>
      <c r="D861" s="4"/>
      <c r="E861" s="4"/>
      <c r="F861" s="24"/>
      <c r="G861" s="24"/>
      <c r="H861" s="24"/>
      <c r="I861" s="24"/>
      <c r="J861" s="24"/>
    </row>
    <row r="862" spans="1:10" x14ac:dyDescent="0.35">
      <c r="A862" t="s">
        <v>1991</v>
      </c>
      <c r="B862" s="21"/>
      <c r="C862" s="21"/>
      <c r="D862" s="4"/>
      <c r="E862" s="4"/>
      <c r="F862" s="24"/>
      <c r="G862" s="24"/>
      <c r="H862" s="24"/>
      <c r="I862" s="24"/>
      <c r="J862" s="24"/>
    </row>
    <row r="863" spans="1:10" x14ac:dyDescent="0.35">
      <c r="A863" t="s">
        <v>1992</v>
      </c>
      <c r="B863" s="21"/>
      <c r="C863" s="21"/>
      <c r="D863" s="4"/>
      <c r="E863" s="4"/>
      <c r="F863" s="24"/>
      <c r="G863" s="24"/>
      <c r="H863" s="24"/>
      <c r="I863" s="24"/>
      <c r="J863" s="24"/>
    </row>
    <row r="864" spans="1:10" x14ac:dyDescent="0.35">
      <c r="A864" t="s">
        <v>1993</v>
      </c>
      <c r="B864" s="21"/>
      <c r="C864" s="21"/>
      <c r="D864" s="4"/>
      <c r="E864" s="4"/>
      <c r="F864" s="24"/>
      <c r="G864" s="24"/>
      <c r="H864" s="24"/>
      <c r="I864" s="24"/>
      <c r="J864" s="24"/>
    </row>
    <row r="865" spans="1:10" x14ac:dyDescent="0.35">
      <c r="A865" t="s">
        <v>1994</v>
      </c>
      <c r="B865" s="21"/>
      <c r="C865" s="21"/>
      <c r="D865" s="4"/>
      <c r="E865" s="4"/>
      <c r="F865" s="24"/>
      <c r="G865" s="24"/>
      <c r="H865" s="24"/>
      <c r="I865" s="24"/>
      <c r="J865" s="24"/>
    </row>
    <row r="866" spans="1:10" x14ac:dyDescent="0.35">
      <c r="A866" t="s">
        <v>1995</v>
      </c>
      <c r="B866" s="21"/>
      <c r="C866" s="21"/>
      <c r="D866" s="4"/>
      <c r="E866" s="4"/>
      <c r="F866" s="24"/>
      <c r="G866" s="24"/>
      <c r="H866" s="24"/>
      <c r="I866" s="24"/>
      <c r="J866" s="24"/>
    </row>
    <row r="867" spans="1:10" x14ac:dyDescent="0.35">
      <c r="A867" t="s">
        <v>1996</v>
      </c>
      <c r="B867" s="21"/>
      <c r="C867" s="21"/>
      <c r="D867" s="4"/>
      <c r="E867" s="4"/>
      <c r="F867" s="24"/>
      <c r="G867" s="24"/>
      <c r="H867" s="24"/>
      <c r="I867" s="24"/>
      <c r="J867" s="24"/>
    </row>
    <row r="868" spans="1:10" x14ac:dyDescent="0.35">
      <c r="A868" t="s">
        <v>1997</v>
      </c>
      <c r="B868" s="21"/>
      <c r="C868" s="21"/>
      <c r="D868" s="4"/>
      <c r="E868" s="4"/>
      <c r="F868" s="24"/>
      <c r="G868" s="24"/>
      <c r="H868" s="24"/>
      <c r="I868" s="24"/>
      <c r="J868" s="24"/>
    </row>
    <row r="869" spans="1:10" x14ac:dyDescent="0.35">
      <c r="A869" t="s">
        <v>1998</v>
      </c>
      <c r="B869" s="21"/>
      <c r="C869" s="21"/>
      <c r="D869" s="4"/>
      <c r="E869" s="4"/>
      <c r="F869" s="24"/>
      <c r="G869" s="24"/>
      <c r="H869" s="24"/>
      <c r="I869" s="24"/>
      <c r="J869" s="24"/>
    </row>
    <row r="870" spans="1:10" x14ac:dyDescent="0.35">
      <c r="A870" t="s">
        <v>1999</v>
      </c>
      <c r="B870" s="21"/>
      <c r="C870" s="21"/>
      <c r="D870" s="4"/>
      <c r="E870" s="4"/>
      <c r="F870" s="24"/>
      <c r="G870" s="24"/>
      <c r="H870" s="24"/>
      <c r="I870" s="24"/>
      <c r="J870" s="24"/>
    </row>
    <row r="871" spans="1:10" x14ac:dyDescent="0.35">
      <c r="A871" t="s">
        <v>2000</v>
      </c>
      <c r="B871" s="21"/>
      <c r="C871" s="21"/>
      <c r="D871" s="4"/>
      <c r="E871" s="4"/>
      <c r="F871" s="24"/>
      <c r="G871" s="24"/>
      <c r="H871" s="24"/>
      <c r="I871" s="24"/>
      <c r="J871" s="24"/>
    </row>
    <row r="872" spans="1:10" x14ac:dyDescent="0.35">
      <c r="A872" t="s">
        <v>2001</v>
      </c>
      <c r="B872" s="21"/>
      <c r="C872" s="21"/>
      <c r="D872" s="4"/>
      <c r="E872" s="4"/>
      <c r="F872" s="24"/>
      <c r="G872" s="24"/>
      <c r="H872" s="24"/>
      <c r="I872" s="24"/>
      <c r="J872" s="24"/>
    </row>
    <row r="873" spans="1:10" x14ac:dyDescent="0.35">
      <c r="A873" t="s">
        <v>2002</v>
      </c>
      <c r="B873" s="21"/>
      <c r="C873" s="21"/>
      <c r="D873" s="4"/>
      <c r="E873" s="4"/>
      <c r="F873" s="24"/>
      <c r="G873" s="24"/>
      <c r="H873" s="24"/>
      <c r="I873" s="24"/>
      <c r="J873" s="24"/>
    </row>
    <row r="874" spans="1:10" x14ac:dyDescent="0.35">
      <c r="A874" t="s">
        <v>2003</v>
      </c>
      <c r="B874" s="21"/>
      <c r="C874" s="21"/>
      <c r="D874" s="4"/>
      <c r="E874" s="4"/>
      <c r="F874" s="24"/>
      <c r="G874" s="24"/>
      <c r="H874" s="24"/>
      <c r="I874" s="24"/>
      <c r="J874" s="24"/>
    </row>
    <row r="875" spans="1:10" x14ac:dyDescent="0.35">
      <c r="A875" t="s">
        <v>2004</v>
      </c>
      <c r="B875" s="21"/>
      <c r="C875" s="21"/>
      <c r="D875" s="4"/>
      <c r="E875" s="4"/>
      <c r="F875" s="24"/>
      <c r="G875" s="24"/>
      <c r="H875" s="24"/>
      <c r="I875" s="24"/>
      <c r="J875" s="24"/>
    </row>
    <row r="876" spans="1:10" x14ac:dyDescent="0.35">
      <c r="A876" t="s">
        <v>2005</v>
      </c>
      <c r="B876" s="21"/>
      <c r="C876" s="21"/>
      <c r="D876" s="4"/>
      <c r="E876" s="4"/>
      <c r="F876" s="24"/>
      <c r="G876" s="24"/>
      <c r="H876" s="24"/>
      <c r="I876" s="24"/>
      <c r="J876" s="24"/>
    </row>
    <row r="877" spans="1:10" x14ac:dyDescent="0.35">
      <c r="A877" t="s">
        <v>2006</v>
      </c>
      <c r="B877" s="21"/>
      <c r="C877" s="21"/>
      <c r="D877" s="4"/>
      <c r="E877" s="4"/>
      <c r="F877" s="24"/>
      <c r="G877" s="24"/>
      <c r="H877" s="24"/>
      <c r="I877" s="24"/>
      <c r="J877" s="24"/>
    </row>
    <row r="878" spans="1:10" x14ac:dyDescent="0.35">
      <c r="A878" t="s">
        <v>2007</v>
      </c>
      <c r="B878" s="21"/>
      <c r="C878" s="21"/>
      <c r="D878" s="4"/>
      <c r="E878" s="4"/>
      <c r="F878" s="24"/>
      <c r="G878" s="24"/>
      <c r="H878" s="24"/>
      <c r="I878" s="24"/>
      <c r="J878" s="24"/>
    </row>
    <row r="879" spans="1:10" x14ac:dyDescent="0.35">
      <c r="A879" t="s">
        <v>2008</v>
      </c>
      <c r="B879" s="21"/>
      <c r="C879" s="21"/>
      <c r="D879" s="4"/>
      <c r="E879" s="4"/>
      <c r="F879" s="24"/>
      <c r="G879" s="24"/>
      <c r="H879" s="24"/>
      <c r="I879" s="24"/>
      <c r="J879" s="24"/>
    </row>
    <row r="880" spans="1:10" x14ac:dyDescent="0.35">
      <c r="A880" t="s">
        <v>2009</v>
      </c>
      <c r="B880" s="21"/>
      <c r="C880" s="21"/>
      <c r="D880" s="4"/>
      <c r="E880" s="4"/>
      <c r="F880" s="24"/>
      <c r="G880" s="24"/>
      <c r="H880" s="24"/>
      <c r="I880" s="24"/>
      <c r="J880" s="24"/>
    </row>
    <row r="881" spans="1:10" x14ac:dyDescent="0.35">
      <c r="A881" t="s">
        <v>2010</v>
      </c>
      <c r="B881" s="21"/>
      <c r="C881" s="21"/>
      <c r="D881" s="4"/>
      <c r="E881" s="4"/>
      <c r="F881" s="24"/>
      <c r="G881" s="24"/>
      <c r="H881" s="24"/>
      <c r="I881" s="24"/>
      <c r="J881" s="24"/>
    </row>
    <row r="882" spans="1:10" x14ac:dyDescent="0.35">
      <c r="A882" t="s">
        <v>2011</v>
      </c>
      <c r="B882" s="21"/>
      <c r="C882" s="21"/>
      <c r="D882" s="4"/>
      <c r="E882" s="4"/>
      <c r="F882" s="24"/>
      <c r="G882" s="24"/>
      <c r="H882" s="24"/>
      <c r="I882" s="24"/>
      <c r="J882" s="24"/>
    </row>
    <row r="883" spans="1:10" x14ac:dyDescent="0.35">
      <c r="A883" t="s">
        <v>2012</v>
      </c>
      <c r="B883" s="21"/>
      <c r="C883" s="21"/>
      <c r="D883" s="4"/>
      <c r="E883" s="4"/>
      <c r="F883" s="24"/>
      <c r="G883" s="24"/>
      <c r="H883" s="24"/>
      <c r="I883" s="24"/>
      <c r="J883" s="24"/>
    </row>
    <row r="884" spans="1:10" x14ac:dyDescent="0.35">
      <c r="A884" t="s">
        <v>2013</v>
      </c>
      <c r="B884" s="21"/>
      <c r="C884" s="21"/>
      <c r="D884" s="4"/>
      <c r="E884" s="4"/>
      <c r="F884" s="24"/>
      <c r="G884" s="24"/>
      <c r="H884" s="24"/>
      <c r="I884" s="24"/>
      <c r="J884" s="24"/>
    </row>
    <row r="885" spans="1:10" x14ac:dyDescent="0.35">
      <c r="A885" t="s">
        <v>2014</v>
      </c>
      <c r="B885" s="21"/>
      <c r="C885" s="21"/>
      <c r="D885" s="4"/>
      <c r="E885" s="4"/>
      <c r="F885" s="24"/>
      <c r="G885" s="24"/>
      <c r="H885" s="24"/>
      <c r="I885" s="24"/>
      <c r="J885" s="24"/>
    </row>
    <row r="886" spans="1:10" x14ac:dyDescent="0.35">
      <c r="A886" t="s">
        <v>2015</v>
      </c>
      <c r="B886" s="21"/>
      <c r="C886" s="21"/>
      <c r="D886" s="4"/>
      <c r="E886" s="4"/>
      <c r="F886" s="24"/>
      <c r="G886" s="24"/>
      <c r="H886" s="24"/>
      <c r="I886" s="24"/>
      <c r="J886" s="24"/>
    </row>
    <row r="887" spans="1:10" x14ac:dyDescent="0.35">
      <c r="A887" t="s">
        <v>2016</v>
      </c>
      <c r="B887" s="21"/>
      <c r="C887" s="21"/>
      <c r="D887" s="4"/>
      <c r="E887" s="4"/>
      <c r="F887" s="24"/>
      <c r="G887" s="24"/>
      <c r="H887" s="24"/>
      <c r="I887" s="24"/>
      <c r="J887" s="24"/>
    </row>
    <row r="888" spans="1:10" x14ac:dyDescent="0.35">
      <c r="A888" t="s">
        <v>2017</v>
      </c>
      <c r="B888" s="21"/>
      <c r="C888" s="21"/>
      <c r="D888" s="4"/>
      <c r="E888" s="4"/>
      <c r="F888" s="24"/>
      <c r="G888" s="24"/>
      <c r="H888" s="24"/>
      <c r="I888" s="24"/>
      <c r="J888" s="24"/>
    </row>
    <row r="889" spans="1:10" x14ac:dyDescent="0.35">
      <c r="A889" t="s">
        <v>2018</v>
      </c>
      <c r="B889" s="21"/>
      <c r="C889" s="21"/>
      <c r="D889" s="4"/>
      <c r="E889" s="4"/>
      <c r="F889" s="24"/>
      <c r="G889" s="24"/>
      <c r="H889" s="24"/>
      <c r="I889" s="24"/>
      <c r="J889" s="24"/>
    </row>
    <row r="890" spans="1:10" x14ac:dyDescent="0.35">
      <c r="A890" t="s">
        <v>2019</v>
      </c>
      <c r="B890" s="21"/>
      <c r="C890" s="21"/>
      <c r="D890" s="4"/>
      <c r="E890" s="4"/>
      <c r="F890" s="24"/>
      <c r="G890" s="24"/>
      <c r="H890" s="24"/>
      <c r="I890" s="24"/>
      <c r="J890" s="24"/>
    </row>
    <row r="891" spans="1:10" x14ac:dyDescent="0.35">
      <c r="A891" t="s">
        <v>2020</v>
      </c>
      <c r="B891" s="21"/>
      <c r="C891" s="21"/>
      <c r="D891" s="4"/>
      <c r="E891" s="4"/>
      <c r="F891" s="24"/>
      <c r="G891" s="24"/>
      <c r="H891" s="24"/>
      <c r="I891" s="24"/>
      <c r="J891" s="24"/>
    </row>
    <row r="892" spans="1:10" x14ac:dyDescent="0.35">
      <c r="A892" t="s">
        <v>2021</v>
      </c>
      <c r="B892" s="21"/>
      <c r="C892" s="21"/>
      <c r="D892" s="4"/>
      <c r="E892" s="4"/>
      <c r="F892" s="24"/>
      <c r="G892" s="24"/>
      <c r="H892" s="24"/>
      <c r="I892" s="24"/>
      <c r="J892" s="24"/>
    </row>
    <row r="893" spans="1:10" x14ac:dyDescent="0.35">
      <c r="A893" t="s">
        <v>2022</v>
      </c>
      <c r="B893" s="21"/>
      <c r="C893" s="21"/>
      <c r="D893" s="4"/>
      <c r="E893" s="4"/>
      <c r="F893" s="24"/>
      <c r="G893" s="24"/>
      <c r="H893" s="24"/>
      <c r="I893" s="24"/>
      <c r="J893" s="24"/>
    </row>
    <row r="894" spans="1:10" x14ac:dyDescent="0.35">
      <c r="A894" t="s">
        <v>2023</v>
      </c>
      <c r="B894" s="21"/>
      <c r="C894" s="21"/>
      <c r="D894" s="4"/>
      <c r="E894" s="4"/>
      <c r="F894" s="24"/>
      <c r="G894" s="24"/>
      <c r="H894" s="24"/>
      <c r="I894" s="24"/>
      <c r="J894" s="24"/>
    </row>
    <row r="895" spans="1:10" x14ac:dyDescent="0.35">
      <c r="A895" t="s">
        <v>2024</v>
      </c>
      <c r="B895" s="21"/>
      <c r="C895" s="21"/>
      <c r="D895" s="4"/>
      <c r="E895" s="4"/>
      <c r="F895" s="24"/>
      <c r="G895" s="24"/>
      <c r="H895" s="24"/>
      <c r="I895" s="24"/>
      <c r="J895" s="24"/>
    </row>
    <row r="896" spans="1:10" x14ac:dyDescent="0.35">
      <c r="A896" t="s">
        <v>2025</v>
      </c>
      <c r="B896" s="21"/>
      <c r="C896" s="21"/>
      <c r="D896" s="4"/>
      <c r="E896" s="4"/>
      <c r="F896" s="24"/>
      <c r="G896" s="24"/>
      <c r="H896" s="24"/>
      <c r="I896" s="24"/>
      <c r="J896" s="24"/>
    </row>
    <row r="897" spans="1:10" x14ac:dyDescent="0.35">
      <c r="A897" t="s">
        <v>2026</v>
      </c>
      <c r="B897" s="21"/>
      <c r="C897" s="21"/>
      <c r="D897" s="4"/>
      <c r="E897" s="4"/>
      <c r="F897" s="24"/>
      <c r="G897" s="24"/>
      <c r="H897" s="24"/>
      <c r="I897" s="24"/>
      <c r="J897" s="24"/>
    </row>
    <row r="898" spans="1:10" x14ac:dyDescent="0.35">
      <c r="A898" t="s">
        <v>2027</v>
      </c>
      <c r="B898" s="21"/>
      <c r="C898" s="21"/>
      <c r="D898" s="4"/>
      <c r="E898" s="4"/>
      <c r="F898" s="24"/>
      <c r="G898" s="24"/>
      <c r="H898" s="24"/>
      <c r="I898" s="24"/>
      <c r="J898" s="24"/>
    </row>
    <row r="899" spans="1:10" x14ac:dyDescent="0.35">
      <c r="A899" t="s">
        <v>2028</v>
      </c>
      <c r="B899" s="21"/>
      <c r="C899" s="21"/>
      <c r="D899" s="4"/>
      <c r="E899" s="4"/>
      <c r="F899" s="24"/>
      <c r="G899" s="24"/>
      <c r="H899" s="24"/>
      <c r="I899" s="24"/>
      <c r="J899" s="24"/>
    </row>
    <row r="900" spans="1:10" x14ac:dyDescent="0.35">
      <c r="A900" t="s">
        <v>2029</v>
      </c>
      <c r="B900" s="21"/>
      <c r="C900" s="21"/>
      <c r="D900" s="4"/>
      <c r="E900" s="4"/>
      <c r="F900" s="24"/>
      <c r="G900" s="24"/>
      <c r="H900" s="24"/>
      <c r="I900" s="24"/>
      <c r="J900" s="24"/>
    </row>
    <row r="901" spans="1:10" x14ac:dyDescent="0.35">
      <c r="A901" t="s">
        <v>2030</v>
      </c>
      <c r="B901" s="21"/>
      <c r="C901" s="21"/>
      <c r="D901" s="4"/>
      <c r="E901" s="4"/>
      <c r="F901" s="24"/>
      <c r="G901" s="24"/>
      <c r="H901" s="24"/>
      <c r="I901" s="24"/>
      <c r="J901" s="24"/>
    </row>
    <row r="902" spans="1:10" x14ac:dyDescent="0.35">
      <c r="A902" t="s">
        <v>2031</v>
      </c>
      <c r="B902" s="21"/>
      <c r="C902" s="21"/>
      <c r="D902" s="4"/>
      <c r="E902" s="4"/>
      <c r="F902" s="24"/>
      <c r="G902" s="24"/>
      <c r="H902" s="24"/>
      <c r="I902" s="24"/>
      <c r="J902" s="24"/>
    </row>
    <row r="903" spans="1:10" x14ac:dyDescent="0.35">
      <c r="A903" t="s">
        <v>2032</v>
      </c>
      <c r="B903" s="21"/>
      <c r="C903" s="21"/>
      <c r="D903" s="4"/>
      <c r="E903" s="4"/>
      <c r="F903" s="24"/>
      <c r="G903" s="24"/>
      <c r="H903" s="24"/>
      <c r="I903" s="24"/>
      <c r="J903" s="24"/>
    </row>
    <row r="904" spans="1:10" x14ac:dyDescent="0.35">
      <c r="A904" t="s">
        <v>2033</v>
      </c>
      <c r="B904" s="21"/>
      <c r="C904" s="21"/>
      <c r="D904" s="4"/>
      <c r="E904" s="4"/>
      <c r="F904" s="24"/>
      <c r="G904" s="24"/>
      <c r="H904" s="24"/>
      <c r="I904" s="24"/>
      <c r="J904" s="24"/>
    </row>
    <row r="905" spans="1:10" x14ac:dyDescent="0.35">
      <c r="A905" t="s">
        <v>2034</v>
      </c>
      <c r="B905" s="21"/>
      <c r="C905" s="21"/>
      <c r="D905" s="4"/>
      <c r="E905" s="4"/>
      <c r="F905" s="24"/>
      <c r="G905" s="24"/>
      <c r="H905" s="24"/>
      <c r="I905" s="24"/>
      <c r="J905" s="24"/>
    </row>
    <row r="906" spans="1:10" x14ac:dyDescent="0.35">
      <c r="A906" t="s">
        <v>2035</v>
      </c>
      <c r="B906" s="21"/>
      <c r="C906" s="21"/>
      <c r="D906" s="4"/>
      <c r="E906" s="4"/>
      <c r="F906" s="24"/>
      <c r="G906" s="24"/>
      <c r="H906" s="24"/>
      <c r="I906" s="24"/>
      <c r="J906" s="24"/>
    </row>
    <row r="907" spans="1:10" x14ac:dyDescent="0.35">
      <c r="A907" t="s">
        <v>2036</v>
      </c>
      <c r="B907" s="21"/>
      <c r="C907" s="21"/>
      <c r="D907" s="4"/>
      <c r="E907" s="4"/>
      <c r="F907" s="24"/>
      <c r="G907" s="24"/>
      <c r="H907" s="24"/>
      <c r="I907" s="24"/>
      <c r="J907" s="24"/>
    </row>
    <row r="908" spans="1:10" x14ac:dyDescent="0.35">
      <c r="A908" t="s">
        <v>2037</v>
      </c>
      <c r="B908" s="21"/>
      <c r="C908" s="21"/>
      <c r="D908" s="4"/>
      <c r="E908" s="4"/>
      <c r="F908" s="24"/>
      <c r="G908" s="24"/>
      <c r="H908" s="24"/>
      <c r="I908" s="24"/>
      <c r="J908" s="24"/>
    </row>
    <row r="909" spans="1:10" x14ac:dyDescent="0.35">
      <c r="A909" t="s">
        <v>2038</v>
      </c>
      <c r="B909" s="21"/>
      <c r="C909" s="21"/>
      <c r="D909" s="4"/>
      <c r="E909" s="4"/>
      <c r="F909" s="24"/>
      <c r="G909" s="24"/>
      <c r="H909" s="24"/>
      <c r="I909" s="24"/>
      <c r="J909" s="24"/>
    </row>
    <row r="910" spans="1:10" x14ac:dyDescent="0.35">
      <c r="A910" t="s">
        <v>2039</v>
      </c>
      <c r="B910" s="21"/>
      <c r="C910" s="21"/>
      <c r="D910" s="4"/>
      <c r="E910" s="4"/>
      <c r="F910" s="24"/>
      <c r="G910" s="24"/>
      <c r="H910" s="24"/>
      <c r="I910" s="24"/>
      <c r="J910" s="24"/>
    </row>
    <row r="911" spans="1:10" x14ac:dyDescent="0.35">
      <c r="A911" t="s">
        <v>2040</v>
      </c>
      <c r="B911" s="21"/>
      <c r="C911" s="21"/>
      <c r="D911" s="4"/>
      <c r="E911" s="4"/>
      <c r="F911" s="24"/>
      <c r="G911" s="24"/>
      <c r="H911" s="24"/>
      <c r="I911" s="24"/>
      <c r="J911" s="24"/>
    </row>
    <row r="912" spans="1:10" x14ac:dyDescent="0.35">
      <c r="A912" t="s">
        <v>2041</v>
      </c>
      <c r="B912" s="21"/>
      <c r="C912" s="21"/>
      <c r="D912" s="4"/>
      <c r="E912" s="4"/>
      <c r="F912" s="24"/>
      <c r="G912" s="24"/>
      <c r="H912" s="24"/>
      <c r="I912" s="24"/>
      <c r="J912" s="24"/>
    </row>
    <row r="913" spans="1:10" x14ac:dyDescent="0.35">
      <c r="A913" t="s">
        <v>2042</v>
      </c>
      <c r="B913" s="21"/>
      <c r="C913" s="21"/>
      <c r="D913" s="4"/>
      <c r="E913" s="4"/>
      <c r="F913" s="24"/>
      <c r="G913" s="24"/>
      <c r="H913" s="24"/>
      <c r="I913" s="24"/>
      <c r="J913" s="24"/>
    </row>
    <row r="914" spans="1:10" x14ac:dyDescent="0.35">
      <c r="A914" t="s">
        <v>2043</v>
      </c>
      <c r="B914" s="21"/>
      <c r="C914" s="21"/>
      <c r="D914" s="4"/>
      <c r="E914" s="4"/>
      <c r="F914" s="24"/>
      <c r="G914" s="24"/>
      <c r="H914" s="24"/>
      <c r="I914" s="24"/>
      <c r="J914" s="24"/>
    </row>
    <row r="915" spans="1:10" x14ac:dyDescent="0.35">
      <c r="A915" t="s">
        <v>2044</v>
      </c>
      <c r="B915" s="21"/>
      <c r="C915" s="21"/>
      <c r="D915" s="4"/>
      <c r="E915" s="4"/>
      <c r="F915" s="24"/>
      <c r="G915" s="24"/>
      <c r="H915" s="24"/>
      <c r="I915" s="24"/>
      <c r="J915" s="24"/>
    </row>
    <row r="916" spans="1:10" x14ac:dyDescent="0.35">
      <c r="A916" t="s">
        <v>2045</v>
      </c>
      <c r="B916" s="21"/>
      <c r="C916" s="21"/>
      <c r="D916" s="4"/>
      <c r="E916" s="4"/>
      <c r="F916" s="24"/>
      <c r="G916" s="24"/>
      <c r="H916" s="24"/>
      <c r="I916" s="24"/>
      <c r="J916" s="24"/>
    </row>
    <row r="917" spans="1:10" x14ac:dyDescent="0.35">
      <c r="A917" t="s">
        <v>2046</v>
      </c>
      <c r="B917" s="21"/>
      <c r="C917" s="21"/>
      <c r="D917" s="4"/>
      <c r="E917" s="4"/>
      <c r="F917" s="24"/>
      <c r="G917" s="24"/>
      <c r="H917" s="24"/>
      <c r="I917" s="24"/>
      <c r="J917" s="24"/>
    </row>
    <row r="918" spans="1:10" x14ac:dyDescent="0.35">
      <c r="A918" t="s">
        <v>2047</v>
      </c>
      <c r="B918" s="21"/>
      <c r="C918" s="21"/>
      <c r="D918" s="4"/>
      <c r="E918" s="4"/>
      <c r="F918" s="24"/>
      <c r="G918" s="24"/>
      <c r="H918" s="24"/>
      <c r="I918" s="24"/>
      <c r="J918" s="24"/>
    </row>
    <row r="919" spans="1:10" x14ac:dyDescent="0.35">
      <c r="A919" t="s">
        <v>2048</v>
      </c>
      <c r="B919" s="21"/>
      <c r="C919" s="21"/>
      <c r="D919" s="4"/>
      <c r="E919" s="4"/>
      <c r="F919" s="24"/>
      <c r="G919" s="24"/>
      <c r="H919" s="24"/>
      <c r="I919" s="24"/>
      <c r="J919" s="24"/>
    </row>
    <row r="920" spans="1:10" x14ac:dyDescent="0.35">
      <c r="A920" t="s">
        <v>2049</v>
      </c>
      <c r="B920" s="21"/>
      <c r="C920" s="21"/>
      <c r="D920" s="4"/>
      <c r="E920" s="4"/>
      <c r="F920" s="24"/>
      <c r="G920" s="24"/>
      <c r="H920" s="24"/>
      <c r="I920" s="24"/>
      <c r="J920" s="24"/>
    </row>
    <row r="921" spans="1:10" x14ac:dyDescent="0.35">
      <c r="A921" t="s">
        <v>2050</v>
      </c>
      <c r="B921" s="21"/>
      <c r="C921" s="21"/>
      <c r="D921" s="4"/>
      <c r="E921" s="4"/>
      <c r="F921" s="24"/>
      <c r="G921" s="24"/>
      <c r="H921" s="24"/>
      <c r="I921" s="24"/>
      <c r="J921" s="24"/>
    </row>
    <row r="922" spans="1:10" x14ac:dyDescent="0.35">
      <c r="A922" t="s">
        <v>2051</v>
      </c>
      <c r="B922" s="21"/>
      <c r="C922" s="21"/>
      <c r="D922" s="4"/>
      <c r="E922" s="4"/>
      <c r="F922" s="24"/>
      <c r="G922" s="24"/>
      <c r="H922" s="24"/>
      <c r="I922" s="24"/>
      <c r="J922" s="24"/>
    </row>
    <row r="923" spans="1:10" x14ac:dyDescent="0.35">
      <c r="A923" t="s">
        <v>2052</v>
      </c>
      <c r="B923" s="21"/>
      <c r="C923" s="21"/>
      <c r="D923" s="4"/>
      <c r="E923" s="4"/>
      <c r="F923" s="24"/>
      <c r="G923" s="24"/>
      <c r="H923" s="24"/>
      <c r="I923" s="24"/>
      <c r="J923" s="24"/>
    </row>
    <row r="924" spans="1:10" x14ac:dyDescent="0.35">
      <c r="A924" t="s">
        <v>2053</v>
      </c>
      <c r="B924" s="21"/>
      <c r="C924" s="21"/>
      <c r="D924" s="4"/>
      <c r="E924" s="4"/>
      <c r="F924" s="24"/>
      <c r="G924" s="24"/>
      <c r="H924" s="24"/>
      <c r="I924" s="24"/>
      <c r="J924" s="24"/>
    </row>
    <row r="925" spans="1:10" x14ac:dyDescent="0.35">
      <c r="A925" t="s">
        <v>2054</v>
      </c>
      <c r="B925" s="21"/>
      <c r="C925" s="21"/>
      <c r="D925" s="4"/>
      <c r="E925" s="4"/>
      <c r="F925" s="24"/>
      <c r="G925" s="24"/>
      <c r="H925" s="24"/>
      <c r="I925" s="24"/>
      <c r="J925" s="24"/>
    </row>
    <row r="926" spans="1:10" x14ac:dyDescent="0.35">
      <c r="A926" t="s">
        <v>2055</v>
      </c>
      <c r="B926" s="21"/>
      <c r="C926" s="21"/>
      <c r="D926" s="4"/>
      <c r="E926" s="4"/>
      <c r="F926" s="24"/>
      <c r="G926" s="24"/>
      <c r="H926" s="24"/>
      <c r="I926" s="24"/>
      <c r="J926" s="24"/>
    </row>
    <row r="927" spans="1:10" x14ac:dyDescent="0.35">
      <c r="A927" t="s">
        <v>2056</v>
      </c>
      <c r="B927" s="21"/>
      <c r="C927" s="21"/>
      <c r="D927" s="4"/>
      <c r="E927" s="4"/>
      <c r="F927" s="24"/>
      <c r="G927" s="24"/>
      <c r="H927" s="24"/>
      <c r="I927" s="24"/>
      <c r="J927" s="24"/>
    </row>
    <row r="928" spans="1:10" x14ac:dyDescent="0.35">
      <c r="A928" t="s">
        <v>2057</v>
      </c>
      <c r="B928" s="21"/>
      <c r="C928" s="21"/>
      <c r="D928" s="4"/>
      <c r="E928" s="4"/>
      <c r="F928" s="24"/>
      <c r="G928" s="24"/>
      <c r="H928" s="24"/>
      <c r="I928" s="24"/>
      <c r="J928" s="24"/>
    </row>
    <row r="929" spans="1:10" x14ac:dyDescent="0.35">
      <c r="A929" t="s">
        <v>2058</v>
      </c>
      <c r="B929" s="21"/>
      <c r="C929" s="21"/>
      <c r="D929" s="4"/>
      <c r="E929" s="4"/>
      <c r="F929" s="24"/>
      <c r="G929" s="24"/>
      <c r="H929" s="24"/>
      <c r="I929" s="24"/>
      <c r="J929" s="24"/>
    </row>
    <row r="930" spans="1:10" x14ac:dyDescent="0.35">
      <c r="A930" t="s">
        <v>2059</v>
      </c>
      <c r="B930" s="21"/>
      <c r="C930" s="21"/>
      <c r="D930" s="4"/>
      <c r="E930" s="4"/>
      <c r="F930" s="24"/>
      <c r="G930" s="24"/>
      <c r="H930" s="24"/>
      <c r="I930" s="24"/>
      <c r="J930" s="24"/>
    </row>
    <row r="931" spans="1:10" x14ac:dyDescent="0.35">
      <c r="A931" t="s">
        <v>2060</v>
      </c>
      <c r="B931" s="21"/>
      <c r="C931" s="21"/>
      <c r="D931" s="4"/>
      <c r="E931" s="4"/>
      <c r="F931" s="24"/>
      <c r="G931" s="24"/>
      <c r="H931" s="24"/>
      <c r="I931" s="24"/>
      <c r="J931" s="24"/>
    </row>
    <row r="932" spans="1:10" x14ac:dyDescent="0.35">
      <c r="A932" t="s">
        <v>2061</v>
      </c>
      <c r="B932" s="21"/>
      <c r="C932" s="21"/>
      <c r="D932" s="4"/>
      <c r="E932" s="4"/>
      <c r="F932" s="24"/>
      <c r="G932" s="24"/>
      <c r="H932" s="24"/>
      <c r="I932" s="24"/>
      <c r="J932" s="24"/>
    </row>
    <row r="933" spans="1:10" x14ac:dyDescent="0.35">
      <c r="A933" t="s">
        <v>2062</v>
      </c>
      <c r="B933" s="21"/>
      <c r="C933" s="21"/>
      <c r="D933" s="4"/>
      <c r="E933" s="4"/>
      <c r="F933" s="24"/>
      <c r="G933" s="24"/>
      <c r="H933" s="24"/>
      <c r="I933" s="24"/>
      <c r="J933" s="24"/>
    </row>
    <row r="934" spans="1:10" x14ac:dyDescent="0.35">
      <c r="A934" t="s">
        <v>2063</v>
      </c>
      <c r="B934" s="21"/>
      <c r="C934" s="21"/>
      <c r="D934" s="4"/>
      <c r="E934" s="4"/>
      <c r="F934" s="24"/>
      <c r="G934" s="24"/>
      <c r="H934" s="24"/>
      <c r="I934" s="24"/>
      <c r="J934" s="24"/>
    </row>
    <row r="935" spans="1:10" x14ac:dyDescent="0.35">
      <c r="A935" t="s">
        <v>2064</v>
      </c>
      <c r="B935" s="21"/>
      <c r="C935" s="21"/>
      <c r="D935" s="4"/>
      <c r="E935" s="4"/>
      <c r="F935" s="24"/>
      <c r="G935" s="24"/>
      <c r="H935" s="24"/>
      <c r="I935" s="24"/>
      <c r="J935" s="24"/>
    </row>
    <row r="936" spans="1:10" x14ac:dyDescent="0.35">
      <c r="A936" t="s">
        <v>2065</v>
      </c>
      <c r="B936" s="21"/>
      <c r="C936" s="21"/>
      <c r="D936" s="4"/>
      <c r="E936" s="4"/>
      <c r="F936" s="24"/>
      <c r="G936" s="24"/>
      <c r="H936" s="24"/>
      <c r="I936" s="24"/>
      <c r="J936" s="24"/>
    </row>
    <row r="937" spans="1:10" x14ac:dyDescent="0.35">
      <c r="A937" t="s">
        <v>2066</v>
      </c>
      <c r="B937" s="21"/>
      <c r="C937" s="21"/>
      <c r="D937" s="4"/>
      <c r="E937" s="4"/>
      <c r="F937" s="24"/>
      <c r="G937" s="24"/>
      <c r="H937" s="24"/>
      <c r="I937" s="24"/>
      <c r="J937" s="24"/>
    </row>
    <row r="938" spans="1:10" x14ac:dyDescent="0.35">
      <c r="A938" t="s">
        <v>2067</v>
      </c>
      <c r="B938" s="21"/>
      <c r="C938" s="21"/>
      <c r="D938" s="4"/>
      <c r="E938" s="4"/>
      <c r="F938" s="24"/>
      <c r="G938" s="24"/>
      <c r="H938" s="24"/>
      <c r="I938" s="24"/>
      <c r="J938" s="24"/>
    </row>
    <row r="939" spans="1:10" x14ac:dyDescent="0.35">
      <c r="A939" t="s">
        <v>2068</v>
      </c>
      <c r="B939" s="21"/>
      <c r="C939" s="21"/>
      <c r="D939" s="4"/>
      <c r="E939" s="4"/>
      <c r="F939" s="24"/>
      <c r="G939" s="24"/>
      <c r="H939" s="24"/>
      <c r="I939" s="24"/>
      <c r="J939" s="24"/>
    </row>
    <row r="940" spans="1:10" x14ac:dyDescent="0.35">
      <c r="A940" t="s">
        <v>2069</v>
      </c>
      <c r="B940" s="21"/>
      <c r="C940" s="21"/>
      <c r="D940" s="4"/>
      <c r="E940" s="4"/>
      <c r="F940" s="24"/>
      <c r="G940" s="24"/>
      <c r="H940" s="24"/>
      <c r="I940" s="24"/>
      <c r="J940" s="24"/>
    </row>
    <row r="941" spans="1:10" x14ac:dyDescent="0.35">
      <c r="A941" t="s">
        <v>2070</v>
      </c>
      <c r="B941" s="21"/>
      <c r="C941" s="21"/>
      <c r="D941" s="4"/>
      <c r="E941" s="4"/>
      <c r="F941" s="24"/>
      <c r="G941" s="24"/>
      <c r="H941" s="24"/>
      <c r="I941" s="24"/>
      <c r="J941" s="24"/>
    </row>
    <row r="942" spans="1:10" x14ac:dyDescent="0.35">
      <c r="A942" t="s">
        <v>2071</v>
      </c>
      <c r="B942" s="21"/>
      <c r="C942" s="21"/>
      <c r="D942" s="4"/>
      <c r="E942" s="4"/>
      <c r="F942" s="24"/>
      <c r="G942" s="24"/>
      <c r="H942" s="24"/>
      <c r="I942" s="24"/>
      <c r="J942" s="24"/>
    </row>
    <row r="943" spans="1:10" x14ac:dyDescent="0.35">
      <c r="A943" t="s">
        <v>2072</v>
      </c>
      <c r="B943" s="21"/>
      <c r="C943" s="21"/>
      <c r="D943" s="4"/>
      <c r="E943" s="4"/>
      <c r="F943" s="24"/>
      <c r="G943" s="24"/>
      <c r="H943" s="24"/>
      <c r="I943" s="24"/>
      <c r="J943" s="24"/>
    </row>
    <row r="944" spans="1:10" x14ac:dyDescent="0.35">
      <c r="A944" t="s">
        <v>2073</v>
      </c>
      <c r="B944" s="21"/>
      <c r="C944" s="21"/>
      <c r="D944" s="4"/>
      <c r="E944" s="4"/>
      <c r="F944" s="24"/>
      <c r="G944" s="24"/>
      <c r="H944" s="24"/>
      <c r="I944" s="24"/>
      <c r="J944" s="24"/>
    </row>
    <row r="945" spans="1:10" x14ac:dyDescent="0.35">
      <c r="A945" t="s">
        <v>2074</v>
      </c>
      <c r="B945" s="21"/>
      <c r="C945" s="21"/>
      <c r="D945" s="4"/>
      <c r="E945" s="4"/>
      <c r="F945" s="24"/>
      <c r="G945" s="24"/>
      <c r="H945" s="24"/>
      <c r="I945" s="24"/>
      <c r="J945" s="24"/>
    </row>
    <row r="946" spans="1:10" x14ac:dyDescent="0.35">
      <c r="A946" t="s">
        <v>2075</v>
      </c>
      <c r="B946" s="21"/>
      <c r="C946" s="21"/>
      <c r="D946" s="4"/>
      <c r="E946" s="4"/>
      <c r="F946" s="24"/>
      <c r="G946" s="24"/>
      <c r="H946" s="24"/>
      <c r="I946" s="24"/>
      <c r="J946" s="24"/>
    </row>
    <row r="947" spans="1:10" x14ac:dyDescent="0.35">
      <c r="A947" t="s">
        <v>2076</v>
      </c>
      <c r="B947" s="21"/>
      <c r="C947" s="21"/>
      <c r="D947" s="4"/>
      <c r="E947" s="4"/>
      <c r="F947" s="24"/>
      <c r="G947" s="24"/>
      <c r="H947" s="24"/>
      <c r="I947" s="24"/>
      <c r="J947" s="24"/>
    </row>
    <row r="948" spans="1:10" x14ac:dyDescent="0.35">
      <c r="A948" t="s">
        <v>2077</v>
      </c>
      <c r="B948" s="21"/>
      <c r="C948" s="21"/>
      <c r="D948" s="4"/>
      <c r="E948" s="4"/>
      <c r="F948" s="24"/>
      <c r="G948" s="24"/>
      <c r="H948" s="24"/>
      <c r="I948" s="24"/>
      <c r="J948" s="24"/>
    </row>
    <row r="949" spans="1:10" x14ac:dyDescent="0.35">
      <c r="A949" t="s">
        <v>2078</v>
      </c>
      <c r="B949" s="21"/>
      <c r="C949" s="21"/>
      <c r="D949" s="4"/>
      <c r="E949" s="4"/>
      <c r="F949" s="24"/>
      <c r="G949" s="24"/>
      <c r="H949" s="24"/>
      <c r="I949" s="24"/>
      <c r="J949" s="24"/>
    </row>
    <row r="950" spans="1:10" x14ac:dyDescent="0.35">
      <c r="A950" t="s">
        <v>2079</v>
      </c>
      <c r="B950" s="21"/>
      <c r="C950" s="21"/>
      <c r="D950" s="4"/>
      <c r="E950" s="4"/>
      <c r="F950" s="24"/>
      <c r="G950" s="24"/>
      <c r="H950" s="24"/>
      <c r="I950" s="24"/>
      <c r="J950" s="24"/>
    </row>
    <row r="951" spans="1:10" x14ac:dyDescent="0.35">
      <c r="A951" t="s">
        <v>2080</v>
      </c>
      <c r="B951" s="21"/>
      <c r="C951" s="21"/>
      <c r="D951" s="4"/>
      <c r="E951" s="4"/>
      <c r="F951" s="24"/>
      <c r="G951" s="24"/>
      <c r="H951" s="24"/>
      <c r="I951" s="24"/>
      <c r="J951" s="24"/>
    </row>
    <row r="952" spans="1:10" x14ac:dyDescent="0.35">
      <c r="A952" t="s">
        <v>2081</v>
      </c>
      <c r="B952" s="21"/>
      <c r="C952" s="21"/>
      <c r="D952" s="4"/>
      <c r="E952" s="4"/>
      <c r="F952" s="24"/>
      <c r="G952" s="24"/>
      <c r="H952" s="24"/>
      <c r="I952" s="24"/>
      <c r="J952" s="24"/>
    </row>
    <row r="953" spans="1:10" x14ac:dyDescent="0.35">
      <c r="A953" t="s">
        <v>2082</v>
      </c>
      <c r="B953" s="21"/>
      <c r="C953" s="21"/>
      <c r="D953" s="4"/>
      <c r="E953" s="4"/>
      <c r="F953" s="24"/>
      <c r="G953" s="24"/>
      <c r="H953" s="24"/>
      <c r="I953" s="24"/>
      <c r="J953" s="24"/>
    </row>
    <row r="954" spans="1:10" x14ac:dyDescent="0.35">
      <c r="A954" t="s">
        <v>2083</v>
      </c>
      <c r="B954" s="21"/>
      <c r="C954" s="21"/>
      <c r="D954" s="4"/>
      <c r="E954" s="4"/>
      <c r="F954" s="24"/>
      <c r="G954" s="24"/>
      <c r="H954" s="24"/>
      <c r="I954" s="24"/>
      <c r="J954" s="24"/>
    </row>
    <row r="955" spans="1:10" x14ac:dyDescent="0.35">
      <c r="A955" t="s">
        <v>2084</v>
      </c>
      <c r="B955" s="21"/>
      <c r="C955" s="21"/>
      <c r="D955" s="4"/>
      <c r="E955" s="4"/>
      <c r="F955" s="24"/>
      <c r="G955" s="24"/>
      <c r="H955" s="24"/>
      <c r="I955" s="24"/>
      <c r="J955" s="24"/>
    </row>
    <row r="956" spans="1:10" x14ac:dyDescent="0.35">
      <c r="A956" t="s">
        <v>2085</v>
      </c>
      <c r="B956" s="21"/>
      <c r="C956" s="21"/>
      <c r="D956" s="4"/>
      <c r="E956" s="4"/>
      <c r="F956" s="24"/>
      <c r="G956" s="24"/>
      <c r="H956" s="24"/>
      <c r="I956" s="24"/>
      <c r="J956" s="24"/>
    </row>
    <row r="957" spans="1:10" x14ac:dyDescent="0.35">
      <c r="A957" t="s">
        <v>2086</v>
      </c>
      <c r="B957" s="21"/>
      <c r="C957" s="21"/>
      <c r="D957" s="4"/>
      <c r="E957" s="4"/>
      <c r="F957" s="24"/>
      <c r="G957" s="24"/>
      <c r="H957" s="24"/>
      <c r="I957" s="24"/>
      <c r="J957" s="24"/>
    </row>
    <row r="958" spans="1:10" x14ac:dyDescent="0.35">
      <c r="A958" t="s">
        <v>2087</v>
      </c>
      <c r="B958" s="21"/>
      <c r="C958" s="21"/>
      <c r="D958" s="4"/>
      <c r="E958" s="4"/>
      <c r="F958" s="24"/>
      <c r="G958" s="24"/>
      <c r="H958" s="24"/>
      <c r="I958" s="24"/>
      <c r="J958" s="24"/>
    </row>
    <row r="959" spans="1:10" x14ac:dyDescent="0.35">
      <c r="A959" t="s">
        <v>2088</v>
      </c>
      <c r="B959" s="21"/>
      <c r="C959" s="21"/>
      <c r="D959" s="4"/>
      <c r="E959" s="4"/>
      <c r="F959" s="24"/>
      <c r="G959" s="24"/>
      <c r="H959" s="24"/>
      <c r="I959" s="24"/>
      <c r="J959" s="24"/>
    </row>
    <row r="960" spans="1:10" x14ac:dyDescent="0.35">
      <c r="A960" t="s">
        <v>2089</v>
      </c>
      <c r="B960" s="21"/>
      <c r="C960" s="21"/>
      <c r="D960" s="4"/>
      <c r="E960" s="4"/>
      <c r="F960" s="24"/>
      <c r="G960" s="24"/>
      <c r="H960" s="24"/>
      <c r="I960" s="24"/>
      <c r="J960" s="24"/>
    </row>
    <row r="961" spans="1:10" x14ac:dyDescent="0.35">
      <c r="A961" t="s">
        <v>2090</v>
      </c>
      <c r="B961" s="21"/>
      <c r="C961" s="21"/>
      <c r="D961" s="4"/>
      <c r="E961" s="4"/>
      <c r="F961" s="24"/>
      <c r="G961" s="24"/>
      <c r="H961" s="24"/>
      <c r="I961" s="24"/>
      <c r="J961" s="24"/>
    </row>
    <row r="962" spans="1:10" x14ac:dyDescent="0.35">
      <c r="A962" t="s">
        <v>2091</v>
      </c>
      <c r="B962" s="21"/>
      <c r="C962" s="21"/>
      <c r="D962" s="4"/>
      <c r="E962" s="4"/>
      <c r="F962" s="24"/>
      <c r="G962" s="24"/>
      <c r="H962" s="24"/>
      <c r="I962" s="24"/>
      <c r="J962" s="24"/>
    </row>
    <row r="963" spans="1:10" x14ac:dyDescent="0.35">
      <c r="A963" t="s">
        <v>2092</v>
      </c>
      <c r="B963" s="21"/>
      <c r="C963" s="21"/>
      <c r="D963" s="4"/>
      <c r="E963" s="4"/>
      <c r="F963" s="24"/>
      <c r="G963" s="24"/>
      <c r="H963" s="24"/>
      <c r="I963" s="24"/>
      <c r="J963" s="24"/>
    </row>
    <row r="964" spans="1:10" x14ac:dyDescent="0.35">
      <c r="A964" t="s">
        <v>2093</v>
      </c>
      <c r="B964" s="21"/>
      <c r="C964" s="21"/>
      <c r="D964" s="4"/>
      <c r="E964" s="4"/>
      <c r="F964" s="24"/>
      <c r="G964" s="24"/>
      <c r="H964" s="24"/>
      <c r="I964" s="24"/>
      <c r="J964" s="24"/>
    </row>
    <row r="965" spans="1:10" x14ac:dyDescent="0.35">
      <c r="A965" t="s">
        <v>2094</v>
      </c>
      <c r="B965" s="21"/>
      <c r="C965" s="21"/>
      <c r="D965" s="4"/>
      <c r="E965" s="4"/>
      <c r="F965" s="24"/>
      <c r="G965" s="24"/>
      <c r="H965" s="24"/>
      <c r="I965" s="24"/>
      <c r="J965" s="24"/>
    </row>
    <row r="966" spans="1:10" x14ac:dyDescent="0.35">
      <c r="A966" t="s">
        <v>2095</v>
      </c>
      <c r="B966" s="21"/>
      <c r="C966" s="21"/>
      <c r="D966" s="4"/>
      <c r="E966" s="4"/>
      <c r="F966" s="24"/>
      <c r="G966" s="24"/>
      <c r="H966" s="24"/>
      <c r="I966" s="24"/>
      <c r="J966" s="24"/>
    </row>
    <row r="967" spans="1:10" x14ac:dyDescent="0.35">
      <c r="A967" t="s">
        <v>2096</v>
      </c>
      <c r="B967" s="21"/>
      <c r="C967" s="21"/>
      <c r="D967" s="4"/>
      <c r="E967" s="4"/>
      <c r="F967" s="24"/>
      <c r="G967" s="24"/>
      <c r="H967" s="24"/>
      <c r="I967" s="24"/>
      <c r="J967" s="24"/>
    </row>
    <row r="968" spans="1:10" x14ac:dyDescent="0.35">
      <c r="A968" t="s">
        <v>2097</v>
      </c>
      <c r="B968" s="21"/>
      <c r="C968" s="21"/>
      <c r="D968" s="4"/>
      <c r="E968" s="4"/>
      <c r="F968" s="24"/>
      <c r="G968" s="24"/>
      <c r="H968" s="24"/>
      <c r="I968" s="24"/>
      <c r="J968" s="24"/>
    </row>
    <row r="969" spans="1:10" x14ac:dyDescent="0.35">
      <c r="A969" t="s">
        <v>2098</v>
      </c>
      <c r="B969" s="21"/>
      <c r="C969" s="21"/>
      <c r="D969" s="4"/>
      <c r="E969" s="4"/>
      <c r="F969" s="24"/>
      <c r="G969" s="24"/>
      <c r="H969" s="24"/>
      <c r="I969" s="24"/>
      <c r="J969" s="24"/>
    </row>
    <row r="970" spans="1:10" x14ac:dyDescent="0.35">
      <c r="A970" t="s">
        <v>2099</v>
      </c>
      <c r="B970" s="21"/>
      <c r="C970" s="21"/>
      <c r="D970" s="4"/>
      <c r="E970" s="4"/>
      <c r="F970" s="24"/>
      <c r="G970" s="24"/>
      <c r="H970" s="24"/>
      <c r="I970" s="24"/>
      <c r="J970" s="24"/>
    </row>
    <row r="971" spans="1:10" x14ac:dyDescent="0.35">
      <c r="A971" t="s">
        <v>2100</v>
      </c>
      <c r="B971" s="21"/>
      <c r="C971" s="21"/>
      <c r="D971" s="4"/>
      <c r="E971" s="4"/>
      <c r="F971" s="24"/>
      <c r="G971" s="24"/>
      <c r="H971" s="24"/>
      <c r="I971" s="24"/>
      <c r="J971" s="24"/>
    </row>
    <row r="972" spans="1:10" x14ac:dyDescent="0.35">
      <c r="A972" t="s">
        <v>2101</v>
      </c>
      <c r="B972" s="21"/>
      <c r="C972" s="21"/>
      <c r="D972" s="4"/>
      <c r="E972" s="4"/>
      <c r="F972" s="24"/>
      <c r="G972" s="24"/>
      <c r="H972" s="24"/>
      <c r="I972" s="24"/>
      <c r="J972" s="24"/>
    </row>
    <row r="973" spans="1:10" x14ac:dyDescent="0.35">
      <c r="A973" t="s">
        <v>2102</v>
      </c>
      <c r="B973" s="21"/>
      <c r="C973" s="21"/>
      <c r="D973" s="4"/>
      <c r="E973" s="4"/>
      <c r="F973" s="24"/>
      <c r="G973" s="24"/>
      <c r="H973" s="24"/>
      <c r="I973" s="24"/>
      <c r="J973" s="24"/>
    </row>
    <row r="974" spans="1:10" x14ac:dyDescent="0.35">
      <c r="A974" t="s">
        <v>2103</v>
      </c>
      <c r="B974" s="21"/>
      <c r="C974" s="21"/>
      <c r="D974" s="4"/>
      <c r="E974" s="4"/>
      <c r="F974" s="24"/>
      <c r="G974" s="24"/>
      <c r="H974" s="24"/>
      <c r="I974" s="24"/>
      <c r="J974" s="24"/>
    </row>
    <row r="975" spans="1:10" x14ac:dyDescent="0.35">
      <c r="A975" t="s">
        <v>2104</v>
      </c>
      <c r="B975" s="21"/>
      <c r="C975" s="21"/>
      <c r="D975" s="4"/>
      <c r="E975" s="4"/>
      <c r="F975" s="24"/>
      <c r="G975" s="24"/>
      <c r="H975" s="24"/>
      <c r="I975" s="24"/>
      <c r="J975" s="24"/>
    </row>
    <row r="976" spans="1:10" x14ac:dyDescent="0.35">
      <c r="A976" t="s">
        <v>2105</v>
      </c>
      <c r="B976" s="21"/>
      <c r="C976" s="21"/>
      <c r="D976" s="4"/>
      <c r="E976" s="4"/>
      <c r="F976" s="24"/>
      <c r="G976" s="24"/>
      <c r="H976" s="24"/>
      <c r="I976" s="24"/>
      <c r="J976" s="24"/>
    </row>
    <row r="977" spans="1:10" x14ac:dyDescent="0.35">
      <c r="A977" t="s">
        <v>2106</v>
      </c>
      <c r="B977" s="21"/>
      <c r="C977" s="21"/>
      <c r="D977" s="4"/>
      <c r="E977" s="4"/>
      <c r="F977" s="24"/>
      <c r="G977" s="24"/>
      <c r="H977" s="24"/>
      <c r="I977" s="24"/>
      <c r="J977" s="24"/>
    </row>
    <row r="978" spans="1:10" x14ac:dyDescent="0.35">
      <c r="A978" t="s">
        <v>2107</v>
      </c>
      <c r="B978" s="21"/>
      <c r="C978" s="21"/>
      <c r="D978" s="4"/>
      <c r="E978" s="4"/>
      <c r="F978" s="24"/>
      <c r="G978" s="24"/>
      <c r="H978" s="24"/>
      <c r="I978" s="24"/>
      <c r="J978" s="24"/>
    </row>
    <row r="979" spans="1:10" x14ac:dyDescent="0.35">
      <c r="A979" t="s">
        <v>2108</v>
      </c>
      <c r="B979" s="21"/>
      <c r="C979" s="21"/>
      <c r="D979" s="4"/>
      <c r="E979" s="4"/>
      <c r="F979" s="24"/>
      <c r="G979" s="24"/>
      <c r="H979" s="24"/>
      <c r="I979" s="24"/>
      <c r="J979" s="24"/>
    </row>
    <row r="980" spans="1:10" x14ac:dyDescent="0.35">
      <c r="A980" t="s">
        <v>2109</v>
      </c>
      <c r="B980" s="21"/>
      <c r="C980" s="21"/>
      <c r="D980" s="4"/>
      <c r="E980" s="4"/>
      <c r="F980" s="24"/>
      <c r="G980" s="24"/>
      <c r="H980" s="24"/>
      <c r="I980" s="24"/>
      <c r="J980" s="24"/>
    </row>
    <row r="981" spans="1:10" x14ac:dyDescent="0.35">
      <c r="A981" t="s">
        <v>2110</v>
      </c>
      <c r="B981" s="21"/>
      <c r="C981" s="21"/>
      <c r="D981" s="4"/>
      <c r="E981" s="4"/>
      <c r="F981" s="24"/>
      <c r="G981" s="24"/>
      <c r="H981" s="24"/>
      <c r="I981" s="24"/>
      <c r="J981" s="24"/>
    </row>
    <row r="982" spans="1:10" x14ac:dyDescent="0.35">
      <c r="A982" t="s">
        <v>2111</v>
      </c>
      <c r="B982" s="21"/>
      <c r="C982" s="21"/>
      <c r="D982" s="4"/>
      <c r="E982" s="4"/>
      <c r="F982" s="24"/>
      <c r="G982" s="24"/>
      <c r="H982" s="24"/>
      <c r="I982" s="24"/>
      <c r="J982" s="24"/>
    </row>
    <row r="983" spans="1:10" x14ac:dyDescent="0.35">
      <c r="A983" t="s">
        <v>2112</v>
      </c>
      <c r="B983" s="21"/>
      <c r="C983" s="21"/>
      <c r="D983" s="4"/>
      <c r="E983" s="4"/>
      <c r="F983" s="24"/>
      <c r="G983" s="24"/>
      <c r="H983" s="24"/>
      <c r="I983" s="24"/>
      <c r="J983" s="24"/>
    </row>
    <row r="984" spans="1:10" x14ac:dyDescent="0.35">
      <c r="A984" t="s">
        <v>2113</v>
      </c>
      <c r="B984" s="21"/>
      <c r="C984" s="21"/>
      <c r="D984" s="4"/>
      <c r="E984" s="4"/>
      <c r="F984" s="24"/>
      <c r="G984" s="24"/>
      <c r="H984" s="24"/>
      <c r="I984" s="24"/>
      <c r="J984" s="24"/>
    </row>
    <row r="985" spans="1:10" x14ac:dyDescent="0.35">
      <c r="A985" t="s">
        <v>2114</v>
      </c>
      <c r="B985" s="21"/>
      <c r="C985" s="21"/>
      <c r="D985" s="4"/>
      <c r="E985" s="4"/>
      <c r="F985" s="24"/>
      <c r="G985" s="24"/>
      <c r="H985" s="24"/>
      <c r="I985" s="24"/>
      <c r="J985" s="24"/>
    </row>
    <row r="986" spans="1:10" x14ac:dyDescent="0.35">
      <c r="A986" t="s">
        <v>2115</v>
      </c>
      <c r="B986" s="21"/>
      <c r="C986" s="21"/>
      <c r="D986" s="4"/>
      <c r="E986" s="4"/>
      <c r="F986" s="24"/>
      <c r="G986" s="24"/>
      <c r="H986" s="24"/>
      <c r="I986" s="24"/>
      <c r="J986" s="24"/>
    </row>
    <row r="987" spans="1:10" x14ac:dyDescent="0.35">
      <c r="A987" t="s">
        <v>2116</v>
      </c>
      <c r="B987" s="21"/>
      <c r="C987" s="21"/>
      <c r="D987" s="4"/>
      <c r="E987" s="4"/>
      <c r="F987" s="24"/>
      <c r="G987" s="24"/>
      <c r="H987" s="24"/>
      <c r="I987" s="24"/>
      <c r="J987" s="24"/>
    </row>
    <row r="988" spans="1:10" x14ac:dyDescent="0.35">
      <c r="A988" t="s">
        <v>2117</v>
      </c>
      <c r="B988" s="21"/>
      <c r="C988" s="21"/>
      <c r="D988" s="4"/>
      <c r="E988" s="4"/>
      <c r="F988" s="24"/>
      <c r="G988" s="24"/>
      <c r="H988" s="24"/>
      <c r="I988" s="24"/>
      <c r="J988" s="24"/>
    </row>
    <row r="989" spans="1:10" x14ac:dyDescent="0.35">
      <c r="A989" t="s">
        <v>2118</v>
      </c>
      <c r="B989" s="21"/>
      <c r="C989" s="21"/>
      <c r="D989" s="4"/>
      <c r="E989" s="4"/>
      <c r="F989" s="24"/>
      <c r="G989" s="24"/>
      <c r="H989" s="24"/>
      <c r="I989" s="24"/>
      <c r="J989" s="24"/>
    </row>
    <row r="990" spans="1:10" x14ac:dyDescent="0.35">
      <c r="A990" t="s">
        <v>2119</v>
      </c>
      <c r="B990" s="21"/>
      <c r="C990" s="21"/>
      <c r="D990" s="4"/>
      <c r="E990" s="4"/>
      <c r="F990" s="24"/>
      <c r="G990" s="24"/>
      <c r="H990" s="24"/>
      <c r="I990" s="24"/>
      <c r="J990" s="24"/>
    </row>
    <row r="991" spans="1:10" x14ac:dyDescent="0.35">
      <c r="A991" t="s">
        <v>2120</v>
      </c>
      <c r="B991" s="21"/>
      <c r="C991" s="21"/>
      <c r="D991" s="4"/>
      <c r="E991" s="4"/>
      <c r="F991" s="24"/>
      <c r="G991" s="24"/>
      <c r="H991" s="24"/>
      <c r="I991" s="24"/>
      <c r="J991" s="24"/>
    </row>
    <row r="992" spans="1:10" x14ac:dyDescent="0.35">
      <c r="A992" t="s">
        <v>2121</v>
      </c>
      <c r="B992" s="21"/>
      <c r="C992" s="21"/>
      <c r="D992" s="4"/>
      <c r="E992" s="4"/>
      <c r="F992" s="24"/>
      <c r="G992" s="24"/>
      <c r="H992" s="24"/>
      <c r="I992" s="24"/>
      <c r="J992" s="24"/>
    </row>
    <row r="993" spans="1:10" x14ac:dyDescent="0.35">
      <c r="A993" t="s">
        <v>2122</v>
      </c>
      <c r="B993" s="21"/>
      <c r="C993" s="21"/>
      <c r="D993" s="4"/>
      <c r="E993" s="4"/>
      <c r="F993" s="24"/>
      <c r="G993" s="24"/>
      <c r="H993" s="24"/>
      <c r="I993" s="24"/>
      <c r="J993" s="24"/>
    </row>
    <row r="994" spans="1:10" x14ac:dyDescent="0.35">
      <c r="A994" t="s">
        <v>2123</v>
      </c>
      <c r="B994" s="21"/>
      <c r="C994" s="21"/>
      <c r="D994" s="4"/>
      <c r="E994" s="4"/>
      <c r="F994" s="24"/>
      <c r="G994" s="24"/>
      <c r="H994" s="24"/>
      <c r="I994" s="24"/>
      <c r="J994" s="24"/>
    </row>
    <row r="995" spans="1:10" x14ac:dyDescent="0.35">
      <c r="A995" t="s">
        <v>2124</v>
      </c>
      <c r="B995" s="21"/>
      <c r="C995" s="21"/>
      <c r="D995" s="4"/>
      <c r="E995" s="4"/>
      <c r="F995" s="24"/>
      <c r="G995" s="24"/>
      <c r="H995" s="24"/>
      <c r="I995" s="24"/>
      <c r="J995" s="24"/>
    </row>
    <row r="996" spans="1:10" x14ac:dyDescent="0.35">
      <c r="A996" t="s">
        <v>2125</v>
      </c>
      <c r="B996" s="21"/>
      <c r="C996" s="21"/>
      <c r="D996" s="4"/>
      <c r="E996" s="4"/>
      <c r="F996" s="24"/>
      <c r="G996" s="24"/>
      <c r="H996" s="24"/>
      <c r="I996" s="24"/>
      <c r="J996" s="24"/>
    </row>
    <row r="997" spans="1:10" x14ac:dyDescent="0.35">
      <c r="A997" t="s">
        <v>2126</v>
      </c>
      <c r="B997" s="21"/>
      <c r="C997" s="21"/>
      <c r="D997" s="4"/>
      <c r="E997" s="4"/>
      <c r="F997" s="24"/>
      <c r="G997" s="24"/>
      <c r="H997" s="24"/>
      <c r="I997" s="24"/>
      <c r="J997" s="24"/>
    </row>
    <row r="998" spans="1:10" x14ac:dyDescent="0.35">
      <c r="A998" t="s">
        <v>2127</v>
      </c>
      <c r="B998" s="21"/>
      <c r="C998" s="21"/>
      <c r="D998" s="4"/>
      <c r="E998" s="4"/>
      <c r="F998" s="24"/>
      <c r="G998" s="24"/>
      <c r="H998" s="24"/>
      <c r="I998" s="24"/>
      <c r="J998" s="24"/>
    </row>
    <row r="999" spans="1:10" x14ac:dyDescent="0.35">
      <c r="A999" t="s">
        <v>2128</v>
      </c>
      <c r="B999" s="21"/>
      <c r="C999" s="21"/>
      <c r="D999" s="4"/>
      <c r="E999" s="4"/>
      <c r="F999" s="24"/>
      <c r="G999" s="24"/>
      <c r="H999" s="24"/>
      <c r="I999" s="24"/>
      <c r="J999" s="24"/>
    </row>
    <row r="1000" spans="1:10" x14ac:dyDescent="0.35">
      <c r="A1000" t="s">
        <v>2129</v>
      </c>
      <c r="B1000" s="21"/>
      <c r="C1000" s="21"/>
      <c r="D1000" s="4"/>
      <c r="E1000" s="4"/>
      <c r="F1000" s="24"/>
      <c r="G1000" s="24"/>
      <c r="H1000" s="24"/>
      <c r="I1000" s="24"/>
      <c r="J1000" s="24"/>
    </row>
    <row r="1001" spans="1:10" x14ac:dyDescent="0.35">
      <c r="A1001" t="s">
        <v>2130</v>
      </c>
      <c r="B1001" s="21"/>
      <c r="C1001" s="21"/>
      <c r="D1001" s="4"/>
      <c r="E1001" s="4"/>
      <c r="F1001" s="24"/>
      <c r="G1001" s="24"/>
      <c r="H1001" s="24"/>
      <c r="I1001" s="24"/>
      <c r="J1001" s="24"/>
    </row>
    <row r="1002" spans="1:10" x14ac:dyDescent="0.35">
      <c r="A1002" t="s">
        <v>2131</v>
      </c>
      <c r="B1002" s="21"/>
      <c r="C1002" s="21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Avoirs"/>
  <dimension ref="A1:Q32"/>
  <sheetViews>
    <sheetView zoomScale="82" zoomScaleNormal="82" workbookViewId="0">
      <selection activeCell="J26" sqref="J26:Q32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1" max="11" width="10.90625" style="29"/>
    <col min="12" max="12" width="15.7265625" bestFit="1" customWidth="1"/>
    <col min="13" max="13" width="15.36328125" customWidth="1"/>
    <col min="14" max="14" width="8.81640625" customWidth="1"/>
  </cols>
  <sheetData>
    <row r="1" spans="1:17" s="1" customFormat="1" ht="24" customHeight="1" thickBot="1" x14ac:dyDescent="0.4">
      <c r="A1" s="27" t="s">
        <v>120</v>
      </c>
      <c r="B1" s="27" t="s">
        <v>11</v>
      </c>
      <c r="C1" s="27" t="s">
        <v>49</v>
      </c>
      <c r="D1" s="27" t="s">
        <v>12</v>
      </c>
      <c r="E1" s="27" t="s">
        <v>0</v>
      </c>
      <c r="F1" s="27" t="s">
        <v>1</v>
      </c>
      <c r="G1" s="27" t="s">
        <v>47</v>
      </c>
      <c r="H1" s="27" t="s">
        <v>48</v>
      </c>
      <c r="I1" s="27" t="s">
        <v>15</v>
      </c>
      <c r="J1" s="6" t="s">
        <v>1127</v>
      </c>
      <c r="K1" s="28" t="s">
        <v>12</v>
      </c>
      <c r="L1" s="6" t="s">
        <v>2</v>
      </c>
      <c r="M1" s="6" t="s">
        <v>118</v>
      </c>
      <c r="N1" s="6" t="s">
        <v>88</v>
      </c>
      <c r="O1" s="6" t="s">
        <v>13</v>
      </c>
      <c r="P1" s="2" t="s">
        <v>104</v>
      </c>
      <c r="Q1" s="2" t="s">
        <v>105</v>
      </c>
    </row>
    <row r="2" spans="1:17" ht="6.5" customHeight="1" x14ac:dyDescent="0.35">
      <c r="A2" s="26" t="s">
        <v>97</v>
      </c>
      <c r="B2" s="26" t="s">
        <v>97</v>
      </c>
      <c r="C2" s="26" t="s">
        <v>97</v>
      </c>
      <c r="D2" s="26" t="s">
        <v>97</v>
      </c>
      <c r="E2" s="26" t="s">
        <v>97</v>
      </c>
      <c r="F2" s="26" t="s">
        <v>97</v>
      </c>
      <c r="G2" s="26" t="s">
        <v>97</v>
      </c>
      <c r="H2" s="26" t="s">
        <v>97</v>
      </c>
      <c r="I2" s="26" t="s">
        <v>97</v>
      </c>
      <c r="J2" s="26" t="s">
        <v>97</v>
      </c>
      <c r="K2" s="26" t="s">
        <v>97</v>
      </c>
      <c r="L2" s="26" t="s">
        <v>97</v>
      </c>
      <c r="M2" s="26" t="s">
        <v>97</v>
      </c>
      <c r="N2" s="26" t="s">
        <v>97</v>
      </c>
      <c r="O2" s="26" t="s">
        <v>97</v>
      </c>
      <c r="P2" s="26" t="s">
        <v>97</v>
      </c>
      <c r="Q2" s="26" t="s">
        <v>97</v>
      </c>
    </row>
    <row r="3" spans="1:17" x14ac:dyDescent="0.35">
      <c r="A3" t="s">
        <v>100</v>
      </c>
      <c r="B3" t="s">
        <v>61</v>
      </c>
      <c r="E3" t="s">
        <v>46</v>
      </c>
      <c r="F3">
        <v>578</v>
      </c>
      <c r="G3">
        <v>10</v>
      </c>
      <c r="I3">
        <v>5780</v>
      </c>
      <c r="J3" t="s">
        <v>2143</v>
      </c>
      <c r="K3" s="29">
        <v>43844</v>
      </c>
      <c r="L3" t="s">
        <v>83</v>
      </c>
      <c r="M3" t="s">
        <v>2144</v>
      </c>
      <c r="O3">
        <v>0</v>
      </c>
      <c r="P3" t="s">
        <v>107</v>
      </c>
      <c r="Q3" t="s">
        <v>2138</v>
      </c>
    </row>
    <row r="4" spans="1:17" x14ac:dyDescent="0.35">
      <c r="A4" t="s">
        <v>100</v>
      </c>
      <c r="B4" t="s">
        <v>61</v>
      </c>
      <c r="E4" t="s">
        <v>46</v>
      </c>
      <c r="F4">
        <v>578</v>
      </c>
      <c r="G4">
        <v>10</v>
      </c>
      <c r="I4">
        <v>5780</v>
      </c>
      <c r="J4" t="s">
        <v>2143</v>
      </c>
      <c r="K4" s="29">
        <v>43844</v>
      </c>
      <c r="L4" t="s">
        <v>83</v>
      </c>
      <c r="M4" t="s">
        <v>2144</v>
      </c>
      <c r="O4">
        <v>0</v>
      </c>
      <c r="P4" t="s">
        <v>107</v>
      </c>
      <c r="Q4" t="s">
        <v>2138</v>
      </c>
    </row>
    <row r="5" spans="1:17" x14ac:dyDescent="0.35">
      <c r="A5" t="s">
        <v>100</v>
      </c>
      <c r="B5" t="s">
        <v>61</v>
      </c>
      <c r="E5" t="s">
        <v>46</v>
      </c>
      <c r="F5">
        <v>578</v>
      </c>
      <c r="G5">
        <v>10</v>
      </c>
      <c r="I5">
        <v>5780</v>
      </c>
      <c r="J5" t="s">
        <v>2143</v>
      </c>
      <c r="K5" s="29">
        <v>43844</v>
      </c>
      <c r="L5" t="s">
        <v>83</v>
      </c>
      <c r="M5" t="s">
        <v>2144</v>
      </c>
      <c r="O5">
        <v>0</v>
      </c>
      <c r="P5" t="s">
        <v>107</v>
      </c>
      <c r="Q5" t="s">
        <v>2138</v>
      </c>
    </row>
    <row r="6" spans="1:17" x14ac:dyDescent="0.35">
      <c r="A6" t="s">
        <v>100</v>
      </c>
      <c r="B6" t="s">
        <v>61</v>
      </c>
      <c r="E6" t="s">
        <v>46</v>
      </c>
      <c r="F6">
        <v>578</v>
      </c>
      <c r="G6">
        <v>10</v>
      </c>
      <c r="I6">
        <v>5780</v>
      </c>
      <c r="J6" t="s">
        <v>2143</v>
      </c>
      <c r="K6" s="29">
        <v>43844</v>
      </c>
      <c r="L6" t="s">
        <v>83</v>
      </c>
      <c r="M6" t="s">
        <v>2144</v>
      </c>
      <c r="O6">
        <v>0</v>
      </c>
      <c r="P6" t="s">
        <v>107</v>
      </c>
      <c r="Q6" t="s">
        <v>2138</v>
      </c>
    </row>
    <row r="7" spans="1:17" x14ac:dyDescent="0.35">
      <c r="A7" t="s">
        <v>100</v>
      </c>
      <c r="B7" t="s">
        <v>61</v>
      </c>
      <c r="E7" t="s">
        <v>46</v>
      </c>
      <c r="F7">
        <v>578</v>
      </c>
      <c r="G7">
        <v>10</v>
      </c>
      <c r="I7">
        <v>5780</v>
      </c>
      <c r="J7" t="s">
        <v>2143</v>
      </c>
      <c r="K7" s="29">
        <v>43844</v>
      </c>
      <c r="L7" t="s">
        <v>83</v>
      </c>
      <c r="M7" t="s">
        <v>2144</v>
      </c>
      <c r="O7">
        <v>0</v>
      </c>
      <c r="P7" t="s">
        <v>107</v>
      </c>
      <c r="Q7" t="s">
        <v>2138</v>
      </c>
    </row>
    <row r="8" spans="1:17" x14ac:dyDescent="0.35">
      <c r="A8" t="s">
        <v>100</v>
      </c>
      <c r="B8" t="s">
        <v>61</v>
      </c>
      <c r="E8" t="s">
        <v>46</v>
      </c>
      <c r="F8">
        <v>578</v>
      </c>
      <c r="G8">
        <v>10</v>
      </c>
      <c r="I8">
        <v>5780</v>
      </c>
      <c r="J8" t="s">
        <v>2143</v>
      </c>
      <c r="K8" s="29">
        <v>43844</v>
      </c>
      <c r="L8" t="s">
        <v>83</v>
      </c>
      <c r="M8" t="s">
        <v>2144</v>
      </c>
      <c r="O8">
        <v>0</v>
      </c>
      <c r="P8" t="s">
        <v>107</v>
      </c>
      <c r="Q8" t="s">
        <v>2138</v>
      </c>
    </row>
    <row r="9" spans="1:17" x14ac:dyDescent="0.35">
      <c r="A9" t="s">
        <v>100</v>
      </c>
      <c r="B9" t="s">
        <v>61</v>
      </c>
      <c r="E9" t="s">
        <v>46</v>
      </c>
      <c r="F9">
        <v>578</v>
      </c>
      <c r="G9">
        <v>10</v>
      </c>
      <c r="I9">
        <v>5780</v>
      </c>
      <c r="J9" t="s">
        <v>2143</v>
      </c>
      <c r="K9" s="29">
        <v>43844</v>
      </c>
      <c r="L9" t="s">
        <v>83</v>
      </c>
      <c r="M9" t="s">
        <v>2144</v>
      </c>
      <c r="O9">
        <v>0</v>
      </c>
      <c r="P9" t="s">
        <v>107</v>
      </c>
      <c r="Q9" t="s">
        <v>2138</v>
      </c>
    </row>
    <row r="10" spans="1:17" x14ac:dyDescent="0.35">
      <c r="A10" t="s">
        <v>30</v>
      </c>
      <c r="B10" t="s">
        <v>2146</v>
      </c>
      <c r="E10" t="s">
        <v>46</v>
      </c>
      <c r="F10">
        <v>5678</v>
      </c>
      <c r="G10">
        <v>10</v>
      </c>
      <c r="I10">
        <v>56780</v>
      </c>
      <c r="J10" t="s">
        <v>2145</v>
      </c>
      <c r="K10" s="29">
        <v>43844</v>
      </c>
      <c r="L10" t="s">
        <v>16</v>
      </c>
      <c r="M10">
        <v>0</v>
      </c>
      <c r="O10">
        <v>0</v>
      </c>
      <c r="P10" t="s">
        <v>107</v>
      </c>
      <c r="Q10" t="s">
        <v>2138</v>
      </c>
    </row>
    <row r="11" spans="1:17" x14ac:dyDescent="0.35">
      <c r="A11" t="s">
        <v>30</v>
      </c>
      <c r="B11" t="s">
        <v>2146</v>
      </c>
      <c r="E11" t="s">
        <v>46</v>
      </c>
      <c r="F11">
        <v>5678</v>
      </c>
      <c r="G11">
        <v>10</v>
      </c>
      <c r="I11">
        <v>56780</v>
      </c>
      <c r="J11" t="s">
        <v>2145</v>
      </c>
      <c r="K11" s="29">
        <v>43844</v>
      </c>
      <c r="L11" t="s">
        <v>16</v>
      </c>
      <c r="M11">
        <v>0</v>
      </c>
      <c r="O11">
        <v>0</v>
      </c>
      <c r="P11" t="s">
        <v>107</v>
      </c>
      <c r="Q11" t="s">
        <v>2138</v>
      </c>
    </row>
    <row r="12" spans="1:17" x14ac:dyDescent="0.35">
      <c r="A12" t="s">
        <v>30</v>
      </c>
      <c r="B12" t="s">
        <v>2146</v>
      </c>
      <c r="E12" t="s">
        <v>46</v>
      </c>
      <c r="F12">
        <v>5678</v>
      </c>
      <c r="G12">
        <v>10</v>
      </c>
      <c r="I12">
        <v>56780</v>
      </c>
      <c r="J12" t="s">
        <v>2145</v>
      </c>
      <c r="K12" s="29">
        <v>43844</v>
      </c>
      <c r="L12" t="s">
        <v>16</v>
      </c>
      <c r="M12">
        <v>0</v>
      </c>
      <c r="O12">
        <v>0</v>
      </c>
      <c r="P12" t="s">
        <v>107</v>
      </c>
      <c r="Q12" t="s">
        <v>2138</v>
      </c>
    </row>
    <row r="13" spans="1:17" x14ac:dyDescent="0.35">
      <c r="A13" t="s">
        <v>30</v>
      </c>
      <c r="B13" t="s">
        <v>2146</v>
      </c>
      <c r="E13" t="s">
        <v>46</v>
      </c>
      <c r="F13">
        <v>5678</v>
      </c>
      <c r="G13">
        <v>10</v>
      </c>
      <c r="I13">
        <v>56780</v>
      </c>
      <c r="J13" t="s">
        <v>2145</v>
      </c>
      <c r="K13" s="29">
        <v>43844</v>
      </c>
      <c r="L13" t="s">
        <v>16</v>
      </c>
      <c r="M13">
        <v>0</v>
      </c>
      <c r="O13">
        <v>0</v>
      </c>
      <c r="P13" t="s">
        <v>107</v>
      </c>
      <c r="Q13" t="s">
        <v>2138</v>
      </c>
    </row>
    <row r="14" spans="1:17" x14ac:dyDescent="0.35">
      <c r="A14" t="s">
        <v>30</v>
      </c>
      <c r="B14" t="s">
        <v>2146</v>
      </c>
      <c r="E14" t="s">
        <v>46</v>
      </c>
      <c r="F14">
        <v>5678</v>
      </c>
      <c r="G14">
        <v>10</v>
      </c>
      <c r="I14">
        <v>56780</v>
      </c>
      <c r="J14" t="s">
        <v>2145</v>
      </c>
      <c r="K14" s="29">
        <v>43844</v>
      </c>
      <c r="L14" t="s">
        <v>16</v>
      </c>
      <c r="M14">
        <v>0</v>
      </c>
      <c r="O14">
        <v>0</v>
      </c>
      <c r="P14" t="s">
        <v>107</v>
      </c>
      <c r="Q14" t="s">
        <v>2138</v>
      </c>
    </row>
    <row r="15" spans="1:17" x14ac:dyDescent="0.35">
      <c r="A15" t="s">
        <v>30</v>
      </c>
      <c r="B15" t="s">
        <v>2146</v>
      </c>
      <c r="E15" t="s">
        <v>46</v>
      </c>
      <c r="F15">
        <v>5678</v>
      </c>
      <c r="G15">
        <v>10</v>
      </c>
      <c r="I15">
        <v>56780</v>
      </c>
      <c r="J15" t="s">
        <v>2145</v>
      </c>
      <c r="K15" s="29">
        <v>43844</v>
      </c>
      <c r="L15" t="s">
        <v>16</v>
      </c>
      <c r="M15">
        <v>0</v>
      </c>
      <c r="O15">
        <v>0</v>
      </c>
      <c r="P15" t="s">
        <v>107</v>
      </c>
      <c r="Q15" t="s">
        <v>2138</v>
      </c>
    </row>
    <row r="16" spans="1:17" x14ac:dyDescent="0.35">
      <c r="A16" t="s">
        <v>30</v>
      </c>
      <c r="B16" t="s">
        <v>2146</v>
      </c>
      <c r="E16" t="s">
        <v>46</v>
      </c>
      <c r="F16">
        <v>5678</v>
      </c>
      <c r="G16">
        <v>10</v>
      </c>
      <c r="I16">
        <v>56780</v>
      </c>
      <c r="J16" t="s">
        <v>2145</v>
      </c>
      <c r="K16" s="29">
        <v>43844</v>
      </c>
      <c r="L16" t="s">
        <v>16</v>
      </c>
      <c r="M16">
        <v>0</v>
      </c>
      <c r="O16">
        <v>0</v>
      </c>
      <c r="P16" t="s">
        <v>107</v>
      </c>
      <c r="Q16" t="s">
        <v>2138</v>
      </c>
    </row>
    <row r="17" spans="1:17" x14ac:dyDescent="0.35">
      <c r="A17" t="s">
        <v>30</v>
      </c>
      <c r="B17" t="s">
        <v>2146</v>
      </c>
      <c r="E17" t="s">
        <v>46</v>
      </c>
      <c r="F17">
        <v>5678</v>
      </c>
      <c r="G17">
        <v>10</v>
      </c>
      <c r="I17">
        <v>56780</v>
      </c>
      <c r="J17" t="s">
        <v>2145</v>
      </c>
      <c r="K17" s="29">
        <v>43844</v>
      </c>
      <c r="L17" t="s">
        <v>16</v>
      </c>
      <c r="M17">
        <v>0</v>
      </c>
      <c r="O17">
        <v>0</v>
      </c>
      <c r="P17" t="s">
        <v>107</v>
      </c>
      <c r="Q17" t="s">
        <v>2138</v>
      </c>
    </row>
    <row r="18" spans="1:17" x14ac:dyDescent="0.35">
      <c r="A18" t="s">
        <v>30</v>
      </c>
      <c r="B18" t="s">
        <v>2146</v>
      </c>
      <c r="E18" t="s">
        <v>46</v>
      </c>
      <c r="F18">
        <v>5678</v>
      </c>
      <c r="G18">
        <v>10</v>
      </c>
      <c r="I18">
        <v>56780</v>
      </c>
      <c r="J18" t="s">
        <v>2145</v>
      </c>
      <c r="K18" s="29">
        <v>43844</v>
      </c>
      <c r="L18" t="s">
        <v>16</v>
      </c>
      <c r="M18">
        <v>0</v>
      </c>
      <c r="O18">
        <v>0</v>
      </c>
      <c r="P18" t="s">
        <v>107</v>
      </c>
      <c r="Q18" t="s">
        <v>2138</v>
      </c>
    </row>
    <row r="19" spans="1:17" x14ac:dyDescent="0.35">
      <c r="A19" t="s">
        <v>30</v>
      </c>
      <c r="B19" t="s">
        <v>2146</v>
      </c>
      <c r="E19" t="s">
        <v>46</v>
      </c>
      <c r="F19">
        <v>5678</v>
      </c>
      <c r="G19">
        <v>10</v>
      </c>
      <c r="I19">
        <v>56780</v>
      </c>
      <c r="J19" t="s">
        <v>2145</v>
      </c>
      <c r="K19" s="29">
        <v>43844</v>
      </c>
      <c r="L19" t="s">
        <v>16</v>
      </c>
      <c r="M19">
        <v>0</v>
      </c>
      <c r="O19">
        <v>0</v>
      </c>
      <c r="P19" t="s">
        <v>107</v>
      </c>
      <c r="Q19" t="s">
        <v>2138</v>
      </c>
    </row>
    <row r="20" spans="1:17" x14ac:dyDescent="0.35">
      <c r="A20" t="s">
        <v>30</v>
      </c>
      <c r="B20" t="s">
        <v>2146</v>
      </c>
      <c r="E20" t="s">
        <v>46</v>
      </c>
      <c r="F20">
        <v>5678</v>
      </c>
      <c r="G20">
        <v>10</v>
      </c>
      <c r="I20">
        <v>56780</v>
      </c>
      <c r="J20" t="s">
        <v>2145</v>
      </c>
      <c r="K20" s="29">
        <v>43844</v>
      </c>
      <c r="L20" t="s">
        <v>16</v>
      </c>
      <c r="M20">
        <v>0</v>
      </c>
      <c r="O20">
        <v>0</v>
      </c>
      <c r="P20" t="s">
        <v>107</v>
      </c>
      <c r="Q20" t="s">
        <v>2138</v>
      </c>
    </row>
    <row r="21" spans="1:17" x14ac:dyDescent="0.35">
      <c r="A21" t="s">
        <v>30</v>
      </c>
      <c r="B21" t="s">
        <v>2146</v>
      </c>
      <c r="E21" t="s">
        <v>46</v>
      </c>
      <c r="F21">
        <v>5678</v>
      </c>
      <c r="G21">
        <v>10</v>
      </c>
      <c r="I21">
        <v>56780</v>
      </c>
      <c r="J21" t="s">
        <v>2145</v>
      </c>
      <c r="K21" s="29">
        <v>43844</v>
      </c>
      <c r="L21" t="s">
        <v>16</v>
      </c>
      <c r="M21">
        <v>0</v>
      </c>
      <c r="O21">
        <v>0</v>
      </c>
      <c r="P21" t="s">
        <v>107</v>
      </c>
      <c r="Q21" t="s">
        <v>2138</v>
      </c>
    </row>
    <row r="22" spans="1:17" x14ac:dyDescent="0.35">
      <c r="A22" t="s">
        <v>30</v>
      </c>
      <c r="B22" t="s">
        <v>2146</v>
      </c>
      <c r="E22" t="s">
        <v>46</v>
      </c>
      <c r="F22">
        <v>5678</v>
      </c>
      <c r="G22">
        <v>10</v>
      </c>
      <c r="I22">
        <v>56780</v>
      </c>
      <c r="J22" t="s">
        <v>2145</v>
      </c>
      <c r="K22" s="29">
        <v>43844</v>
      </c>
      <c r="L22" t="s">
        <v>16</v>
      </c>
      <c r="M22">
        <v>0</v>
      </c>
      <c r="O22">
        <v>0</v>
      </c>
      <c r="P22" t="s">
        <v>107</v>
      </c>
      <c r="Q22" t="s">
        <v>2138</v>
      </c>
    </row>
    <row r="23" spans="1:17" x14ac:dyDescent="0.35">
      <c r="A23" t="s">
        <v>30</v>
      </c>
      <c r="B23" t="s">
        <v>2146</v>
      </c>
      <c r="E23" t="s">
        <v>46</v>
      </c>
      <c r="F23">
        <v>5678</v>
      </c>
      <c r="G23">
        <v>10</v>
      </c>
      <c r="I23">
        <v>56780</v>
      </c>
      <c r="J23" t="s">
        <v>2145</v>
      </c>
      <c r="K23" s="29">
        <v>43844</v>
      </c>
      <c r="L23" t="s">
        <v>16</v>
      </c>
      <c r="M23">
        <v>0</v>
      </c>
      <c r="O23">
        <v>0</v>
      </c>
      <c r="P23" t="s">
        <v>107</v>
      </c>
      <c r="Q23" t="s">
        <v>2138</v>
      </c>
    </row>
    <row r="24" spans="1:17" x14ac:dyDescent="0.35">
      <c r="A24" t="s">
        <v>30</v>
      </c>
      <c r="B24" t="s">
        <v>2146</v>
      </c>
      <c r="E24" t="s">
        <v>46</v>
      </c>
      <c r="F24">
        <v>5678</v>
      </c>
      <c r="G24">
        <v>10</v>
      </c>
      <c r="I24">
        <v>56780</v>
      </c>
      <c r="J24" t="s">
        <v>2145</v>
      </c>
      <c r="K24" s="29">
        <v>43844</v>
      </c>
      <c r="L24" t="s">
        <v>16</v>
      </c>
      <c r="M24">
        <v>0</v>
      </c>
      <c r="O24">
        <v>0</v>
      </c>
      <c r="P24" t="s">
        <v>107</v>
      </c>
      <c r="Q24" t="s">
        <v>2138</v>
      </c>
    </row>
    <row r="25" spans="1:17" x14ac:dyDescent="0.35">
      <c r="A25" t="s">
        <v>30</v>
      </c>
      <c r="B25" t="s">
        <v>2146</v>
      </c>
      <c r="E25" t="s">
        <v>46</v>
      </c>
      <c r="F25">
        <v>5678</v>
      </c>
      <c r="G25">
        <v>10</v>
      </c>
      <c r="I25">
        <v>56780</v>
      </c>
      <c r="J25" t="s">
        <v>2145</v>
      </c>
      <c r="K25" s="29">
        <v>43844</v>
      </c>
      <c r="L25" t="s">
        <v>16</v>
      </c>
      <c r="M25">
        <v>0</v>
      </c>
      <c r="O25">
        <v>0</v>
      </c>
      <c r="P25" t="s">
        <v>107</v>
      </c>
      <c r="Q25" t="s">
        <v>2138</v>
      </c>
    </row>
    <row r="26" spans="1:17" x14ac:dyDescent="0.35">
      <c r="A26" t="s">
        <v>34</v>
      </c>
      <c r="B26" t="s">
        <v>35</v>
      </c>
      <c r="E26" t="s">
        <v>46</v>
      </c>
      <c r="F26">
        <v>456</v>
      </c>
      <c r="G26">
        <v>351.19</v>
      </c>
      <c r="H26">
        <v>0</v>
      </c>
      <c r="I26">
        <v>160142.63999999998</v>
      </c>
      <c r="J26" t="s">
        <v>1134</v>
      </c>
      <c r="K26" s="29">
        <v>43861</v>
      </c>
      <c r="L26" t="s">
        <v>16</v>
      </c>
      <c r="M26" t="s">
        <v>2170</v>
      </c>
      <c r="O26" t="s">
        <v>90</v>
      </c>
      <c r="P26" t="s">
        <v>106</v>
      </c>
      <c r="Q26" t="s">
        <v>2138</v>
      </c>
    </row>
    <row r="27" spans="1:17" x14ac:dyDescent="0.35">
      <c r="A27" t="s">
        <v>34</v>
      </c>
      <c r="B27" t="s">
        <v>35</v>
      </c>
      <c r="E27" t="s">
        <v>46</v>
      </c>
      <c r="F27">
        <v>456</v>
      </c>
      <c r="G27">
        <v>351.19</v>
      </c>
      <c r="H27">
        <v>0</v>
      </c>
      <c r="I27">
        <v>160142.63999999998</v>
      </c>
      <c r="J27" t="s">
        <v>1134</v>
      </c>
      <c r="K27" s="29">
        <v>43861</v>
      </c>
      <c r="L27" t="s">
        <v>16</v>
      </c>
      <c r="M27" t="s">
        <v>2170</v>
      </c>
      <c r="O27" t="s">
        <v>90</v>
      </c>
      <c r="P27" t="s">
        <v>106</v>
      </c>
      <c r="Q27" t="s">
        <v>2138</v>
      </c>
    </row>
    <row r="28" spans="1:17" x14ac:dyDescent="0.35">
      <c r="A28" t="s">
        <v>34</v>
      </c>
      <c r="B28" t="s">
        <v>35</v>
      </c>
      <c r="E28" t="s">
        <v>46</v>
      </c>
      <c r="F28">
        <v>456</v>
      </c>
      <c r="G28">
        <v>351.19</v>
      </c>
      <c r="H28">
        <v>0</v>
      </c>
      <c r="I28">
        <v>160142.63999999998</v>
      </c>
      <c r="J28" t="s">
        <v>1134</v>
      </c>
      <c r="K28" s="29">
        <v>43861</v>
      </c>
      <c r="L28" t="s">
        <v>16</v>
      </c>
      <c r="M28" t="s">
        <v>2170</v>
      </c>
      <c r="O28" t="s">
        <v>90</v>
      </c>
      <c r="P28" t="s">
        <v>106</v>
      </c>
      <c r="Q28" t="s">
        <v>2138</v>
      </c>
    </row>
    <row r="29" spans="1:17" x14ac:dyDescent="0.35">
      <c r="A29" t="s">
        <v>34</v>
      </c>
      <c r="B29" t="s">
        <v>35</v>
      </c>
      <c r="E29" t="s">
        <v>46</v>
      </c>
      <c r="F29">
        <v>456</v>
      </c>
      <c r="G29">
        <v>351.19</v>
      </c>
      <c r="H29">
        <v>0</v>
      </c>
      <c r="I29">
        <v>160142.63999999998</v>
      </c>
      <c r="J29" t="s">
        <v>1134</v>
      </c>
      <c r="K29" s="29">
        <v>43861</v>
      </c>
      <c r="L29" t="s">
        <v>16</v>
      </c>
      <c r="M29" t="s">
        <v>2170</v>
      </c>
      <c r="O29" t="s">
        <v>90</v>
      </c>
      <c r="P29" t="s">
        <v>106</v>
      </c>
      <c r="Q29" t="s">
        <v>2138</v>
      </c>
    </row>
    <row r="30" spans="1:17" x14ac:dyDescent="0.35">
      <c r="A30" t="s">
        <v>34</v>
      </c>
      <c r="B30" t="s">
        <v>35</v>
      </c>
      <c r="E30" t="s">
        <v>46</v>
      </c>
      <c r="F30">
        <v>456</v>
      </c>
      <c r="G30">
        <v>351.19</v>
      </c>
      <c r="H30">
        <v>0</v>
      </c>
      <c r="I30">
        <v>160142.63999999998</v>
      </c>
      <c r="J30" t="s">
        <v>1134</v>
      </c>
      <c r="K30" s="29">
        <v>43861</v>
      </c>
      <c r="L30" t="s">
        <v>16</v>
      </c>
      <c r="M30" t="s">
        <v>2170</v>
      </c>
      <c r="O30" t="s">
        <v>90</v>
      </c>
      <c r="P30" t="s">
        <v>106</v>
      </c>
      <c r="Q30" t="s">
        <v>2138</v>
      </c>
    </row>
    <row r="31" spans="1:17" x14ac:dyDescent="0.35">
      <c r="A31" t="s">
        <v>34</v>
      </c>
      <c r="B31" t="s">
        <v>35</v>
      </c>
      <c r="E31" t="s">
        <v>46</v>
      </c>
      <c r="F31">
        <v>456</v>
      </c>
      <c r="G31">
        <v>351.19</v>
      </c>
      <c r="H31">
        <v>0</v>
      </c>
      <c r="I31">
        <v>160142.63999999998</v>
      </c>
      <c r="J31" t="s">
        <v>1134</v>
      </c>
      <c r="K31" s="29">
        <v>43861</v>
      </c>
      <c r="L31" t="s">
        <v>16</v>
      </c>
      <c r="M31" t="s">
        <v>2170</v>
      </c>
      <c r="O31" t="s">
        <v>90</v>
      </c>
      <c r="P31" t="s">
        <v>106</v>
      </c>
      <c r="Q31" t="s">
        <v>2138</v>
      </c>
    </row>
    <row r="32" spans="1:17" x14ac:dyDescent="0.35">
      <c r="A32" t="s">
        <v>34</v>
      </c>
      <c r="B32" t="s">
        <v>35</v>
      </c>
      <c r="E32" t="s">
        <v>46</v>
      </c>
      <c r="F32">
        <v>456</v>
      </c>
      <c r="G32">
        <v>351.19</v>
      </c>
      <c r="H32">
        <v>0</v>
      </c>
      <c r="I32">
        <v>160142.63999999998</v>
      </c>
      <c r="J32" t="s">
        <v>1134</v>
      </c>
      <c r="K32" s="29">
        <v>43861</v>
      </c>
      <c r="L32" t="s">
        <v>16</v>
      </c>
      <c r="M32" t="s">
        <v>2170</v>
      </c>
      <c r="O32" t="s">
        <v>90</v>
      </c>
      <c r="P32" t="s">
        <v>106</v>
      </c>
      <c r="Q32" t="s">
        <v>2138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8"/>
  <sheetViews>
    <sheetView zoomScale="81" zoomScaleNormal="81" workbookViewId="0">
      <selection activeCell="F3" sqref="F3:F4"/>
    </sheetView>
  </sheetViews>
  <sheetFormatPr baseColWidth="10" defaultRowHeight="14.5" x14ac:dyDescent="0.35"/>
  <cols>
    <col min="2" max="2" width="16.26953125" bestFit="1" customWidth="1"/>
    <col min="4" max="4" width="29.453125" bestFit="1" customWidth="1"/>
  </cols>
  <sheetData>
    <row r="1" spans="1:6" ht="15" thickBot="1" x14ac:dyDescent="0.4"/>
    <row r="2" spans="1:6" x14ac:dyDescent="0.35">
      <c r="A2" s="16" t="s">
        <v>9</v>
      </c>
      <c r="B2" s="3" t="s">
        <v>90</v>
      </c>
      <c r="C2" s="3" t="s">
        <v>106</v>
      </c>
      <c r="D2" s="3" t="s">
        <v>110</v>
      </c>
      <c r="E2" s="3" t="s">
        <v>9</v>
      </c>
      <c r="F2" s="3" t="s">
        <v>82</v>
      </c>
    </row>
    <row r="3" spans="1:6" ht="15" thickBot="1" x14ac:dyDescent="0.4">
      <c r="A3" s="12"/>
      <c r="B3" s="4" t="s">
        <v>91</v>
      </c>
      <c r="C3" s="11" t="s">
        <v>107</v>
      </c>
      <c r="D3" s="4" t="s">
        <v>111</v>
      </c>
      <c r="E3" s="11" t="s">
        <v>115</v>
      </c>
      <c r="F3" s="11" t="s">
        <v>1123</v>
      </c>
    </row>
    <row r="4" spans="1:6" x14ac:dyDescent="0.35">
      <c r="B4" s="4" t="s">
        <v>93</v>
      </c>
      <c r="D4" s="4" t="s">
        <v>77</v>
      </c>
    </row>
    <row r="5" spans="1:6" x14ac:dyDescent="0.35">
      <c r="B5" s="4" t="s">
        <v>92</v>
      </c>
      <c r="D5" s="4" t="s">
        <v>109</v>
      </c>
    </row>
    <row r="6" spans="1:6" ht="15" thickBot="1" x14ac:dyDescent="0.4">
      <c r="B6" s="11" t="s">
        <v>94</v>
      </c>
      <c r="D6" s="4" t="s">
        <v>112</v>
      </c>
    </row>
    <row r="7" spans="1:6" x14ac:dyDescent="0.35">
      <c r="D7" s="4" t="s">
        <v>113</v>
      </c>
    </row>
    <row r="8" spans="1:6" ht="15" thickBot="1" x14ac:dyDescent="0.4">
      <c r="D8" s="11" t="s">
        <v>114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58</vt:i4>
      </vt:variant>
    </vt:vector>
  </HeadingPairs>
  <TitlesOfParts>
    <vt:vector size="72" baseType="lpstr">
      <vt:lpstr>Facture</vt:lpstr>
      <vt:lpstr>Consultation Facture</vt:lpstr>
      <vt:lpstr>Consultation Detail Facture</vt:lpstr>
      <vt:lpstr>Consultation Avoir</vt:lpstr>
      <vt:lpstr>Consultation Detail Avoir</vt:lpstr>
      <vt:lpstr>Contrôles</vt:lpstr>
      <vt:lpstr>Bordereaux des Prix</vt:lpstr>
      <vt:lpstr>Clients</vt:lpstr>
      <vt:lpstr>Liste_Consultation</vt:lpstr>
      <vt:lpstr>Etat Factures</vt:lpstr>
      <vt:lpstr>Détail Factures</vt:lpstr>
      <vt:lpstr>Etat Avoirs</vt:lpstr>
      <vt:lpstr>Détail Avoirs</vt:lpstr>
      <vt:lpstr>Listes</vt:lpstr>
      <vt:lpstr>AvecTVA</vt:lpstr>
      <vt:lpstr>AvoiConsult</vt:lpstr>
      <vt:lpstr>AvoiSais</vt:lpstr>
      <vt:lpstr>AvoiSaisDetail</vt:lpstr>
      <vt:lpstr>AvoiSaisDetail2</vt:lpstr>
      <vt:lpstr>BLOCA</vt:lpstr>
      <vt:lpstr>BLOCB</vt:lpstr>
      <vt:lpstr>BLOCC</vt:lpstr>
      <vt:lpstr>DateFact</vt:lpstr>
      <vt:lpstr>DEBUTA</vt:lpstr>
      <vt:lpstr>DEBUTB</vt:lpstr>
      <vt:lpstr>DEBUTC</vt:lpstr>
      <vt:lpstr>DernFichMAJ</vt:lpstr>
      <vt:lpstr>DerniereLigneA</vt:lpstr>
      <vt:lpstr>DerniereLigneB</vt:lpstr>
      <vt:lpstr>DerniereLigneC</vt:lpstr>
      <vt:lpstr>Devise</vt:lpstr>
      <vt:lpstr>'Consultation Detail Avoir'!FactConsult</vt:lpstr>
      <vt:lpstr>'Consultation Detail Facture'!FactConsult</vt:lpstr>
      <vt:lpstr>FactConsult</vt:lpstr>
      <vt:lpstr>FactSais</vt:lpstr>
      <vt:lpstr>FactSaisDetail</vt:lpstr>
      <vt:lpstr>FactSaisDetail2</vt:lpstr>
      <vt:lpstr>Facture</vt:lpstr>
      <vt:lpstr>FINA</vt:lpstr>
      <vt:lpstr>FINB</vt:lpstr>
      <vt:lpstr>FINC</vt:lpstr>
      <vt:lpstr>FORMTYPA</vt:lpstr>
      <vt:lpstr>FORMTYPB</vt:lpstr>
      <vt:lpstr>FORMTYPC</vt:lpstr>
      <vt:lpstr>FORNIS</vt:lpstr>
      <vt:lpstr>LEBELLETVA</vt:lpstr>
      <vt:lpstr>LIGNETTC</vt:lpstr>
      <vt:lpstr>NAvoir</vt:lpstr>
      <vt:lpstr>NFacFact</vt:lpstr>
      <vt:lpstr>NFactu</vt:lpstr>
      <vt:lpstr>PremiereLigneA</vt:lpstr>
      <vt:lpstr>REFERENCE</vt:lpstr>
      <vt:lpstr>REFFORMTYPA1</vt:lpstr>
      <vt:lpstr>REFFORMTYPA2</vt:lpstr>
      <vt:lpstr>REFFORMTYPA3</vt:lpstr>
      <vt:lpstr>REFFORMTYPA4</vt:lpstr>
      <vt:lpstr>REFFORMTYPB1</vt:lpstr>
      <vt:lpstr>REFFORMTYPB11</vt:lpstr>
      <vt:lpstr>REFFORMTYPB2</vt:lpstr>
      <vt:lpstr>REFFORMTYPC1</vt:lpstr>
      <vt:lpstr>REFFORMTYPC2</vt:lpstr>
      <vt:lpstr>REFFORMTYPC3</vt:lpstr>
      <vt:lpstr>REFFORMTYPC4</vt:lpstr>
      <vt:lpstr>TotalFactureHT</vt:lpstr>
      <vt:lpstr>TotalFactureTTC</vt:lpstr>
      <vt:lpstr>TVA</vt:lpstr>
      <vt:lpstr>TypeDocu</vt:lpstr>
      <vt:lpstr>Contrôles!Zone_d_impression</vt:lpstr>
      <vt:lpstr>Facture!Zone_d_impression</vt:lpstr>
      <vt:lpstr>ZoneA</vt:lpstr>
      <vt:lpstr>ZoneB</vt:lpstr>
      <vt:lpstr>ZoneC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2020-01-31T15:13:11Z</dcterms:modified>
</cp:coreProperties>
</file>